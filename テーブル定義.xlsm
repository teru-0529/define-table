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084FB4A6-BE6C-4598-8633-1CB3416F57AF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項目" sheetId="2" r:id="rId1"/>
    <sheet name="一覧" sheetId="1" r:id="rId2"/>
    <sheet name="テンプレート" sheetId="4" r:id="rId3"/>
    <sheet name="得意先" sheetId="27" r:id="rId4"/>
    <sheet name="受注" sheetId="28" r:id="rId5"/>
    <sheet name="受注明細" sheetId="29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9" l="1"/>
  <c r="T105" i="29"/>
  <c r="H105" i="29"/>
  <c r="V105" i="29" s="1"/>
  <c r="G105" i="29"/>
  <c r="D105" i="29"/>
  <c r="C105" i="29"/>
  <c r="U104" i="29"/>
  <c r="T104" i="29"/>
  <c r="H104" i="29"/>
  <c r="V104" i="29" s="1"/>
  <c r="G104" i="29"/>
  <c r="D104" i="29"/>
  <c r="C104" i="29"/>
  <c r="U103" i="29"/>
  <c r="T103" i="29"/>
  <c r="H103" i="29"/>
  <c r="V103" i="29" s="1"/>
  <c r="G103" i="29"/>
  <c r="D103" i="29"/>
  <c r="C103" i="29"/>
  <c r="U102" i="29"/>
  <c r="T102" i="29"/>
  <c r="H102" i="29"/>
  <c r="V102" i="29" s="1"/>
  <c r="G102" i="29"/>
  <c r="D102" i="29"/>
  <c r="C102" i="29"/>
  <c r="U101" i="29"/>
  <c r="T101" i="29"/>
  <c r="H101" i="29"/>
  <c r="V101" i="29" s="1"/>
  <c r="G101" i="29"/>
  <c r="D101" i="29"/>
  <c r="C101" i="29"/>
  <c r="U100" i="29"/>
  <c r="T100" i="29"/>
  <c r="H100" i="29"/>
  <c r="V100" i="29" s="1"/>
  <c r="G100" i="29"/>
  <c r="D100" i="29"/>
  <c r="C100" i="29"/>
  <c r="U99" i="29"/>
  <c r="T99" i="29"/>
  <c r="H99" i="29"/>
  <c r="V99" i="29" s="1"/>
  <c r="G99" i="29"/>
  <c r="D99" i="29"/>
  <c r="C99" i="29"/>
  <c r="U98" i="29"/>
  <c r="T98" i="29"/>
  <c r="H98" i="29"/>
  <c r="V98" i="29" s="1"/>
  <c r="G98" i="29"/>
  <c r="D98" i="29"/>
  <c r="C98" i="29"/>
  <c r="U97" i="29"/>
  <c r="T97" i="29"/>
  <c r="H97" i="29"/>
  <c r="V97" i="29" s="1"/>
  <c r="G97" i="29"/>
  <c r="D97" i="29"/>
  <c r="C97" i="29"/>
  <c r="U96" i="29"/>
  <c r="T96" i="29"/>
  <c r="H96" i="29"/>
  <c r="V96" i="29" s="1"/>
  <c r="G96" i="29"/>
  <c r="D96" i="29"/>
  <c r="C96" i="29"/>
  <c r="U95" i="29"/>
  <c r="T95" i="29"/>
  <c r="H95" i="29"/>
  <c r="V95" i="29" s="1"/>
  <c r="G95" i="29"/>
  <c r="D95" i="29"/>
  <c r="C95" i="29"/>
  <c r="U94" i="29"/>
  <c r="T94" i="29"/>
  <c r="H94" i="29"/>
  <c r="V94" i="29" s="1"/>
  <c r="G94" i="29"/>
  <c r="D94" i="29"/>
  <c r="C94" i="29"/>
  <c r="U93" i="29"/>
  <c r="T93" i="29"/>
  <c r="H93" i="29"/>
  <c r="V93" i="29" s="1"/>
  <c r="G93" i="29"/>
  <c r="D93" i="29"/>
  <c r="C93" i="29"/>
  <c r="U92" i="29"/>
  <c r="T92" i="29"/>
  <c r="H92" i="29"/>
  <c r="V92" i="29" s="1"/>
  <c r="G92" i="29"/>
  <c r="D92" i="29"/>
  <c r="C92" i="29"/>
  <c r="U91" i="29"/>
  <c r="T91" i="29"/>
  <c r="H91" i="29"/>
  <c r="V91" i="29" s="1"/>
  <c r="G91" i="29"/>
  <c r="D91" i="29"/>
  <c r="C91" i="29"/>
  <c r="U90" i="29"/>
  <c r="T90" i="29"/>
  <c r="H90" i="29"/>
  <c r="V90" i="29" s="1"/>
  <c r="G90" i="29"/>
  <c r="D90" i="29"/>
  <c r="C90" i="29"/>
  <c r="U89" i="29"/>
  <c r="T89" i="29"/>
  <c r="H89" i="29"/>
  <c r="V89" i="29" s="1"/>
  <c r="G89" i="29"/>
  <c r="D89" i="29"/>
  <c r="C89" i="29"/>
  <c r="U88" i="29"/>
  <c r="T88" i="29"/>
  <c r="H88" i="29"/>
  <c r="V88" i="29" s="1"/>
  <c r="G88" i="29"/>
  <c r="D88" i="29"/>
  <c r="C88" i="29"/>
  <c r="X87" i="29"/>
  <c r="U87" i="29"/>
  <c r="T87" i="29"/>
  <c r="H87" i="29"/>
  <c r="V87" i="29" s="1"/>
  <c r="G87" i="29"/>
  <c r="D87" i="29"/>
  <c r="C87" i="29"/>
  <c r="X86" i="29"/>
  <c r="U86" i="29"/>
  <c r="T86" i="29"/>
  <c r="H86" i="29"/>
  <c r="V86" i="29" s="1"/>
  <c r="G86" i="29"/>
  <c r="D86" i="29"/>
  <c r="C86" i="29"/>
  <c r="X85" i="29"/>
  <c r="U85" i="29"/>
  <c r="T85" i="29"/>
  <c r="H85" i="29"/>
  <c r="V85" i="29" s="1"/>
  <c r="G85" i="29"/>
  <c r="D85" i="29"/>
  <c r="C85" i="29"/>
  <c r="X84" i="29"/>
  <c r="U84" i="29"/>
  <c r="T84" i="29"/>
  <c r="H84" i="29"/>
  <c r="V84" i="29" s="1"/>
  <c r="G84" i="29"/>
  <c r="D84" i="29"/>
  <c r="C84" i="29"/>
  <c r="X83" i="29"/>
  <c r="U83" i="29"/>
  <c r="T83" i="29"/>
  <c r="H83" i="29"/>
  <c r="V83" i="29" s="1"/>
  <c r="G83" i="29"/>
  <c r="D83" i="29"/>
  <c r="C83" i="29"/>
  <c r="X82" i="29"/>
  <c r="U82" i="29"/>
  <c r="T82" i="29"/>
  <c r="H82" i="29"/>
  <c r="V82" i="29" s="1"/>
  <c r="G82" i="29"/>
  <c r="D82" i="29"/>
  <c r="C82" i="29"/>
  <c r="X81" i="29"/>
  <c r="U81" i="29"/>
  <c r="T81" i="29"/>
  <c r="H81" i="29"/>
  <c r="V81" i="29" s="1"/>
  <c r="G81" i="29"/>
  <c r="D81" i="29"/>
  <c r="C81" i="29"/>
  <c r="X80" i="29"/>
  <c r="U80" i="29"/>
  <c r="T80" i="29"/>
  <c r="H80" i="29"/>
  <c r="V80" i="29" s="1"/>
  <c r="G80" i="29"/>
  <c r="D80" i="29"/>
  <c r="C80" i="29"/>
  <c r="X79" i="29"/>
  <c r="U79" i="29"/>
  <c r="T79" i="29"/>
  <c r="H79" i="29"/>
  <c r="V79" i="29" s="1"/>
  <c r="G79" i="29"/>
  <c r="D79" i="29"/>
  <c r="C79" i="29"/>
  <c r="X78" i="29"/>
  <c r="U78" i="29"/>
  <c r="T78" i="29"/>
  <c r="H78" i="29"/>
  <c r="V78" i="29" s="1"/>
  <c r="G78" i="29"/>
  <c r="D78" i="29"/>
  <c r="C78" i="29"/>
  <c r="U77" i="29"/>
  <c r="T77" i="29"/>
  <c r="H77" i="29"/>
  <c r="V77" i="29" s="1"/>
  <c r="G77" i="29"/>
  <c r="D77" i="29"/>
  <c r="C77" i="29"/>
  <c r="U76" i="29"/>
  <c r="T76" i="29"/>
  <c r="H76" i="29"/>
  <c r="V76" i="29" s="1"/>
  <c r="G76" i="29"/>
  <c r="D76" i="29"/>
  <c r="C76" i="29"/>
  <c r="U75" i="29"/>
  <c r="T75" i="29"/>
  <c r="H75" i="29"/>
  <c r="V75" i="29" s="1"/>
  <c r="G75" i="29"/>
  <c r="D75" i="29"/>
  <c r="C75" i="29"/>
  <c r="AB74" i="29"/>
  <c r="AA74" i="29"/>
  <c r="Z74" i="29"/>
  <c r="Y74" i="29"/>
  <c r="X74" i="29"/>
  <c r="U74" i="29"/>
  <c r="T74" i="29"/>
  <c r="H74" i="29"/>
  <c r="V74" i="29" s="1"/>
  <c r="G74" i="29"/>
  <c r="D74" i="29"/>
  <c r="C74" i="29"/>
  <c r="AB73" i="29"/>
  <c r="AA73" i="29"/>
  <c r="Z73" i="29"/>
  <c r="Y73" i="29"/>
  <c r="X73" i="29"/>
  <c r="U73" i="29"/>
  <c r="T73" i="29"/>
  <c r="H73" i="29"/>
  <c r="V73" i="29" s="1"/>
  <c r="G73" i="29"/>
  <c r="D73" i="29"/>
  <c r="C73" i="29"/>
  <c r="AB72" i="29"/>
  <c r="AA72" i="29"/>
  <c r="Z72" i="29"/>
  <c r="Y72" i="29"/>
  <c r="X72" i="29"/>
  <c r="U72" i="29"/>
  <c r="T72" i="29"/>
  <c r="H72" i="29"/>
  <c r="V72" i="29" s="1"/>
  <c r="G72" i="29"/>
  <c r="D72" i="29"/>
  <c r="C72" i="29"/>
  <c r="AB71" i="29"/>
  <c r="AA71" i="29"/>
  <c r="Z71" i="29"/>
  <c r="Y71" i="29"/>
  <c r="X71" i="29"/>
  <c r="U71" i="29"/>
  <c r="T71" i="29"/>
  <c r="H71" i="29"/>
  <c r="V71" i="29" s="1"/>
  <c r="G71" i="29"/>
  <c r="D71" i="29"/>
  <c r="C71" i="29"/>
  <c r="AB70" i="29"/>
  <c r="AA70" i="29"/>
  <c r="Z70" i="29"/>
  <c r="Y70" i="29"/>
  <c r="X70" i="29"/>
  <c r="U70" i="29"/>
  <c r="T70" i="29"/>
  <c r="H70" i="29"/>
  <c r="V70" i="29" s="1"/>
  <c r="G70" i="29"/>
  <c r="D70" i="29"/>
  <c r="C70" i="29"/>
  <c r="AB69" i="29"/>
  <c r="AA69" i="29"/>
  <c r="Z69" i="29"/>
  <c r="Y69" i="29"/>
  <c r="X69" i="29"/>
  <c r="U69" i="29"/>
  <c r="T69" i="29"/>
  <c r="H69" i="29"/>
  <c r="V69" i="29" s="1"/>
  <c r="G69" i="29"/>
  <c r="D69" i="29"/>
  <c r="C69" i="29"/>
  <c r="AB68" i="29"/>
  <c r="AA68" i="29"/>
  <c r="Z68" i="29"/>
  <c r="Y68" i="29"/>
  <c r="X68" i="29"/>
  <c r="U68" i="29"/>
  <c r="T68" i="29"/>
  <c r="H68" i="29"/>
  <c r="V68" i="29" s="1"/>
  <c r="G68" i="29"/>
  <c r="D68" i="29"/>
  <c r="C68" i="29"/>
  <c r="AB67" i="29"/>
  <c r="AA67" i="29"/>
  <c r="Z67" i="29"/>
  <c r="Y67" i="29"/>
  <c r="X67" i="29"/>
  <c r="U67" i="29"/>
  <c r="T67" i="29"/>
  <c r="H67" i="29"/>
  <c r="V67" i="29" s="1"/>
  <c r="G67" i="29"/>
  <c r="D67" i="29"/>
  <c r="C67" i="29"/>
  <c r="AB66" i="29"/>
  <c r="AA66" i="29"/>
  <c r="Z66" i="29"/>
  <c r="Y66" i="29"/>
  <c r="X66" i="29"/>
  <c r="U66" i="29"/>
  <c r="T66" i="29"/>
  <c r="H66" i="29"/>
  <c r="V66" i="29" s="1"/>
  <c r="G66" i="29"/>
  <c r="D66" i="29"/>
  <c r="C66" i="29"/>
  <c r="AB65" i="29"/>
  <c r="AA65" i="29"/>
  <c r="Z65" i="29"/>
  <c r="Y65" i="29"/>
  <c r="X65" i="29"/>
  <c r="U65" i="29"/>
  <c r="T65" i="29"/>
  <c r="H65" i="29"/>
  <c r="V65" i="29" s="1"/>
  <c r="G65" i="29"/>
  <c r="D65" i="29"/>
  <c r="C65" i="29"/>
  <c r="U64" i="29"/>
  <c r="T64" i="29"/>
  <c r="H64" i="29"/>
  <c r="V64" i="29" s="1"/>
  <c r="G64" i="29"/>
  <c r="D64" i="29"/>
  <c r="C64" i="29"/>
  <c r="U63" i="29"/>
  <c r="T63" i="29"/>
  <c r="H63" i="29"/>
  <c r="V63" i="29" s="1"/>
  <c r="G63" i="29"/>
  <c r="D63" i="29"/>
  <c r="C63" i="29"/>
  <c r="U62" i="29"/>
  <c r="T62" i="29"/>
  <c r="H62" i="29"/>
  <c r="V62" i="29" s="1"/>
  <c r="G62" i="29"/>
  <c r="D62" i="29"/>
  <c r="C62" i="29"/>
  <c r="AB61" i="29"/>
  <c r="AA61" i="29"/>
  <c r="Z61" i="29"/>
  <c r="Y61" i="29"/>
  <c r="X61" i="29"/>
  <c r="U61" i="29"/>
  <c r="T61" i="29"/>
  <c r="H61" i="29"/>
  <c r="V61" i="29" s="1"/>
  <c r="G61" i="29"/>
  <c r="D61" i="29"/>
  <c r="C61" i="29"/>
  <c r="AB60" i="29"/>
  <c r="AA60" i="29"/>
  <c r="Z60" i="29"/>
  <c r="Y60" i="29"/>
  <c r="X60" i="29"/>
  <c r="U60" i="29"/>
  <c r="T60" i="29"/>
  <c r="H60" i="29"/>
  <c r="V60" i="29" s="1"/>
  <c r="G60" i="29"/>
  <c r="D60" i="29"/>
  <c r="C60" i="29"/>
  <c r="AB59" i="29"/>
  <c r="AA59" i="29"/>
  <c r="Z59" i="29"/>
  <c r="Y59" i="29"/>
  <c r="X59" i="29"/>
  <c r="U59" i="29"/>
  <c r="T59" i="29"/>
  <c r="H59" i="29"/>
  <c r="V59" i="29" s="1"/>
  <c r="G59" i="29"/>
  <c r="D59" i="29"/>
  <c r="C59" i="29"/>
  <c r="AB58" i="29"/>
  <c r="AA58" i="29"/>
  <c r="Z58" i="29"/>
  <c r="Y58" i="29"/>
  <c r="X58" i="29"/>
  <c r="U58" i="29"/>
  <c r="T58" i="29"/>
  <c r="H58" i="29"/>
  <c r="V58" i="29" s="1"/>
  <c r="G58" i="29"/>
  <c r="D58" i="29"/>
  <c r="C58" i="29"/>
  <c r="AB57" i="29"/>
  <c r="AA57" i="29"/>
  <c r="Z57" i="29"/>
  <c r="Y57" i="29"/>
  <c r="X57" i="29"/>
  <c r="U57" i="29"/>
  <c r="T57" i="29"/>
  <c r="H57" i="29"/>
  <c r="V57" i="29" s="1"/>
  <c r="G57" i="29"/>
  <c r="D57" i="29"/>
  <c r="C57" i="29"/>
  <c r="AB56" i="29"/>
  <c r="AA56" i="29"/>
  <c r="Z56" i="29"/>
  <c r="Y56" i="29"/>
  <c r="X56" i="29"/>
  <c r="U56" i="29"/>
  <c r="T56" i="29"/>
  <c r="H56" i="29"/>
  <c r="V56" i="29" s="1"/>
  <c r="G56" i="29"/>
  <c r="D56" i="29"/>
  <c r="C56" i="29"/>
  <c r="AB55" i="29"/>
  <c r="AA55" i="29"/>
  <c r="Z55" i="29"/>
  <c r="Y55" i="29"/>
  <c r="X55" i="29"/>
  <c r="U55" i="29"/>
  <c r="T55" i="29"/>
  <c r="H55" i="29"/>
  <c r="V55" i="29" s="1"/>
  <c r="G55" i="29"/>
  <c r="D55" i="29"/>
  <c r="C55" i="29"/>
  <c r="AB54" i="29"/>
  <c r="AA54" i="29"/>
  <c r="Z54" i="29"/>
  <c r="Y54" i="29"/>
  <c r="X54" i="29"/>
  <c r="U54" i="29"/>
  <c r="T54" i="29"/>
  <c r="H54" i="29"/>
  <c r="V54" i="29" s="1"/>
  <c r="G54" i="29"/>
  <c r="D54" i="29"/>
  <c r="C54" i="29"/>
  <c r="AB53" i="29"/>
  <c r="AA53" i="29"/>
  <c r="Z53" i="29"/>
  <c r="Y53" i="29"/>
  <c r="X53" i="29"/>
  <c r="U53" i="29"/>
  <c r="T53" i="29"/>
  <c r="H53" i="29"/>
  <c r="V53" i="29" s="1"/>
  <c r="G53" i="29"/>
  <c r="D53" i="29"/>
  <c r="C53" i="29"/>
  <c r="AB52" i="29"/>
  <c r="AA52" i="29"/>
  <c r="Z52" i="29"/>
  <c r="Y52" i="29"/>
  <c r="X52" i="29"/>
  <c r="U52" i="29"/>
  <c r="T52" i="29"/>
  <c r="H52" i="29"/>
  <c r="V52" i="29" s="1"/>
  <c r="G52" i="29"/>
  <c r="D52" i="29"/>
  <c r="C52" i="29"/>
  <c r="U51" i="29"/>
  <c r="T51" i="29"/>
  <c r="H51" i="29"/>
  <c r="V51" i="29" s="1"/>
  <c r="G51" i="29"/>
  <c r="D51" i="29"/>
  <c r="C51" i="29"/>
  <c r="U50" i="29"/>
  <c r="T50" i="29"/>
  <c r="H50" i="29"/>
  <c r="V50" i="29" s="1"/>
  <c r="G50" i="29"/>
  <c r="D50" i="29"/>
  <c r="C50" i="29"/>
  <c r="U49" i="29"/>
  <c r="T49" i="29"/>
  <c r="H49" i="29"/>
  <c r="V49" i="29" s="1"/>
  <c r="G49" i="29"/>
  <c r="D49" i="29"/>
  <c r="C49" i="29"/>
  <c r="U48" i="29"/>
  <c r="T48" i="29"/>
  <c r="H48" i="29"/>
  <c r="V48" i="29" s="1"/>
  <c r="G48" i="29"/>
  <c r="D48" i="29"/>
  <c r="C48" i="29"/>
  <c r="U47" i="29"/>
  <c r="T47" i="29"/>
  <c r="H47" i="29"/>
  <c r="V47" i="29" s="1"/>
  <c r="G47" i="29"/>
  <c r="D47" i="29"/>
  <c r="C47" i="29"/>
  <c r="U46" i="29"/>
  <c r="T46" i="29"/>
  <c r="H46" i="29"/>
  <c r="V46" i="29" s="1"/>
  <c r="G46" i="29"/>
  <c r="D46" i="29"/>
  <c r="C46" i="29"/>
  <c r="U45" i="29"/>
  <c r="T45" i="29"/>
  <c r="H45" i="29"/>
  <c r="V45" i="29" s="1"/>
  <c r="G45" i="29"/>
  <c r="D45" i="29"/>
  <c r="C45" i="29"/>
  <c r="U44" i="29"/>
  <c r="T44" i="29"/>
  <c r="H44" i="29"/>
  <c r="V44" i="29" s="1"/>
  <c r="G44" i="29"/>
  <c r="D44" i="29"/>
  <c r="C44" i="29"/>
  <c r="U43" i="29"/>
  <c r="T43" i="29"/>
  <c r="H43" i="29"/>
  <c r="V43" i="29" s="1"/>
  <c r="G43" i="29"/>
  <c r="D43" i="29"/>
  <c r="C43" i="29"/>
  <c r="U42" i="29"/>
  <c r="T42" i="29"/>
  <c r="H42" i="29"/>
  <c r="V42" i="29" s="1"/>
  <c r="G42" i="29"/>
  <c r="D42" i="29"/>
  <c r="C42" i="29"/>
  <c r="U41" i="29"/>
  <c r="T41" i="29"/>
  <c r="H41" i="29"/>
  <c r="V41" i="29" s="1"/>
  <c r="G41" i="29"/>
  <c r="D41" i="29"/>
  <c r="C41" i="29"/>
  <c r="U40" i="29"/>
  <c r="T40" i="29"/>
  <c r="H40" i="29"/>
  <c r="V40" i="29" s="1"/>
  <c r="G40" i="29"/>
  <c r="D40" i="29"/>
  <c r="C40" i="29"/>
  <c r="U39" i="29"/>
  <c r="T39" i="29"/>
  <c r="H39" i="29"/>
  <c r="V39" i="29" s="1"/>
  <c r="G39" i="29"/>
  <c r="D39" i="29"/>
  <c r="C39" i="29"/>
  <c r="U38" i="29"/>
  <c r="T38" i="29"/>
  <c r="H38" i="29"/>
  <c r="V38" i="29" s="1"/>
  <c r="G38" i="29"/>
  <c r="D38" i="29"/>
  <c r="C38" i="29"/>
  <c r="U37" i="29"/>
  <c r="T37" i="29"/>
  <c r="H37" i="29"/>
  <c r="V37" i="29" s="1"/>
  <c r="G37" i="29"/>
  <c r="D37" i="29"/>
  <c r="C37" i="29"/>
  <c r="U36" i="29"/>
  <c r="T36" i="29"/>
  <c r="H36" i="29"/>
  <c r="V36" i="29" s="1"/>
  <c r="G36" i="29"/>
  <c r="D36" i="29"/>
  <c r="C36" i="29"/>
  <c r="U35" i="29"/>
  <c r="T35" i="29"/>
  <c r="H35" i="29"/>
  <c r="V35" i="29" s="1"/>
  <c r="G35" i="29"/>
  <c r="D35" i="29"/>
  <c r="C35" i="29"/>
  <c r="U34" i="29"/>
  <c r="T34" i="29"/>
  <c r="H34" i="29"/>
  <c r="V34" i="29" s="1"/>
  <c r="G34" i="29"/>
  <c r="D34" i="29"/>
  <c r="C34" i="29"/>
  <c r="U33" i="29"/>
  <c r="T33" i="29"/>
  <c r="H33" i="29"/>
  <c r="V33" i="29" s="1"/>
  <c r="G33" i="29"/>
  <c r="D33" i="29"/>
  <c r="C33" i="29"/>
  <c r="U32" i="29"/>
  <c r="T32" i="29"/>
  <c r="H32" i="29"/>
  <c r="V32" i="29" s="1"/>
  <c r="G32" i="29"/>
  <c r="D32" i="29"/>
  <c r="C32" i="29"/>
  <c r="U31" i="29"/>
  <c r="T31" i="29"/>
  <c r="H31" i="29"/>
  <c r="V31" i="29" s="1"/>
  <c r="G31" i="29"/>
  <c r="D31" i="29"/>
  <c r="C31" i="29"/>
  <c r="U30" i="29"/>
  <c r="T30" i="29"/>
  <c r="H30" i="29"/>
  <c r="V30" i="29" s="1"/>
  <c r="G30" i="29"/>
  <c r="D30" i="29"/>
  <c r="C30" i="29"/>
  <c r="U29" i="29"/>
  <c r="T29" i="29"/>
  <c r="H29" i="29"/>
  <c r="V29" i="29" s="1"/>
  <c r="G29" i="29"/>
  <c r="D29" i="29"/>
  <c r="C29" i="29"/>
  <c r="U28" i="29"/>
  <c r="T28" i="29"/>
  <c r="H28" i="29"/>
  <c r="V28" i="29" s="1"/>
  <c r="G28" i="29"/>
  <c r="D28" i="29"/>
  <c r="C28" i="29"/>
  <c r="U27" i="29"/>
  <c r="T27" i="29"/>
  <c r="H27" i="29"/>
  <c r="V27" i="29" s="1"/>
  <c r="G27" i="29"/>
  <c r="D27" i="29"/>
  <c r="C27" i="29"/>
  <c r="U26" i="29"/>
  <c r="T26" i="29"/>
  <c r="H26" i="29"/>
  <c r="V26" i="29" s="1"/>
  <c r="G26" i="29"/>
  <c r="D26" i="29"/>
  <c r="C26" i="29"/>
  <c r="U25" i="29"/>
  <c r="T25" i="29"/>
  <c r="H25" i="29"/>
  <c r="V25" i="29" s="1"/>
  <c r="G25" i="29"/>
  <c r="D25" i="29"/>
  <c r="C25" i="29"/>
  <c r="U24" i="29"/>
  <c r="T24" i="29"/>
  <c r="H24" i="29"/>
  <c r="V24" i="29" s="1"/>
  <c r="G24" i="29"/>
  <c r="D24" i="29"/>
  <c r="C24" i="29"/>
  <c r="U23" i="29"/>
  <c r="T23" i="29"/>
  <c r="H23" i="29"/>
  <c r="V23" i="29" s="1"/>
  <c r="G23" i="29"/>
  <c r="D23" i="29"/>
  <c r="C23" i="29"/>
  <c r="U22" i="29"/>
  <c r="T22" i="29"/>
  <c r="R22" i="29"/>
  <c r="H22" i="29"/>
  <c r="V22" i="29" s="1"/>
  <c r="G22" i="29"/>
  <c r="D22" i="29"/>
  <c r="C22" i="29"/>
  <c r="U21" i="29"/>
  <c r="T21" i="29"/>
  <c r="R21" i="29"/>
  <c r="AD21" i="29" s="1"/>
  <c r="H21" i="29"/>
  <c r="V21" i="29" s="1"/>
  <c r="G21" i="29"/>
  <c r="D21" i="29"/>
  <c r="C21" i="29"/>
  <c r="U20" i="29"/>
  <c r="T20" i="29"/>
  <c r="R20" i="29"/>
  <c r="H20" i="29"/>
  <c r="V20" i="29" s="1"/>
  <c r="G20" i="29"/>
  <c r="D20" i="29"/>
  <c r="C20" i="29"/>
  <c r="U19" i="29"/>
  <c r="T19" i="29"/>
  <c r="R19" i="29"/>
  <c r="AD19" i="29" s="1"/>
  <c r="H19" i="29"/>
  <c r="V19" i="29" s="1"/>
  <c r="G19" i="29"/>
  <c r="D19" i="29"/>
  <c r="C19" i="29"/>
  <c r="U18" i="29"/>
  <c r="T18" i="29"/>
  <c r="R18" i="29"/>
  <c r="H18" i="29"/>
  <c r="V18" i="29" s="1"/>
  <c r="G18" i="29"/>
  <c r="D18" i="29"/>
  <c r="C18" i="29"/>
  <c r="U17" i="29"/>
  <c r="T17" i="29"/>
  <c r="R17" i="29"/>
  <c r="AD17" i="29" s="1"/>
  <c r="H17" i="29"/>
  <c r="V17" i="29" s="1"/>
  <c r="G17" i="29"/>
  <c r="D17" i="29"/>
  <c r="C17" i="29"/>
  <c r="U16" i="29"/>
  <c r="T16" i="29"/>
  <c r="R16" i="29"/>
  <c r="H16" i="29"/>
  <c r="V16" i="29" s="1"/>
  <c r="G16" i="29"/>
  <c r="D16" i="29"/>
  <c r="C16" i="29"/>
  <c r="U15" i="29"/>
  <c r="T15" i="29"/>
  <c r="R15" i="29"/>
  <c r="AD15" i="29" s="1"/>
  <c r="H15" i="29"/>
  <c r="V15" i="29" s="1"/>
  <c r="G15" i="29"/>
  <c r="D15" i="29"/>
  <c r="C15" i="29"/>
  <c r="U14" i="29"/>
  <c r="T14" i="29"/>
  <c r="R14" i="29"/>
  <c r="H14" i="29"/>
  <c r="V14" i="29" s="1"/>
  <c r="G14" i="29"/>
  <c r="D14" i="29"/>
  <c r="C14" i="29"/>
  <c r="U13" i="29"/>
  <c r="T13" i="29"/>
  <c r="R13" i="29"/>
  <c r="AD13" i="29" s="1"/>
  <c r="H13" i="29"/>
  <c r="V13" i="29" s="1"/>
  <c r="G13" i="29"/>
  <c r="D13" i="29"/>
  <c r="C13" i="29"/>
  <c r="U12" i="29"/>
  <c r="T12" i="29"/>
  <c r="H12" i="29"/>
  <c r="V12" i="29" s="1"/>
  <c r="G12" i="29"/>
  <c r="D12" i="29"/>
  <c r="C12" i="29"/>
  <c r="U11" i="29"/>
  <c r="T11" i="29"/>
  <c r="R11" i="29"/>
  <c r="H11" i="29"/>
  <c r="V11" i="29" s="1"/>
  <c r="G11" i="29"/>
  <c r="D11" i="29"/>
  <c r="C11" i="29"/>
  <c r="U10" i="29"/>
  <c r="T10" i="29"/>
  <c r="H10" i="29"/>
  <c r="V10" i="29" s="1"/>
  <c r="G10" i="29"/>
  <c r="D10" i="29"/>
  <c r="C10" i="29"/>
  <c r="U9" i="29"/>
  <c r="T9" i="29"/>
  <c r="H9" i="29"/>
  <c r="V9" i="29" s="1"/>
  <c r="G9" i="29"/>
  <c r="D9" i="29"/>
  <c r="C9" i="29"/>
  <c r="AC8" i="29"/>
  <c r="AB8" i="29"/>
  <c r="AA8" i="29"/>
  <c r="Z8" i="29"/>
  <c r="Y8" i="29"/>
  <c r="U8" i="29"/>
  <c r="T8" i="29"/>
  <c r="H8" i="29"/>
  <c r="V8" i="29" s="1"/>
  <c r="G8" i="29"/>
  <c r="D8" i="29"/>
  <c r="C8" i="29"/>
  <c r="AG7" i="29"/>
  <c r="U7" i="29"/>
  <c r="T7" i="29"/>
  <c r="H7" i="29"/>
  <c r="V7" i="29" s="1"/>
  <c r="G7" i="29"/>
  <c r="D7" i="29"/>
  <c r="C7" i="29"/>
  <c r="U6" i="29"/>
  <c r="T6" i="29"/>
  <c r="H6" i="29"/>
  <c r="V6" i="29" s="1"/>
  <c r="G6" i="29"/>
  <c r="D6" i="29"/>
  <c r="C6" i="29"/>
  <c r="AK5" i="29"/>
  <c r="AJ5" i="29"/>
  <c r="Z7" i="29" s="1"/>
  <c r="AI5" i="29"/>
  <c r="Y22" i="29" s="1"/>
  <c r="AG3" i="29"/>
  <c r="C2" i="29" a="1"/>
  <c r="C2" i="29" s="1"/>
  <c r="B2" i="29" a="1"/>
  <c r="B2" i="29" s="1"/>
  <c r="C1" i="29"/>
  <c r="B1" i="29"/>
  <c r="U105" i="28"/>
  <c r="T105" i="28"/>
  <c r="H105" i="28"/>
  <c r="V105" i="28" s="1"/>
  <c r="G105" i="28"/>
  <c r="D105" i="28"/>
  <c r="C105" i="28"/>
  <c r="U104" i="28"/>
  <c r="T104" i="28"/>
  <c r="H104" i="28"/>
  <c r="V104" i="28" s="1"/>
  <c r="G104" i="28"/>
  <c r="D104" i="28"/>
  <c r="C104" i="28"/>
  <c r="U103" i="28"/>
  <c r="T103" i="28"/>
  <c r="H103" i="28"/>
  <c r="V103" i="28" s="1"/>
  <c r="G103" i="28"/>
  <c r="D103" i="28"/>
  <c r="C103" i="28"/>
  <c r="U102" i="28"/>
  <c r="T102" i="28"/>
  <c r="H102" i="28"/>
  <c r="V102" i="28" s="1"/>
  <c r="G102" i="28"/>
  <c r="D102" i="28"/>
  <c r="C102" i="28"/>
  <c r="U101" i="28"/>
  <c r="T101" i="28"/>
  <c r="H101" i="28"/>
  <c r="V101" i="28" s="1"/>
  <c r="G101" i="28"/>
  <c r="D101" i="28"/>
  <c r="C101" i="28"/>
  <c r="U100" i="28"/>
  <c r="T100" i="28"/>
  <c r="H100" i="28"/>
  <c r="V100" i="28" s="1"/>
  <c r="G100" i="28"/>
  <c r="D100" i="28"/>
  <c r="C100" i="28"/>
  <c r="U99" i="28"/>
  <c r="T99" i="28"/>
  <c r="H99" i="28"/>
  <c r="V99" i="28" s="1"/>
  <c r="G99" i="28"/>
  <c r="D99" i="28"/>
  <c r="C99" i="28"/>
  <c r="U98" i="28"/>
  <c r="T98" i="28"/>
  <c r="H98" i="28"/>
  <c r="V98" i="28" s="1"/>
  <c r="G98" i="28"/>
  <c r="D98" i="28"/>
  <c r="C98" i="28"/>
  <c r="U97" i="28"/>
  <c r="T97" i="28"/>
  <c r="H97" i="28"/>
  <c r="V97" i="28" s="1"/>
  <c r="G97" i="28"/>
  <c r="D97" i="28"/>
  <c r="C97" i="28"/>
  <c r="U96" i="28"/>
  <c r="T96" i="28"/>
  <c r="H96" i="28"/>
  <c r="V96" i="28" s="1"/>
  <c r="G96" i="28"/>
  <c r="D96" i="28"/>
  <c r="C96" i="28"/>
  <c r="U95" i="28"/>
  <c r="T95" i="28"/>
  <c r="H95" i="28"/>
  <c r="V95" i="28" s="1"/>
  <c r="G95" i="28"/>
  <c r="D95" i="28"/>
  <c r="C95" i="28"/>
  <c r="U94" i="28"/>
  <c r="T94" i="28"/>
  <c r="H94" i="28"/>
  <c r="V94" i="28" s="1"/>
  <c r="G94" i="28"/>
  <c r="D94" i="28"/>
  <c r="C94" i="28"/>
  <c r="U93" i="28"/>
  <c r="T93" i="28"/>
  <c r="H93" i="28"/>
  <c r="V93" i="28" s="1"/>
  <c r="G93" i="28"/>
  <c r="D93" i="28"/>
  <c r="C93" i="28"/>
  <c r="U92" i="28"/>
  <c r="T92" i="28"/>
  <c r="H92" i="28"/>
  <c r="V92" i="28" s="1"/>
  <c r="G92" i="28"/>
  <c r="D92" i="28"/>
  <c r="C92" i="28"/>
  <c r="U91" i="28"/>
  <c r="T91" i="28"/>
  <c r="H91" i="28"/>
  <c r="V91" i="28" s="1"/>
  <c r="G91" i="28"/>
  <c r="D91" i="28"/>
  <c r="C91" i="28"/>
  <c r="U90" i="28"/>
  <c r="T90" i="28"/>
  <c r="H90" i="28"/>
  <c r="V90" i="28" s="1"/>
  <c r="G90" i="28"/>
  <c r="D90" i="28"/>
  <c r="C90" i="28"/>
  <c r="U89" i="28"/>
  <c r="T89" i="28"/>
  <c r="H89" i="28"/>
  <c r="V89" i="28" s="1"/>
  <c r="G89" i="28"/>
  <c r="D89" i="28"/>
  <c r="C89" i="28"/>
  <c r="U88" i="28"/>
  <c r="T88" i="28"/>
  <c r="H88" i="28"/>
  <c r="V88" i="28" s="1"/>
  <c r="G88" i="28"/>
  <c r="D88" i="28"/>
  <c r="C88" i="28"/>
  <c r="X87" i="28"/>
  <c r="U87" i="28"/>
  <c r="T87" i="28"/>
  <c r="H87" i="28"/>
  <c r="V87" i="28" s="1"/>
  <c r="G87" i="28"/>
  <c r="D87" i="28"/>
  <c r="C87" i="28"/>
  <c r="X86" i="28"/>
  <c r="U86" i="28"/>
  <c r="T86" i="28"/>
  <c r="H86" i="28"/>
  <c r="V86" i="28" s="1"/>
  <c r="G86" i="28"/>
  <c r="D86" i="28"/>
  <c r="C86" i="28"/>
  <c r="X85" i="28"/>
  <c r="U85" i="28"/>
  <c r="T85" i="28"/>
  <c r="H85" i="28"/>
  <c r="V85" i="28" s="1"/>
  <c r="G85" i="28"/>
  <c r="D85" i="28"/>
  <c r="C85" i="28"/>
  <c r="X84" i="28"/>
  <c r="U84" i="28"/>
  <c r="T84" i="28"/>
  <c r="H84" i="28"/>
  <c r="V84" i="28" s="1"/>
  <c r="G84" i="28"/>
  <c r="D84" i="28"/>
  <c r="C84" i="28"/>
  <c r="X83" i="28"/>
  <c r="U83" i="28"/>
  <c r="T83" i="28"/>
  <c r="H83" i="28"/>
  <c r="V83" i="28" s="1"/>
  <c r="G83" i="28"/>
  <c r="D83" i="28"/>
  <c r="C83" i="28"/>
  <c r="X82" i="28"/>
  <c r="U82" i="28"/>
  <c r="T82" i="28"/>
  <c r="H82" i="28"/>
  <c r="V82" i="28" s="1"/>
  <c r="G82" i="28"/>
  <c r="D82" i="28"/>
  <c r="C82" i="28"/>
  <c r="X81" i="28"/>
  <c r="U81" i="28"/>
  <c r="T81" i="28"/>
  <c r="H81" i="28"/>
  <c r="V81" i="28" s="1"/>
  <c r="G81" i="28"/>
  <c r="D81" i="28"/>
  <c r="C81" i="28"/>
  <c r="X80" i="28"/>
  <c r="U80" i="28"/>
  <c r="T80" i="28"/>
  <c r="H80" i="28"/>
  <c r="V80" i="28" s="1"/>
  <c r="G80" i="28"/>
  <c r="D80" i="28"/>
  <c r="C80" i="28"/>
  <c r="X79" i="28"/>
  <c r="U79" i="28"/>
  <c r="T79" i="28"/>
  <c r="H79" i="28"/>
  <c r="V79" i="28" s="1"/>
  <c r="G79" i="28"/>
  <c r="D79" i="28"/>
  <c r="C79" i="28"/>
  <c r="X78" i="28"/>
  <c r="U78" i="28"/>
  <c r="T78" i="28"/>
  <c r="H78" i="28"/>
  <c r="V78" i="28" s="1"/>
  <c r="G78" i="28"/>
  <c r="D78" i="28"/>
  <c r="C78" i="28"/>
  <c r="U77" i="28"/>
  <c r="T77" i="28"/>
  <c r="H77" i="28"/>
  <c r="V77" i="28" s="1"/>
  <c r="G77" i="28"/>
  <c r="D77" i="28"/>
  <c r="C77" i="28"/>
  <c r="U76" i="28"/>
  <c r="T76" i="28"/>
  <c r="H76" i="28"/>
  <c r="V76" i="28" s="1"/>
  <c r="G76" i="28"/>
  <c r="D76" i="28"/>
  <c r="C76" i="28"/>
  <c r="U75" i="28"/>
  <c r="T75" i="28"/>
  <c r="H75" i="28"/>
  <c r="V75" i="28" s="1"/>
  <c r="G75" i="28"/>
  <c r="D75" i="28"/>
  <c r="C75" i="28"/>
  <c r="AB74" i="28"/>
  <c r="AA74" i="28"/>
  <c r="Z74" i="28"/>
  <c r="Y74" i="28"/>
  <c r="X74" i="28"/>
  <c r="U74" i="28"/>
  <c r="T74" i="28"/>
  <c r="H74" i="28"/>
  <c r="V74" i="28" s="1"/>
  <c r="G74" i="28"/>
  <c r="D74" i="28"/>
  <c r="C74" i="28"/>
  <c r="AB73" i="28"/>
  <c r="AA73" i="28"/>
  <c r="Z73" i="28"/>
  <c r="Y73" i="28"/>
  <c r="X73" i="28"/>
  <c r="U73" i="28"/>
  <c r="T73" i="28"/>
  <c r="H73" i="28"/>
  <c r="V73" i="28" s="1"/>
  <c r="G73" i="28"/>
  <c r="D73" i="28"/>
  <c r="C73" i="28"/>
  <c r="AB72" i="28"/>
  <c r="AA72" i="28"/>
  <c r="Z72" i="28"/>
  <c r="Y72" i="28"/>
  <c r="X72" i="28"/>
  <c r="U72" i="28"/>
  <c r="T72" i="28"/>
  <c r="H72" i="28"/>
  <c r="V72" i="28" s="1"/>
  <c r="G72" i="28"/>
  <c r="D72" i="28"/>
  <c r="C72" i="28"/>
  <c r="AB71" i="28"/>
  <c r="AA71" i="28"/>
  <c r="Z71" i="28"/>
  <c r="Y71" i="28"/>
  <c r="X71" i="28"/>
  <c r="U71" i="28"/>
  <c r="T71" i="28"/>
  <c r="H71" i="28"/>
  <c r="V71" i="28" s="1"/>
  <c r="G71" i="28"/>
  <c r="D71" i="28"/>
  <c r="C71" i="28"/>
  <c r="AB70" i="28"/>
  <c r="AA70" i="28"/>
  <c r="Z70" i="28"/>
  <c r="Y70" i="28"/>
  <c r="X70" i="28"/>
  <c r="U70" i="28"/>
  <c r="T70" i="28"/>
  <c r="H70" i="28"/>
  <c r="V70" i="28" s="1"/>
  <c r="G70" i="28"/>
  <c r="D70" i="28"/>
  <c r="C70" i="28"/>
  <c r="AB69" i="28"/>
  <c r="AA69" i="28"/>
  <c r="Z69" i="28"/>
  <c r="Y69" i="28"/>
  <c r="X69" i="28"/>
  <c r="U69" i="28"/>
  <c r="T69" i="28"/>
  <c r="H69" i="28"/>
  <c r="V69" i="28" s="1"/>
  <c r="G69" i="28"/>
  <c r="D69" i="28"/>
  <c r="C69" i="28"/>
  <c r="AB68" i="28"/>
  <c r="AA68" i="28"/>
  <c r="Z68" i="28"/>
  <c r="Y68" i="28"/>
  <c r="X68" i="28"/>
  <c r="U68" i="28"/>
  <c r="T68" i="28"/>
  <c r="H68" i="28"/>
  <c r="V68" i="28" s="1"/>
  <c r="G68" i="28"/>
  <c r="D68" i="28"/>
  <c r="C68" i="28"/>
  <c r="AB67" i="28"/>
  <c r="AA67" i="28"/>
  <c r="Z67" i="28"/>
  <c r="Y67" i="28"/>
  <c r="X67" i="28"/>
  <c r="U67" i="28"/>
  <c r="T67" i="28"/>
  <c r="H67" i="28"/>
  <c r="V67" i="28" s="1"/>
  <c r="G67" i="28"/>
  <c r="D67" i="28"/>
  <c r="C67" i="28"/>
  <c r="AB66" i="28"/>
  <c r="AA66" i="28"/>
  <c r="Z66" i="28"/>
  <c r="Y66" i="28"/>
  <c r="X66" i="28"/>
  <c r="U66" i="28"/>
  <c r="T66" i="28"/>
  <c r="H66" i="28"/>
  <c r="V66" i="28" s="1"/>
  <c r="G66" i="28"/>
  <c r="D66" i="28"/>
  <c r="C66" i="28"/>
  <c r="AB65" i="28"/>
  <c r="AA65" i="28"/>
  <c r="Z65" i="28"/>
  <c r="Y65" i="28"/>
  <c r="X65" i="28"/>
  <c r="U65" i="28"/>
  <c r="T65" i="28"/>
  <c r="H65" i="28"/>
  <c r="V65" i="28" s="1"/>
  <c r="G65" i="28"/>
  <c r="D65" i="28"/>
  <c r="C65" i="28"/>
  <c r="U64" i="28"/>
  <c r="T64" i="28"/>
  <c r="H64" i="28"/>
  <c r="V64" i="28" s="1"/>
  <c r="G64" i="28"/>
  <c r="D64" i="28"/>
  <c r="C64" i="28"/>
  <c r="U63" i="28"/>
  <c r="T63" i="28"/>
  <c r="H63" i="28"/>
  <c r="V63" i="28" s="1"/>
  <c r="G63" i="28"/>
  <c r="D63" i="28"/>
  <c r="C63" i="28"/>
  <c r="U62" i="28"/>
  <c r="T62" i="28"/>
  <c r="H62" i="28"/>
  <c r="V62" i="28" s="1"/>
  <c r="G62" i="28"/>
  <c r="D62" i="28"/>
  <c r="C62" i="28"/>
  <c r="AB61" i="28"/>
  <c r="AA61" i="28"/>
  <c r="Z61" i="28"/>
  <c r="Y61" i="28"/>
  <c r="X61" i="28"/>
  <c r="U61" i="28"/>
  <c r="T61" i="28"/>
  <c r="H61" i="28"/>
  <c r="V61" i="28" s="1"/>
  <c r="G61" i="28"/>
  <c r="D61" i="28"/>
  <c r="C61" i="28"/>
  <c r="AB60" i="28"/>
  <c r="AA60" i="28"/>
  <c r="Z60" i="28"/>
  <c r="Y60" i="28"/>
  <c r="X60" i="28"/>
  <c r="U60" i="28"/>
  <c r="T60" i="28"/>
  <c r="H60" i="28"/>
  <c r="V60" i="28" s="1"/>
  <c r="G60" i="28"/>
  <c r="D60" i="28"/>
  <c r="C60" i="28"/>
  <c r="AB59" i="28"/>
  <c r="AA59" i="28"/>
  <c r="Z59" i="28"/>
  <c r="Y59" i="28"/>
  <c r="X59" i="28"/>
  <c r="U59" i="28"/>
  <c r="T59" i="28"/>
  <c r="H59" i="28"/>
  <c r="V59" i="28" s="1"/>
  <c r="G59" i="28"/>
  <c r="D59" i="28"/>
  <c r="C59" i="28"/>
  <c r="AB58" i="28"/>
  <c r="AA58" i="28"/>
  <c r="Z58" i="28"/>
  <c r="Y58" i="28"/>
  <c r="X58" i="28"/>
  <c r="U58" i="28"/>
  <c r="T58" i="28"/>
  <c r="H58" i="28"/>
  <c r="V58" i="28" s="1"/>
  <c r="G58" i="28"/>
  <c r="D58" i="28"/>
  <c r="C58" i="28"/>
  <c r="AB57" i="28"/>
  <c r="AA57" i="28"/>
  <c r="Z57" i="28"/>
  <c r="Y57" i="28"/>
  <c r="X57" i="28"/>
  <c r="U57" i="28"/>
  <c r="T57" i="28"/>
  <c r="H57" i="28"/>
  <c r="V57" i="28" s="1"/>
  <c r="G57" i="28"/>
  <c r="D57" i="28"/>
  <c r="C57" i="28"/>
  <c r="AB56" i="28"/>
  <c r="AA56" i="28"/>
  <c r="Z56" i="28"/>
  <c r="Y56" i="28"/>
  <c r="X56" i="28"/>
  <c r="U56" i="28"/>
  <c r="T56" i="28"/>
  <c r="H56" i="28"/>
  <c r="V56" i="28" s="1"/>
  <c r="G56" i="28"/>
  <c r="D56" i="28"/>
  <c r="C56" i="28"/>
  <c r="AB55" i="28"/>
  <c r="AA55" i="28"/>
  <c r="Z55" i="28"/>
  <c r="Y55" i="28"/>
  <c r="X55" i="28"/>
  <c r="U55" i="28"/>
  <c r="T55" i="28"/>
  <c r="H55" i="28"/>
  <c r="V55" i="28" s="1"/>
  <c r="G55" i="28"/>
  <c r="D55" i="28"/>
  <c r="C55" i="28"/>
  <c r="AB54" i="28"/>
  <c r="AA54" i="28"/>
  <c r="Z54" i="28"/>
  <c r="Y54" i="28"/>
  <c r="X54" i="28"/>
  <c r="U54" i="28"/>
  <c r="T54" i="28"/>
  <c r="H54" i="28"/>
  <c r="V54" i="28" s="1"/>
  <c r="G54" i="28"/>
  <c r="D54" i="28"/>
  <c r="C54" i="28"/>
  <c r="AB53" i="28"/>
  <c r="AA53" i="28"/>
  <c r="Z53" i="28"/>
  <c r="Y53" i="28"/>
  <c r="X53" i="28"/>
  <c r="U53" i="28"/>
  <c r="T53" i="28"/>
  <c r="H53" i="28"/>
  <c r="V53" i="28" s="1"/>
  <c r="G53" i="28"/>
  <c r="D53" i="28"/>
  <c r="C53" i="28"/>
  <c r="AB52" i="28"/>
  <c r="AA52" i="28"/>
  <c r="Z52" i="28"/>
  <c r="Y52" i="28"/>
  <c r="X52" i="28"/>
  <c r="U52" i="28"/>
  <c r="T52" i="28"/>
  <c r="H52" i="28"/>
  <c r="V52" i="28" s="1"/>
  <c r="G52" i="28"/>
  <c r="D52" i="28"/>
  <c r="C52" i="28"/>
  <c r="U51" i="28"/>
  <c r="T51" i="28"/>
  <c r="H51" i="28"/>
  <c r="V51" i="28" s="1"/>
  <c r="G51" i="28"/>
  <c r="D51" i="28"/>
  <c r="C51" i="28"/>
  <c r="U50" i="28"/>
  <c r="T50" i="28"/>
  <c r="H50" i="28"/>
  <c r="V50" i="28" s="1"/>
  <c r="G50" i="28"/>
  <c r="D50" i="28"/>
  <c r="C50" i="28"/>
  <c r="U49" i="28"/>
  <c r="T49" i="28"/>
  <c r="H49" i="28"/>
  <c r="V49" i="28" s="1"/>
  <c r="G49" i="28"/>
  <c r="D49" i="28"/>
  <c r="C49" i="28"/>
  <c r="U48" i="28"/>
  <c r="T48" i="28"/>
  <c r="H48" i="28"/>
  <c r="V48" i="28" s="1"/>
  <c r="G48" i="28"/>
  <c r="D48" i="28"/>
  <c r="C48" i="28"/>
  <c r="U47" i="28"/>
  <c r="T47" i="28"/>
  <c r="H47" i="28"/>
  <c r="V47" i="28" s="1"/>
  <c r="G47" i="28"/>
  <c r="D47" i="28"/>
  <c r="C47" i="28"/>
  <c r="U46" i="28"/>
  <c r="T46" i="28"/>
  <c r="H46" i="28"/>
  <c r="V46" i="28" s="1"/>
  <c r="G46" i="28"/>
  <c r="D46" i="28"/>
  <c r="C46" i="28"/>
  <c r="U45" i="28"/>
  <c r="T45" i="28"/>
  <c r="H45" i="28"/>
  <c r="V45" i="28" s="1"/>
  <c r="G45" i="28"/>
  <c r="D45" i="28"/>
  <c r="C45" i="28"/>
  <c r="U44" i="28"/>
  <c r="T44" i="28"/>
  <c r="H44" i="28"/>
  <c r="V44" i="28" s="1"/>
  <c r="G44" i="28"/>
  <c r="D44" i="28"/>
  <c r="C44" i="28"/>
  <c r="U43" i="28"/>
  <c r="T43" i="28"/>
  <c r="H43" i="28"/>
  <c r="V43" i="28" s="1"/>
  <c r="G43" i="28"/>
  <c r="D43" i="28"/>
  <c r="C43" i="28"/>
  <c r="U42" i="28"/>
  <c r="T42" i="28"/>
  <c r="H42" i="28"/>
  <c r="V42" i="28" s="1"/>
  <c r="G42" i="28"/>
  <c r="D42" i="28"/>
  <c r="C42" i="28"/>
  <c r="U41" i="28"/>
  <c r="T41" i="28"/>
  <c r="H41" i="28"/>
  <c r="V41" i="28" s="1"/>
  <c r="G41" i="28"/>
  <c r="D41" i="28"/>
  <c r="C41" i="28"/>
  <c r="U40" i="28"/>
  <c r="T40" i="28"/>
  <c r="H40" i="28"/>
  <c r="V40" i="28" s="1"/>
  <c r="G40" i="28"/>
  <c r="D40" i="28"/>
  <c r="C40" i="28"/>
  <c r="U39" i="28"/>
  <c r="T39" i="28"/>
  <c r="H39" i="28"/>
  <c r="V39" i="28" s="1"/>
  <c r="G39" i="28"/>
  <c r="D39" i="28"/>
  <c r="C39" i="28"/>
  <c r="U38" i="28"/>
  <c r="T38" i="28"/>
  <c r="H38" i="28"/>
  <c r="V38" i="28" s="1"/>
  <c r="G38" i="28"/>
  <c r="D38" i="28"/>
  <c r="C38" i="28"/>
  <c r="U37" i="28"/>
  <c r="T37" i="28"/>
  <c r="H37" i="28"/>
  <c r="V37" i="28" s="1"/>
  <c r="G37" i="28"/>
  <c r="D37" i="28"/>
  <c r="C37" i="28"/>
  <c r="U36" i="28"/>
  <c r="T36" i="28"/>
  <c r="H36" i="28"/>
  <c r="V36" i="28" s="1"/>
  <c r="G36" i="28"/>
  <c r="D36" i="28"/>
  <c r="C36" i="28"/>
  <c r="U35" i="28"/>
  <c r="T35" i="28"/>
  <c r="H35" i="28"/>
  <c r="V35" i="28" s="1"/>
  <c r="G35" i="28"/>
  <c r="D35" i="28"/>
  <c r="C35" i="28"/>
  <c r="U34" i="28"/>
  <c r="T34" i="28"/>
  <c r="H34" i="28"/>
  <c r="V34" i="28" s="1"/>
  <c r="G34" i="28"/>
  <c r="D34" i="28"/>
  <c r="C34" i="28"/>
  <c r="U33" i="28"/>
  <c r="T33" i="28"/>
  <c r="H33" i="28"/>
  <c r="V33" i="28" s="1"/>
  <c r="G33" i="28"/>
  <c r="D33" i="28"/>
  <c r="C33" i="28"/>
  <c r="U32" i="28"/>
  <c r="T32" i="28"/>
  <c r="H32" i="28"/>
  <c r="V32" i="28" s="1"/>
  <c r="G32" i="28"/>
  <c r="D32" i="28"/>
  <c r="C32" i="28"/>
  <c r="U31" i="28"/>
  <c r="T31" i="28"/>
  <c r="H31" i="28"/>
  <c r="V31" i="28" s="1"/>
  <c r="G31" i="28"/>
  <c r="D31" i="28"/>
  <c r="C31" i="28"/>
  <c r="U30" i="28"/>
  <c r="T30" i="28"/>
  <c r="H30" i="28"/>
  <c r="V30" i="28" s="1"/>
  <c r="G30" i="28"/>
  <c r="D30" i="28"/>
  <c r="C30" i="28"/>
  <c r="U29" i="28"/>
  <c r="T29" i="28"/>
  <c r="H29" i="28"/>
  <c r="V29" i="28" s="1"/>
  <c r="G29" i="28"/>
  <c r="D29" i="28"/>
  <c r="C29" i="28"/>
  <c r="U28" i="28"/>
  <c r="T28" i="28"/>
  <c r="H28" i="28"/>
  <c r="V28" i="28" s="1"/>
  <c r="G28" i="28"/>
  <c r="D28" i="28"/>
  <c r="C28" i="28"/>
  <c r="U27" i="28"/>
  <c r="T27" i="28"/>
  <c r="H27" i="28"/>
  <c r="V27" i="28" s="1"/>
  <c r="G27" i="28"/>
  <c r="D27" i="28"/>
  <c r="C27" i="28"/>
  <c r="U26" i="28"/>
  <c r="T26" i="28"/>
  <c r="H26" i="28"/>
  <c r="V26" i="28" s="1"/>
  <c r="G26" i="28"/>
  <c r="D26" i="28"/>
  <c r="C26" i="28"/>
  <c r="U25" i="28"/>
  <c r="T25" i="28"/>
  <c r="H25" i="28"/>
  <c r="V25" i="28" s="1"/>
  <c r="G25" i="28"/>
  <c r="D25" i="28"/>
  <c r="C25" i="28"/>
  <c r="U24" i="28"/>
  <c r="T24" i="28"/>
  <c r="H24" i="28"/>
  <c r="V24" i="28" s="1"/>
  <c r="G24" i="28"/>
  <c r="D24" i="28"/>
  <c r="C24" i="28"/>
  <c r="U23" i="28"/>
  <c r="T23" i="28"/>
  <c r="H23" i="28"/>
  <c r="V23" i="28" s="1"/>
  <c r="G23" i="28"/>
  <c r="D23" i="28"/>
  <c r="C23" i="28"/>
  <c r="U22" i="28"/>
  <c r="T22" i="28"/>
  <c r="R22" i="28"/>
  <c r="H22" i="28"/>
  <c r="V22" i="28" s="1"/>
  <c r="G22" i="28"/>
  <c r="D22" i="28"/>
  <c r="C22" i="28"/>
  <c r="U21" i="28"/>
  <c r="T21" i="28"/>
  <c r="R21" i="28"/>
  <c r="H21" i="28"/>
  <c r="V21" i="28" s="1"/>
  <c r="G21" i="28"/>
  <c r="D21" i="28"/>
  <c r="C21" i="28"/>
  <c r="U20" i="28"/>
  <c r="T20" i="28"/>
  <c r="R20" i="28"/>
  <c r="AD20" i="28" s="1"/>
  <c r="H20" i="28"/>
  <c r="V20" i="28" s="1"/>
  <c r="G20" i="28"/>
  <c r="D20" i="28"/>
  <c r="C20" i="28"/>
  <c r="U19" i="28"/>
  <c r="T19" i="28"/>
  <c r="R19" i="28"/>
  <c r="AD19" i="28" s="1"/>
  <c r="H19" i="28"/>
  <c r="V19" i="28" s="1"/>
  <c r="G19" i="28"/>
  <c r="D19" i="28"/>
  <c r="C19" i="28"/>
  <c r="U18" i="28"/>
  <c r="T18" i="28"/>
  <c r="R18" i="28"/>
  <c r="H18" i="28"/>
  <c r="V18" i="28" s="1"/>
  <c r="G18" i="28"/>
  <c r="D18" i="28"/>
  <c r="C18" i="28"/>
  <c r="U17" i="28"/>
  <c r="T17" i="28"/>
  <c r="R17" i="28"/>
  <c r="H17" i="28"/>
  <c r="V17" i="28" s="1"/>
  <c r="G17" i="28"/>
  <c r="D17" i="28"/>
  <c r="C17" i="28"/>
  <c r="U16" i="28"/>
  <c r="T16" i="28"/>
  <c r="R16" i="28"/>
  <c r="AD16" i="28" s="1"/>
  <c r="H16" i="28"/>
  <c r="V16" i="28" s="1"/>
  <c r="G16" i="28"/>
  <c r="D16" i="28"/>
  <c r="C16" i="28"/>
  <c r="U15" i="28"/>
  <c r="T15" i="28"/>
  <c r="R15" i="28"/>
  <c r="H15" i="28"/>
  <c r="V15" i="28" s="1"/>
  <c r="G15" i="28"/>
  <c r="D15" i="28"/>
  <c r="C15" i="28"/>
  <c r="AD14" i="28"/>
  <c r="U14" i="28"/>
  <c r="T14" i="28"/>
  <c r="R14" i="28"/>
  <c r="AD21" i="28" s="1"/>
  <c r="H14" i="28"/>
  <c r="V14" i="28" s="1"/>
  <c r="G14" i="28"/>
  <c r="D14" i="28"/>
  <c r="C14" i="28"/>
  <c r="U13" i="28"/>
  <c r="T13" i="28"/>
  <c r="R13" i="28"/>
  <c r="H13" i="28"/>
  <c r="V13" i="28" s="1"/>
  <c r="G13" i="28"/>
  <c r="D13" i="28"/>
  <c r="C13" i="28"/>
  <c r="U12" i="28"/>
  <c r="T12" i="28"/>
  <c r="H12" i="28"/>
  <c r="V12" i="28" s="1"/>
  <c r="G12" i="28"/>
  <c r="D12" i="28"/>
  <c r="C12" i="28"/>
  <c r="U11" i="28"/>
  <c r="T11" i="28"/>
  <c r="H11" i="28"/>
  <c r="V11" i="28" s="1"/>
  <c r="G11" i="28"/>
  <c r="D11" i="28"/>
  <c r="C11" i="28"/>
  <c r="U10" i="28"/>
  <c r="T10" i="28"/>
  <c r="H10" i="28"/>
  <c r="V10" i="28" s="1"/>
  <c r="G10" i="28"/>
  <c r="D10" i="28"/>
  <c r="C10" i="28"/>
  <c r="U9" i="28"/>
  <c r="T9" i="28"/>
  <c r="H9" i="28"/>
  <c r="V9" i="28" s="1"/>
  <c r="G9" i="28"/>
  <c r="D9" i="28"/>
  <c r="C9" i="28"/>
  <c r="AC8" i="28"/>
  <c r="AB8" i="28"/>
  <c r="AA8" i="28"/>
  <c r="Z8" i="28"/>
  <c r="Y8" i="28"/>
  <c r="AG9" i="28" s="1"/>
  <c r="U8" i="28"/>
  <c r="T8" i="28"/>
  <c r="H8" i="28"/>
  <c r="V8" i="28" s="1"/>
  <c r="G8" i="28"/>
  <c r="D8" i="28"/>
  <c r="C8" i="28"/>
  <c r="AG7" i="28"/>
  <c r="U7" i="28"/>
  <c r="T7" i="28"/>
  <c r="H7" i="28"/>
  <c r="V7" i="28" s="1"/>
  <c r="G7" i="28"/>
  <c r="D7" i="28"/>
  <c r="C7" i="28"/>
  <c r="U6" i="28"/>
  <c r="T6" i="28"/>
  <c r="H6" i="28"/>
  <c r="V6" i="28" s="1"/>
  <c r="G6" i="28"/>
  <c r="D6" i="28"/>
  <c r="C6" i="28"/>
  <c r="AK5" i="28"/>
  <c r="AJ5" i="28"/>
  <c r="Z7" i="28" s="1"/>
  <c r="AI5" i="28"/>
  <c r="Y22" i="28" s="1"/>
  <c r="AG3" i="28"/>
  <c r="C2" i="28" a="1"/>
  <c r="C2" i="28" s="1"/>
  <c r="B2" i="28" a="1"/>
  <c r="B2" i="28" s="1"/>
  <c r="C1" i="28"/>
  <c r="B1" i="28"/>
  <c r="U105" i="27"/>
  <c r="T105" i="27"/>
  <c r="H105" i="27"/>
  <c r="V105" i="27" s="1"/>
  <c r="G105" i="27"/>
  <c r="D105" i="27"/>
  <c r="C105" i="27"/>
  <c r="U104" i="27"/>
  <c r="T104" i="27"/>
  <c r="H104" i="27"/>
  <c r="V104" i="27" s="1"/>
  <c r="G104" i="27"/>
  <c r="D104" i="27"/>
  <c r="C104" i="27"/>
  <c r="U103" i="27"/>
  <c r="T103" i="27"/>
  <c r="H103" i="27"/>
  <c r="V103" i="27" s="1"/>
  <c r="G103" i="27"/>
  <c r="D103" i="27"/>
  <c r="C103" i="27"/>
  <c r="U102" i="27"/>
  <c r="T102" i="27"/>
  <c r="H102" i="27"/>
  <c r="V102" i="27" s="1"/>
  <c r="G102" i="27"/>
  <c r="D102" i="27"/>
  <c r="C102" i="27"/>
  <c r="U101" i="27"/>
  <c r="T101" i="27"/>
  <c r="H101" i="27"/>
  <c r="V101" i="27" s="1"/>
  <c r="G101" i="27"/>
  <c r="D101" i="27"/>
  <c r="C101" i="27"/>
  <c r="U100" i="27"/>
  <c r="T100" i="27"/>
  <c r="H100" i="27"/>
  <c r="V100" i="27" s="1"/>
  <c r="G100" i="27"/>
  <c r="D100" i="27"/>
  <c r="C100" i="27"/>
  <c r="U99" i="27"/>
  <c r="T99" i="27"/>
  <c r="H99" i="27"/>
  <c r="V99" i="27" s="1"/>
  <c r="G99" i="27"/>
  <c r="D99" i="27"/>
  <c r="C99" i="27"/>
  <c r="U98" i="27"/>
  <c r="T98" i="27"/>
  <c r="H98" i="27"/>
  <c r="V98" i="27" s="1"/>
  <c r="G98" i="27"/>
  <c r="D98" i="27"/>
  <c r="C98" i="27"/>
  <c r="U97" i="27"/>
  <c r="T97" i="27"/>
  <c r="H97" i="27"/>
  <c r="V97" i="27" s="1"/>
  <c r="G97" i="27"/>
  <c r="D97" i="27"/>
  <c r="C97" i="27"/>
  <c r="U96" i="27"/>
  <c r="T96" i="27"/>
  <c r="H96" i="27"/>
  <c r="V96" i="27" s="1"/>
  <c r="G96" i="27"/>
  <c r="D96" i="27"/>
  <c r="C96" i="27"/>
  <c r="U95" i="27"/>
  <c r="T95" i="27"/>
  <c r="H95" i="27"/>
  <c r="V95" i="27" s="1"/>
  <c r="G95" i="27"/>
  <c r="D95" i="27"/>
  <c r="C95" i="27"/>
  <c r="U94" i="27"/>
  <c r="T94" i="27"/>
  <c r="H94" i="27"/>
  <c r="V94" i="27" s="1"/>
  <c r="G94" i="27"/>
  <c r="D94" i="27"/>
  <c r="C94" i="27"/>
  <c r="U93" i="27"/>
  <c r="T93" i="27"/>
  <c r="H93" i="27"/>
  <c r="V93" i="27" s="1"/>
  <c r="G93" i="27"/>
  <c r="D93" i="27"/>
  <c r="C93" i="27"/>
  <c r="U92" i="27"/>
  <c r="T92" i="27"/>
  <c r="H92" i="27"/>
  <c r="V92" i="27" s="1"/>
  <c r="G92" i="27"/>
  <c r="D92" i="27"/>
  <c r="C92" i="27"/>
  <c r="U91" i="27"/>
  <c r="T91" i="27"/>
  <c r="H91" i="27"/>
  <c r="V91" i="27" s="1"/>
  <c r="G91" i="27"/>
  <c r="D91" i="27"/>
  <c r="C91" i="27"/>
  <c r="U90" i="27"/>
  <c r="T90" i="27"/>
  <c r="H90" i="27"/>
  <c r="V90" i="27" s="1"/>
  <c r="G90" i="27"/>
  <c r="D90" i="27"/>
  <c r="C90" i="27"/>
  <c r="U89" i="27"/>
  <c r="T89" i="27"/>
  <c r="H89" i="27"/>
  <c r="V89" i="27" s="1"/>
  <c r="G89" i="27"/>
  <c r="D89" i="27"/>
  <c r="C89" i="27"/>
  <c r="U88" i="27"/>
  <c r="T88" i="27"/>
  <c r="H88" i="27"/>
  <c r="V88" i="27" s="1"/>
  <c r="G88" i="27"/>
  <c r="D88" i="27"/>
  <c r="C88" i="27"/>
  <c r="X87" i="27"/>
  <c r="U87" i="27"/>
  <c r="T87" i="27"/>
  <c r="H87" i="27"/>
  <c r="V87" i="27" s="1"/>
  <c r="G87" i="27"/>
  <c r="D87" i="27"/>
  <c r="C87" i="27"/>
  <c r="X86" i="27"/>
  <c r="U86" i="27"/>
  <c r="T86" i="27"/>
  <c r="H86" i="27"/>
  <c r="V86" i="27" s="1"/>
  <c r="G86" i="27"/>
  <c r="D86" i="27"/>
  <c r="C86" i="27"/>
  <c r="X85" i="27"/>
  <c r="U85" i="27"/>
  <c r="T85" i="27"/>
  <c r="H85" i="27"/>
  <c r="V85" i="27" s="1"/>
  <c r="G85" i="27"/>
  <c r="D85" i="27"/>
  <c r="C85" i="27"/>
  <c r="X84" i="27"/>
  <c r="U84" i="27"/>
  <c r="T84" i="27"/>
  <c r="H84" i="27"/>
  <c r="V84" i="27" s="1"/>
  <c r="G84" i="27"/>
  <c r="D84" i="27"/>
  <c r="C84" i="27"/>
  <c r="X83" i="27"/>
  <c r="U83" i="27"/>
  <c r="T83" i="27"/>
  <c r="H83" i="27"/>
  <c r="V83" i="27" s="1"/>
  <c r="G83" i="27"/>
  <c r="D83" i="27"/>
  <c r="C83" i="27"/>
  <c r="X82" i="27"/>
  <c r="U82" i="27"/>
  <c r="T82" i="27"/>
  <c r="H82" i="27"/>
  <c r="V82" i="27" s="1"/>
  <c r="G82" i="27"/>
  <c r="D82" i="27"/>
  <c r="C82" i="27"/>
  <c r="X81" i="27"/>
  <c r="U81" i="27"/>
  <c r="T81" i="27"/>
  <c r="H81" i="27"/>
  <c r="V81" i="27" s="1"/>
  <c r="G81" i="27"/>
  <c r="D81" i="27"/>
  <c r="C81" i="27"/>
  <c r="X80" i="27"/>
  <c r="U80" i="27"/>
  <c r="T80" i="27"/>
  <c r="H80" i="27"/>
  <c r="V80" i="27" s="1"/>
  <c r="G80" i="27"/>
  <c r="D80" i="27"/>
  <c r="C80" i="27"/>
  <c r="X79" i="27"/>
  <c r="U79" i="27"/>
  <c r="T79" i="27"/>
  <c r="H79" i="27"/>
  <c r="V79" i="27" s="1"/>
  <c r="G79" i="27"/>
  <c r="D79" i="27"/>
  <c r="C79" i="27"/>
  <c r="X78" i="27"/>
  <c r="U78" i="27"/>
  <c r="T78" i="27"/>
  <c r="H78" i="27"/>
  <c r="V78" i="27" s="1"/>
  <c r="G78" i="27"/>
  <c r="D78" i="27"/>
  <c r="C78" i="27"/>
  <c r="U77" i="27"/>
  <c r="T77" i="27"/>
  <c r="H77" i="27"/>
  <c r="V77" i="27" s="1"/>
  <c r="G77" i="27"/>
  <c r="D77" i="27"/>
  <c r="C77" i="27"/>
  <c r="U76" i="27"/>
  <c r="T76" i="27"/>
  <c r="H76" i="27"/>
  <c r="V76" i="27" s="1"/>
  <c r="G76" i="27"/>
  <c r="D76" i="27"/>
  <c r="C76" i="27"/>
  <c r="U75" i="27"/>
  <c r="T75" i="27"/>
  <c r="H75" i="27"/>
  <c r="V75" i="27" s="1"/>
  <c r="G75" i="27"/>
  <c r="D75" i="27"/>
  <c r="C75" i="27"/>
  <c r="AB74" i="27"/>
  <c r="AA74" i="27"/>
  <c r="Z74" i="27"/>
  <c r="Y74" i="27"/>
  <c r="X74" i="27"/>
  <c r="U74" i="27"/>
  <c r="T74" i="27"/>
  <c r="H74" i="27"/>
  <c r="V74" i="27" s="1"/>
  <c r="G74" i="27"/>
  <c r="D74" i="27"/>
  <c r="C74" i="27"/>
  <c r="AB73" i="27"/>
  <c r="AA73" i="27"/>
  <c r="Z73" i="27"/>
  <c r="Y73" i="27"/>
  <c r="X73" i="27"/>
  <c r="U73" i="27"/>
  <c r="T73" i="27"/>
  <c r="H73" i="27"/>
  <c r="V73" i="27" s="1"/>
  <c r="G73" i="27"/>
  <c r="D73" i="27"/>
  <c r="C73" i="27"/>
  <c r="AB72" i="27"/>
  <c r="AA72" i="27"/>
  <c r="Z72" i="27"/>
  <c r="Y72" i="27"/>
  <c r="X72" i="27"/>
  <c r="U72" i="27"/>
  <c r="T72" i="27"/>
  <c r="H72" i="27"/>
  <c r="V72" i="27" s="1"/>
  <c r="G72" i="27"/>
  <c r="D72" i="27"/>
  <c r="C72" i="27"/>
  <c r="AB71" i="27"/>
  <c r="AA71" i="27"/>
  <c r="Z71" i="27"/>
  <c r="Y71" i="27"/>
  <c r="X71" i="27"/>
  <c r="U71" i="27"/>
  <c r="T71" i="27"/>
  <c r="H71" i="27"/>
  <c r="V71" i="27" s="1"/>
  <c r="G71" i="27"/>
  <c r="D71" i="27"/>
  <c r="C71" i="27"/>
  <c r="AB70" i="27"/>
  <c r="AA70" i="27"/>
  <c r="Z70" i="27"/>
  <c r="Y70" i="27"/>
  <c r="X70" i="27"/>
  <c r="U70" i="27"/>
  <c r="T70" i="27"/>
  <c r="H70" i="27"/>
  <c r="V70" i="27" s="1"/>
  <c r="G70" i="27"/>
  <c r="D70" i="27"/>
  <c r="C70" i="27"/>
  <c r="AB69" i="27"/>
  <c r="AA69" i="27"/>
  <c r="Z69" i="27"/>
  <c r="Y69" i="27"/>
  <c r="X69" i="27"/>
  <c r="U69" i="27"/>
  <c r="T69" i="27"/>
  <c r="H69" i="27"/>
  <c r="V69" i="27" s="1"/>
  <c r="G69" i="27"/>
  <c r="D69" i="27"/>
  <c r="C69" i="27"/>
  <c r="AB68" i="27"/>
  <c r="AA68" i="27"/>
  <c r="Z68" i="27"/>
  <c r="Y68" i="27"/>
  <c r="X68" i="27"/>
  <c r="U68" i="27"/>
  <c r="T68" i="27"/>
  <c r="H68" i="27"/>
  <c r="V68" i="27" s="1"/>
  <c r="G68" i="27"/>
  <c r="D68" i="27"/>
  <c r="C68" i="27"/>
  <c r="AB67" i="27"/>
  <c r="AA67" i="27"/>
  <c r="Z67" i="27"/>
  <c r="Y67" i="27"/>
  <c r="X67" i="27"/>
  <c r="U67" i="27"/>
  <c r="T67" i="27"/>
  <c r="H67" i="27"/>
  <c r="V67" i="27" s="1"/>
  <c r="G67" i="27"/>
  <c r="D67" i="27"/>
  <c r="C67" i="27"/>
  <c r="AB66" i="27"/>
  <c r="AA66" i="27"/>
  <c r="Z66" i="27"/>
  <c r="Y66" i="27"/>
  <c r="X66" i="27"/>
  <c r="U66" i="27"/>
  <c r="T66" i="27"/>
  <c r="H66" i="27"/>
  <c r="V66" i="27" s="1"/>
  <c r="G66" i="27"/>
  <c r="D66" i="27"/>
  <c r="C66" i="27"/>
  <c r="AB65" i="27"/>
  <c r="AA65" i="27"/>
  <c r="Z65" i="27"/>
  <c r="Y65" i="27"/>
  <c r="X65" i="27"/>
  <c r="U65" i="27"/>
  <c r="T65" i="27"/>
  <c r="H65" i="27"/>
  <c r="V65" i="27" s="1"/>
  <c r="G65" i="27"/>
  <c r="D65" i="27"/>
  <c r="C65" i="27"/>
  <c r="U64" i="27"/>
  <c r="T64" i="27"/>
  <c r="H64" i="27"/>
  <c r="V64" i="27" s="1"/>
  <c r="G64" i="27"/>
  <c r="D64" i="27"/>
  <c r="C64" i="27"/>
  <c r="U63" i="27"/>
  <c r="T63" i="27"/>
  <c r="H63" i="27"/>
  <c r="V63" i="27" s="1"/>
  <c r="G63" i="27"/>
  <c r="D63" i="27"/>
  <c r="C63" i="27"/>
  <c r="U62" i="27"/>
  <c r="T62" i="27"/>
  <c r="H62" i="27"/>
  <c r="V62" i="27" s="1"/>
  <c r="G62" i="27"/>
  <c r="D62" i="27"/>
  <c r="C62" i="27"/>
  <c r="AB61" i="27"/>
  <c r="AA61" i="27"/>
  <c r="Z61" i="27"/>
  <c r="Y61" i="27"/>
  <c r="X61" i="27"/>
  <c r="U61" i="27"/>
  <c r="T61" i="27"/>
  <c r="H61" i="27"/>
  <c r="V61" i="27" s="1"/>
  <c r="G61" i="27"/>
  <c r="D61" i="27"/>
  <c r="C61" i="27"/>
  <c r="AB60" i="27"/>
  <c r="AA60" i="27"/>
  <c r="Z60" i="27"/>
  <c r="Y60" i="27"/>
  <c r="X60" i="27"/>
  <c r="U60" i="27"/>
  <c r="T60" i="27"/>
  <c r="H60" i="27"/>
  <c r="V60" i="27" s="1"/>
  <c r="G60" i="27"/>
  <c r="D60" i="27"/>
  <c r="C60" i="27"/>
  <c r="AB59" i="27"/>
  <c r="AA59" i="27"/>
  <c r="Z59" i="27"/>
  <c r="Y59" i="27"/>
  <c r="X59" i="27"/>
  <c r="U59" i="27"/>
  <c r="T59" i="27"/>
  <c r="H59" i="27"/>
  <c r="V59" i="27" s="1"/>
  <c r="G59" i="27"/>
  <c r="D59" i="27"/>
  <c r="C59" i="27"/>
  <c r="AB58" i="27"/>
  <c r="AA58" i="27"/>
  <c r="Z58" i="27"/>
  <c r="Y58" i="27"/>
  <c r="X58" i="27"/>
  <c r="U58" i="27"/>
  <c r="T58" i="27"/>
  <c r="H58" i="27"/>
  <c r="V58" i="27" s="1"/>
  <c r="G58" i="27"/>
  <c r="D58" i="27"/>
  <c r="C58" i="27"/>
  <c r="AB57" i="27"/>
  <c r="AA57" i="27"/>
  <c r="Z57" i="27"/>
  <c r="Y57" i="27"/>
  <c r="X57" i="27"/>
  <c r="U57" i="27"/>
  <c r="T57" i="27"/>
  <c r="H57" i="27"/>
  <c r="V57" i="27" s="1"/>
  <c r="G57" i="27"/>
  <c r="D57" i="27"/>
  <c r="C57" i="27"/>
  <c r="AB56" i="27"/>
  <c r="AA56" i="27"/>
  <c r="Z56" i="27"/>
  <c r="Y56" i="27"/>
  <c r="X56" i="27"/>
  <c r="U56" i="27"/>
  <c r="T56" i="27"/>
  <c r="H56" i="27"/>
  <c r="V56" i="27" s="1"/>
  <c r="G56" i="27"/>
  <c r="D56" i="27"/>
  <c r="C56" i="27"/>
  <c r="AB55" i="27"/>
  <c r="AA55" i="27"/>
  <c r="Z55" i="27"/>
  <c r="Y55" i="27"/>
  <c r="X55" i="27"/>
  <c r="U55" i="27"/>
  <c r="T55" i="27"/>
  <c r="H55" i="27"/>
  <c r="V55" i="27" s="1"/>
  <c r="G55" i="27"/>
  <c r="D55" i="27"/>
  <c r="C55" i="27"/>
  <c r="AB54" i="27"/>
  <c r="AA54" i="27"/>
  <c r="Z54" i="27"/>
  <c r="Y54" i="27"/>
  <c r="X54" i="27"/>
  <c r="U54" i="27"/>
  <c r="T54" i="27"/>
  <c r="H54" i="27"/>
  <c r="V54" i="27" s="1"/>
  <c r="G54" i="27"/>
  <c r="D54" i="27"/>
  <c r="C54" i="27"/>
  <c r="AB53" i="27"/>
  <c r="AA53" i="27"/>
  <c r="Z53" i="27"/>
  <c r="Y53" i="27"/>
  <c r="X53" i="27"/>
  <c r="U53" i="27"/>
  <c r="T53" i="27"/>
  <c r="H53" i="27"/>
  <c r="V53" i="27" s="1"/>
  <c r="G53" i="27"/>
  <c r="D53" i="27"/>
  <c r="C53" i="27"/>
  <c r="AB52" i="27"/>
  <c r="AA52" i="27"/>
  <c r="Z52" i="27"/>
  <c r="Y52" i="27"/>
  <c r="X52" i="27"/>
  <c r="U52" i="27"/>
  <c r="T52" i="27"/>
  <c r="H52" i="27"/>
  <c r="V52" i="27" s="1"/>
  <c r="G52" i="27"/>
  <c r="D52" i="27"/>
  <c r="C52" i="27"/>
  <c r="U51" i="27"/>
  <c r="T51" i="27"/>
  <c r="H51" i="27"/>
  <c r="V51" i="27" s="1"/>
  <c r="G51" i="27"/>
  <c r="D51" i="27"/>
  <c r="C51" i="27"/>
  <c r="U50" i="27"/>
  <c r="T50" i="27"/>
  <c r="H50" i="27"/>
  <c r="V50" i="27" s="1"/>
  <c r="G50" i="27"/>
  <c r="D50" i="27"/>
  <c r="C50" i="27"/>
  <c r="U49" i="27"/>
  <c r="T49" i="27"/>
  <c r="H49" i="27"/>
  <c r="V49" i="27" s="1"/>
  <c r="G49" i="27"/>
  <c r="D49" i="27"/>
  <c r="C49" i="27"/>
  <c r="U48" i="27"/>
  <c r="T48" i="27"/>
  <c r="H48" i="27"/>
  <c r="V48" i="27" s="1"/>
  <c r="G48" i="27"/>
  <c r="D48" i="27"/>
  <c r="C48" i="27"/>
  <c r="U47" i="27"/>
  <c r="T47" i="27"/>
  <c r="H47" i="27"/>
  <c r="V47" i="27" s="1"/>
  <c r="G47" i="27"/>
  <c r="D47" i="27"/>
  <c r="C47" i="27"/>
  <c r="U46" i="27"/>
  <c r="T46" i="27"/>
  <c r="H46" i="27"/>
  <c r="V46" i="27" s="1"/>
  <c r="G46" i="27"/>
  <c r="D46" i="27"/>
  <c r="C46" i="27"/>
  <c r="U45" i="27"/>
  <c r="T45" i="27"/>
  <c r="H45" i="27"/>
  <c r="V45" i="27" s="1"/>
  <c r="G45" i="27"/>
  <c r="D45" i="27"/>
  <c r="C45" i="27"/>
  <c r="U44" i="27"/>
  <c r="T44" i="27"/>
  <c r="H44" i="27"/>
  <c r="V44" i="27" s="1"/>
  <c r="G44" i="27"/>
  <c r="D44" i="27"/>
  <c r="C44" i="27"/>
  <c r="U43" i="27"/>
  <c r="T43" i="27"/>
  <c r="H43" i="27"/>
  <c r="V43" i="27" s="1"/>
  <c r="G43" i="27"/>
  <c r="D43" i="27"/>
  <c r="C43" i="27"/>
  <c r="U42" i="27"/>
  <c r="T42" i="27"/>
  <c r="H42" i="27"/>
  <c r="V42" i="27" s="1"/>
  <c r="G42" i="27"/>
  <c r="D42" i="27"/>
  <c r="C42" i="27"/>
  <c r="U41" i="27"/>
  <c r="T41" i="27"/>
  <c r="H41" i="27"/>
  <c r="V41" i="27" s="1"/>
  <c r="G41" i="27"/>
  <c r="D41" i="27"/>
  <c r="C41" i="27"/>
  <c r="U40" i="27"/>
  <c r="T40" i="27"/>
  <c r="H40" i="27"/>
  <c r="V40" i="27" s="1"/>
  <c r="G40" i="27"/>
  <c r="D40" i="27"/>
  <c r="C40" i="27"/>
  <c r="U39" i="27"/>
  <c r="T39" i="27"/>
  <c r="H39" i="27"/>
  <c r="V39" i="27" s="1"/>
  <c r="G39" i="27"/>
  <c r="D39" i="27"/>
  <c r="C39" i="27"/>
  <c r="U38" i="27"/>
  <c r="T38" i="27"/>
  <c r="H38" i="27"/>
  <c r="V38" i="27" s="1"/>
  <c r="G38" i="27"/>
  <c r="D38" i="27"/>
  <c r="C38" i="27"/>
  <c r="U37" i="27"/>
  <c r="T37" i="27"/>
  <c r="H37" i="27"/>
  <c r="V37" i="27" s="1"/>
  <c r="G37" i="27"/>
  <c r="D37" i="27"/>
  <c r="C37" i="27"/>
  <c r="U36" i="27"/>
  <c r="T36" i="27"/>
  <c r="H36" i="27"/>
  <c r="V36" i="27" s="1"/>
  <c r="G36" i="27"/>
  <c r="D36" i="27"/>
  <c r="C36" i="27"/>
  <c r="U35" i="27"/>
  <c r="T35" i="27"/>
  <c r="H35" i="27"/>
  <c r="V35" i="27" s="1"/>
  <c r="G35" i="27"/>
  <c r="D35" i="27"/>
  <c r="C35" i="27"/>
  <c r="U34" i="27"/>
  <c r="T34" i="27"/>
  <c r="H34" i="27"/>
  <c r="V34" i="27" s="1"/>
  <c r="G34" i="27"/>
  <c r="D34" i="27"/>
  <c r="C34" i="27"/>
  <c r="U33" i="27"/>
  <c r="T33" i="27"/>
  <c r="H33" i="27"/>
  <c r="V33" i="27" s="1"/>
  <c r="G33" i="27"/>
  <c r="D33" i="27"/>
  <c r="C33" i="27"/>
  <c r="U32" i="27"/>
  <c r="T32" i="27"/>
  <c r="H32" i="27"/>
  <c r="V32" i="27" s="1"/>
  <c r="G32" i="27"/>
  <c r="D32" i="27"/>
  <c r="C32" i="27"/>
  <c r="U31" i="27"/>
  <c r="T31" i="27"/>
  <c r="H31" i="27"/>
  <c r="V31" i="27" s="1"/>
  <c r="G31" i="27"/>
  <c r="D31" i="27"/>
  <c r="C31" i="27"/>
  <c r="U30" i="27"/>
  <c r="T30" i="27"/>
  <c r="H30" i="27"/>
  <c r="V30" i="27" s="1"/>
  <c r="G30" i="27"/>
  <c r="D30" i="27"/>
  <c r="C30" i="27"/>
  <c r="U29" i="27"/>
  <c r="T29" i="27"/>
  <c r="H29" i="27"/>
  <c r="V29" i="27" s="1"/>
  <c r="G29" i="27"/>
  <c r="D29" i="27"/>
  <c r="C29" i="27"/>
  <c r="U28" i="27"/>
  <c r="T28" i="27"/>
  <c r="H28" i="27"/>
  <c r="V28" i="27" s="1"/>
  <c r="G28" i="27"/>
  <c r="D28" i="27"/>
  <c r="C28" i="27"/>
  <c r="U27" i="27"/>
  <c r="T27" i="27"/>
  <c r="H27" i="27"/>
  <c r="V27" i="27" s="1"/>
  <c r="G27" i="27"/>
  <c r="D27" i="27"/>
  <c r="C27" i="27"/>
  <c r="U26" i="27"/>
  <c r="T26" i="27"/>
  <c r="H26" i="27"/>
  <c r="V26" i="27" s="1"/>
  <c r="G26" i="27"/>
  <c r="D26" i="27"/>
  <c r="C26" i="27"/>
  <c r="U25" i="27"/>
  <c r="T25" i="27"/>
  <c r="H25" i="27"/>
  <c r="V25" i="27" s="1"/>
  <c r="G25" i="27"/>
  <c r="D25" i="27"/>
  <c r="C25" i="27"/>
  <c r="U24" i="27"/>
  <c r="T24" i="27"/>
  <c r="H24" i="27"/>
  <c r="V24" i="27" s="1"/>
  <c r="G24" i="27"/>
  <c r="D24" i="27"/>
  <c r="C24" i="27"/>
  <c r="U23" i="27"/>
  <c r="T23" i="27"/>
  <c r="H23" i="27"/>
  <c r="V23" i="27" s="1"/>
  <c r="G23" i="27"/>
  <c r="D23" i="27"/>
  <c r="C23" i="27"/>
  <c r="U22" i="27"/>
  <c r="T22" i="27"/>
  <c r="R22" i="27"/>
  <c r="H22" i="27"/>
  <c r="V22" i="27" s="1"/>
  <c r="G22" i="27"/>
  <c r="D22" i="27"/>
  <c r="C22" i="27"/>
  <c r="U21" i="27"/>
  <c r="T21" i="27"/>
  <c r="R21" i="27"/>
  <c r="H21" i="27"/>
  <c r="V21" i="27" s="1"/>
  <c r="G21" i="27"/>
  <c r="D21" i="27"/>
  <c r="C21" i="27"/>
  <c r="U20" i="27"/>
  <c r="T20" i="27"/>
  <c r="R20" i="27"/>
  <c r="H20" i="27"/>
  <c r="V20" i="27" s="1"/>
  <c r="G20" i="27"/>
  <c r="D20" i="27"/>
  <c r="C20" i="27"/>
  <c r="U19" i="27"/>
  <c r="T19" i="27"/>
  <c r="R19" i="27"/>
  <c r="H19" i="27"/>
  <c r="V19" i="27" s="1"/>
  <c r="G19" i="27"/>
  <c r="D19" i="27"/>
  <c r="C19" i="27"/>
  <c r="U18" i="27"/>
  <c r="T18" i="27"/>
  <c r="R18" i="27"/>
  <c r="H18" i="27"/>
  <c r="V18" i="27" s="1"/>
  <c r="G18" i="27"/>
  <c r="D18" i="27"/>
  <c r="C18" i="27"/>
  <c r="U17" i="27"/>
  <c r="T17" i="27"/>
  <c r="R17" i="27"/>
  <c r="H17" i="27"/>
  <c r="V17" i="27" s="1"/>
  <c r="G17" i="27"/>
  <c r="D17" i="27"/>
  <c r="C17" i="27"/>
  <c r="U16" i="27"/>
  <c r="T16" i="27"/>
  <c r="R16" i="27"/>
  <c r="H16" i="27"/>
  <c r="V16" i="27" s="1"/>
  <c r="G16" i="27"/>
  <c r="D16" i="27"/>
  <c r="C16" i="27"/>
  <c r="U15" i="27"/>
  <c r="T15" i="27"/>
  <c r="R15" i="27"/>
  <c r="H15" i="27"/>
  <c r="V15" i="27" s="1"/>
  <c r="G15" i="27"/>
  <c r="D15" i="27"/>
  <c r="C15" i="27"/>
  <c r="U14" i="27"/>
  <c r="T14" i="27"/>
  <c r="R14" i="27"/>
  <c r="H14" i="27"/>
  <c r="V14" i="27" s="1"/>
  <c r="G14" i="27"/>
  <c r="D14" i="27"/>
  <c r="C14" i="27"/>
  <c r="U13" i="27"/>
  <c r="T13" i="27"/>
  <c r="R13" i="27"/>
  <c r="H13" i="27"/>
  <c r="V13" i="27" s="1"/>
  <c r="G13" i="27"/>
  <c r="D13" i="27"/>
  <c r="C13" i="27"/>
  <c r="U12" i="27"/>
  <c r="T12" i="27"/>
  <c r="H12" i="27"/>
  <c r="V12" i="27" s="1"/>
  <c r="G12" i="27"/>
  <c r="D12" i="27"/>
  <c r="C12" i="27"/>
  <c r="U11" i="27"/>
  <c r="T11" i="27"/>
  <c r="H11" i="27"/>
  <c r="V11" i="27" s="1"/>
  <c r="G11" i="27"/>
  <c r="D11" i="27"/>
  <c r="C11" i="27"/>
  <c r="U10" i="27"/>
  <c r="T10" i="27"/>
  <c r="H10" i="27"/>
  <c r="V10" i="27" s="1"/>
  <c r="G10" i="27"/>
  <c r="D10" i="27"/>
  <c r="C10" i="27"/>
  <c r="U9" i="27"/>
  <c r="T9" i="27"/>
  <c r="H9" i="27"/>
  <c r="V9" i="27" s="1"/>
  <c r="G9" i="27"/>
  <c r="D9" i="27"/>
  <c r="C9" i="27"/>
  <c r="AC8" i="27"/>
  <c r="AB8" i="27"/>
  <c r="AA8" i="27"/>
  <c r="Z8" i="27"/>
  <c r="Y8" i="27"/>
  <c r="U8" i="27"/>
  <c r="T8" i="27"/>
  <c r="H8" i="27"/>
  <c r="V8" i="27" s="1"/>
  <c r="G8" i="27"/>
  <c r="D8" i="27"/>
  <c r="C8" i="27"/>
  <c r="AG7" i="27"/>
  <c r="U7" i="27"/>
  <c r="T7" i="27"/>
  <c r="H7" i="27"/>
  <c r="V7" i="27" s="1"/>
  <c r="G7" i="27"/>
  <c r="D7" i="27"/>
  <c r="C7" i="27"/>
  <c r="U6" i="27"/>
  <c r="T6" i="27"/>
  <c r="H6" i="27"/>
  <c r="V6" i="27" s="1"/>
  <c r="G6" i="27"/>
  <c r="D6" i="27"/>
  <c r="C6" i="27"/>
  <c r="AK5" i="27"/>
  <c r="AJ5" i="27"/>
  <c r="Z7" i="27" s="1"/>
  <c r="AI5" i="27"/>
  <c r="Y22" i="27" s="1"/>
  <c r="AG3" i="27"/>
  <c r="C2" i="27" a="1"/>
  <c r="C2" i="27" s="1"/>
  <c r="B2" i="27" a="1"/>
  <c r="B2" i="27" s="1"/>
  <c r="C1" i="27"/>
  <c r="B1" i="27"/>
  <c r="AK5" i="4"/>
  <c r="AD19" i="4"/>
  <c r="AG7" i="4"/>
  <c r="AG3" i="4"/>
  <c r="R13" i="4"/>
  <c r="AD22" i="4" s="1"/>
  <c r="R22" i="4"/>
  <c r="R21" i="4"/>
  <c r="R20" i="4"/>
  <c r="AD20" i="4" s="1"/>
  <c r="R19" i="4"/>
  <c r="R18" i="4"/>
  <c r="R17" i="4"/>
  <c r="AD17" i="4" s="1"/>
  <c r="R16" i="4"/>
  <c r="AD16" i="4" s="1"/>
  <c r="R15" i="4"/>
  <c r="AD15" i="4" s="1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Y15" i="29" l="1"/>
  <c r="AC13" i="29"/>
  <c r="AG9" i="29"/>
  <c r="AG5" i="29"/>
  <c r="AG2" i="29"/>
  <c r="AG4" i="29"/>
  <c r="AG6" i="29"/>
  <c r="AA7" i="29"/>
  <c r="Z14" i="29"/>
  <c r="AB15" i="29"/>
  <c r="AD16" i="29"/>
  <c r="Z18" i="29"/>
  <c r="AB19" i="29"/>
  <c r="AD20" i="29"/>
  <c r="Z22" i="29"/>
  <c r="AB7" i="29"/>
  <c r="Y13" i="29"/>
  <c r="AA14" i="29"/>
  <c r="AC15" i="29"/>
  <c r="Y17" i="29"/>
  <c r="AA18" i="29"/>
  <c r="AC19" i="29"/>
  <c r="Y21" i="29"/>
  <c r="AA22" i="29"/>
  <c r="AC7" i="29"/>
  <c r="Z13" i="29"/>
  <c r="AB14" i="29"/>
  <c r="Z17" i="29"/>
  <c r="AB18" i="29"/>
  <c r="Z21" i="29"/>
  <c r="AB22" i="29"/>
  <c r="AA13" i="29"/>
  <c r="AC14" i="29"/>
  <c r="Y16" i="29"/>
  <c r="AA17" i="29"/>
  <c r="AC18" i="29"/>
  <c r="Y20" i="29"/>
  <c r="AA21" i="29"/>
  <c r="AC22" i="29"/>
  <c r="AB13" i="29"/>
  <c r="AD14" i="29"/>
  <c r="AG11" i="29" s="1"/>
  <c r="Z16" i="29"/>
  <c r="AB17" i="29"/>
  <c r="AD18" i="29"/>
  <c r="Z20" i="29"/>
  <c r="AB21" i="29"/>
  <c r="AD22" i="29"/>
  <c r="AA16" i="29"/>
  <c r="AC17" i="29"/>
  <c r="Y19" i="29"/>
  <c r="AA20" i="29"/>
  <c r="AC21" i="29"/>
  <c r="Y7" i="29"/>
  <c r="Z15" i="29"/>
  <c r="AB16" i="29"/>
  <c r="Z19" i="29"/>
  <c r="AB20" i="29"/>
  <c r="Y14" i="29"/>
  <c r="AA15" i="29"/>
  <c r="AC16" i="29"/>
  <c r="Y18" i="29"/>
  <c r="AA19" i="29"/>
  <c r="AC20" i="29"/>
  <c r="Y7" i="28"/>
  <c r="AB7" i="28"/>
  <c r="AC7" i="28"/>
  <c r="AG5" i="28"/>
  <c r="AG2" i="28"/>
  <c r="AG4" i="28"/>
  <c r="AG6" i="28"/>
  <c r="AA7" i="28"/>
  <c r="Z14" i="28"/>
  <c r="AB15" i="28"/>
  <c r="Z18" i="28"/>
  <c r="AB19" i="28"/>
  <c r="Z22" i="28"/>
  <c r="Y13" i="28"/>
  <c r="AA14" i="28"/>
  <c r="AC15" i="28"/>
  <c r="Y17" i="28"/>
  <c r="AA18" i="28"/>
  <c r="AC19" i="28"/>
  <c r="Y21" i="28"/>
  <c r="AA22" i="28"/>
  <c r="Z13" i="28"/>
  <c r="AB14" i="28"/>
  <c r="AD15" i="28"/>
  <c r="Z17" i="28"/>
  <c r="AB18" i="28"/>
  <c r="Z21" i="28"/>
  <c r="AB22" i="28"/>
  <c r="AA13" i="28"/>
  <c r="AC14" i="28"/>
  <c r="Y16" i="28"/>
  <c r="AA17" i="28"/>
  <c r="AC18" i="28"/>
  <c r="Y20" i="28"/>
  <c r="AA21" i="28"/>
  <c r="AC22" i="28"/>
  <c r="AB13" i="28"/>
  <c r="Z16" i="28"/>
  <c r="AB17" i="28"/>
  <c r="AD18" i="28"/>
  <c r="Z20" i="28"/>
  <c r="AB21" i="28"/>
  <c r="AD22" i="28"/>
  <c r="R11" i="28"/>
  <c r="AC13" i="28"/>
  <c r="Y15" i="28"/>
  <c r="AA16" i="28"/>
  <c r="AC17" i="28"/>
  <c r="Y19" i="28"/>
  <c r="AA20" i="28"/>
  <c r="AC21" i="28"/>
  <c r="AD13" i="28"/>
  <c r="AG11" i="28" s="1"/>
  <c r="Z15" i="28"/>
  <c r="AB16" i="28"/>
  <c r="AD17" i="28"/>
  <c r="Z19" i="28"/>
  <c r="AB20" i="28"/>
  <c r="Y14" i="28"/>
  <c r="AA15" i="28"/>
  <c r="AC16" i="28"/>
  <c r="Y18" i="28"/>
  <c r="AA19" i="28"/>
  <c r="AC20" i="28"/>
  <c r="Y7" i="27"/>
  <c r="AD19" i="27"/>
  <c r="AD21" i="27"/>
  <c r="AD22" i="27"/>
  <c r="AD17" i="27"/>
  <c r="AD18" i="27"/>
  <c r="R11" i="27"/>
  <c r="AD13" i="27"/>
  <c r="AD14" i="27"/>
  <c r="AG9" i="27"/>
  <c r="AG5" i="27"/>
  <c r="AG2" i="27"/>
  <c r="AG4" i="27"/>
  <c r="AG6" i="27"/>
  <c r="AA7" i="27"/>
  <c r="Z14" i="27"/>
  <c r="AB15" i="27"/>
  <c r="AD16" i="27"/>
  <c r="Z18" i="27"/>
  <c r="AB19" i="27"/>
  <c r="AD20" i="27"/>
  <c r="Z22" i="27"/>
  <c r="AB7" i="27"/>
  <c r="Y13" i="27"/>
  <c r="AA14" i="27"/>
  <c r="AC15" i="27"/>
  <c r="Y17" i="27"/>
  <c r="AA18" i="27"/>
  <c r="AC19" i="27"/>
  <c r="Y21" i="27"/>
  <c r="AA22" i="27"/>
  <c r="AC7" i="27"/>
  <c r="Z13" i="27"/>
  <c r="AB14" i="27"/>
  <c r="AD15" i="27"/>
  <c r="Z17" i="27"/>
  <c r="AB18" i="27"/>
  <c r="Z21" i="27"/>
  <c r="AB22" i="27"/>
  <c r="AA13" i="27"/>
  <c r="AC14" i="27"/>
  <c r="Y16" i="27"/>
  <c r="AA17" i="27"/>
  <c r="AC18" i="27"/>
  <c r="Y20" i="27"/>
  <c r="AA21" i="27"/>
  <c r="AC22" i="27"/>
  <c r="AB13" i="27"/>
  <c r="Z16" i="27"/>
  <c r="AB17" i="27"/>
  <c r="Z20" i="27"/>
  <c r="AB21" i="27"/>
  <c r="AC13" i="27"/>
  <c r="Y15" i="27"/>
  <c r="AA16" i="27"/>
  <c r="AC17" i="27"/>
  <c r="Y19" i="27"/>
  <c r="AA20" i="27"/>
  <c r="AC21" i="27"/>
  <c r="Z15" i="27"/>
  <c r="AB16" i="27"/>
  <c r="Z19" i="27"/>
  <c r="AB20" i="27"/>
  <c r="Y14" i="27"/>
  <c r="AA15" i="27"/>
  <c r="AC16" i="27"/>
  <c r="Y18" i="27"/>
  <c r="AA19" i="27"/>
  <c r="AC20" i="27"/>
  <c r="AD18" i="4"/>
  <c r="R11" i="4"/>
  <c r="AD13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29" l="1"/>
  <c r="AG10" i="29"/>
  <c r="AG8" i="28"/>
  <c r="AG10" i="28"/>
  <c r="AG11" i="27"/>
  <c r="AG8" i="27"/>
  <c r="AG10" i="27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29" l="1"/>
  <c r="F4" i="1" s="1"/>
  <c r="D1" i="28"/>
  <c r="F3" i="1" s="1"/>
  <c r="D1" i="27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<sst xmlns="http://schemas.openxmlformats.org/spreadsheetml/2006/main" count="533" uniqueCount="187">
  <si>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</si>
  <si>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</si>
  <si>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</si>
  <si>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</si>
  <si>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</si>
  <si>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</si>
  <si>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</si>
  <si>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</si>
  <si>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</si>
  <si>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</si>
  <si>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</si>
  <si>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</si>
  <si>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</si>
  <si>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</si>
  <si>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</si>
  <si>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</si>
  <si>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</si>
  <si>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</si>
  <si>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</si>
  <si>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</si>
  <si>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</si>
  <si>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</si>
  <si>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</si>
  <si>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</si>
  <si>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</si>
  <si>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</si>
  <si>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</si>
  <si>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</si>
  <si>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</si>
  <si>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</si>
  <si>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</si>
  <si>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</si>
  <si>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</si>
  <si>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</si>
  <si>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</si>
  <si>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</si>
  <si>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</si>
  <si>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</si>
  <si>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</si>
  <si>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</si>
  <si>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</si>
  <si>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</si>
  <si>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</si>
  <si>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</si>
  <si>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</si>
  <si>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</si>
  <si>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</si>
  <si>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</si>
  <si>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</si>
  <si>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</si>
  <si>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</si>
  <si>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</si>
  <si>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</si>
  <si>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</si>
  <si>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</si>
  <si>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</si>
  <si>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</si>
  <si>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</si>
  <si>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</si>
  <si>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</si>
  <si>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</si>
  <si>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</si>
  <si>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</si>
  <si>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</si>
  <si>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</si>
  <si>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</si>
  <si>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</si>
  <si>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</si>
  <si>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</si>
  <si>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</si>
  <si>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</si>
  <si>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</si>
  <si>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</si>
  <si>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</si>
  <si>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</si>
  <si>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</si>
  <si>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</si>
  <si>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</si>
  <si>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</si>
  <si>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</si>
  <si>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</si>
  <si>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</si>
  <si>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</si>
  <si>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</si>
  <si>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</si>
  <si>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</si>
  <si>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</si>
  <si>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</si>
  <si>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</si>
  <si>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</si>
  <si>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</si>
  <si>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</si>
  <si>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</si>
  <si>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</si>
  <si>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</si>
  <si>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</si>
  <si>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</si>
  <si>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</si>
  <si>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</si>
  <si>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</si>
  <si>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</si>
  <si>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</si>
  <si>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</si>
  <si>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</si>
  <si>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</si>
  <si>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</si>
  <si>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</si>
  <si>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</si>
  <si>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</si>
  <si>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</si>
  <si>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</si>
  <si>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</si>
  <si>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</si>
  <si>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</si>
  <si>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</si>
  <si>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</si>
  <si>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</si>
  <si>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</si>
  <si>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</si>
  <si>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</si>
  <si>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</si>
  <si>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</si>
  <si>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</si>
  <si>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</si>
  <si>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</si>
  <si>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</si>
  <si>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</si>
  <si>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</si>
  <si>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</si>
  <si>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</si>
  <si>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</si>
  <si>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</si>
  <si>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</si>
  <si>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</si>
  <si>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</si>
  <si>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</si>
  <si>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</si>
  <si>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</si>
  <si>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</si>
  <si>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</si>
  <si>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</si>
  <si>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</si>
  <si>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</si>
  <si>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</si>
  <si>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</si>
  <si>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</si>
  <si>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</si>
  <si>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</si>
  <si>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</si>
  <si>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</si>
  <si>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</si>
  <si>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</si>
  <si>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</si>
  <si>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</si>
  <si>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</si>
  <si>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</si>
  <si>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</si>
  <si>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</si>
  <si>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</si>
  <si>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</si>
  <si>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</si>
  <si>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</si>
  <si>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</si>
  <si>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</si>
  <si>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</si>
  <si>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</si>
  <si>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</si>
  <si>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</si>
  <si>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</si>
  <si>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</si>
  <si>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</si>
  <si>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</si>
  <si>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</si>
  <si>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</si>
  <si>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</si>
  <si>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</si>
  <si>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</si>
  <si>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</si>
  <si>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</si>
  <si>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</si>
  <si>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</si>
  <si>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r>
      <rPr>
        <sz val="8"/>
        <color theme="0"/>
        <rFont val="HGP創英角ﾎﾟｯﾌﾟ体"/>
        <family val="3"/>
        <charset val="128"/>
      </rPr>
      <t>↓</t>
    </r>
    <r>
      <rPr>
        <sz val="8"/>
        <color theme="0"/>
        <rFont val="游ゴシック"/>
        <family val="3"/>
        <charset val="128"/>
      </rPr>
      <t>REF TABLE</t>
    </r>
    <phoneticPr fontId="2"/>
  </si>
  <si>
    <r>
      <rPr>
        <sz val="7"/>
        <color theme="0"/>
        <rFont val="Yu Gothic"/>
        <family val="3"/>
        <charset val="128"/>
        <scheme val="minor"/>
      </rPr>
      <t>DELETE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</si>
  <si>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r>
      <rPr>
        <sz val="7"/>
        <color theme="0"/>
        <rFont val="Yu Gothic"/>
        <family val="3"/>
        <charset val="128"/>
        <scheme val="minor"/>
      </rPr>
      <t>UPDATE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</si>
  <si>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t>※ユニーク「ではない」Indexを作成する場合に利用する。</t>
    <rPh sb="17" eb="19">
      <t>サクセイ</t>
    </rPh>
    <rPh sb="21" eb="23">
      <t>バアイ</t>
    </rPh>
    <rPh sb="24" eb="26">
      <t>リヨウ</t>
    </rPh>
    <phoneticPr fontId="2"/>
  </si>
  <si>
    <t>得意先</t>
    <phoneticPr fontId="2"/>
  </si>
  <si>
    <t>N/A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</si>
</sst>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</numFmts>
  <fonts count="25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  <font>
      <sz val="8"/>
      <color theme="0"/>
      <name val="HGP創英角ﾎﾟｯﾌﾟ体"/>
      <family val="3"/>
      <charset val="128"/>
    </font>
    <font>
      <sz val="8"/>
      <color theme="0"/>
      <name val="游ゴシック"/>
      <family val="3"/>
      <charset val="128"/>
    </font>
    <font>
      <sz val="7"/>
      <color theme="0"/>
      <name val="Yu Gothic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3"/>
      </top>
      <bottom style="thin">
        <color theme="8" tint="0.59996337778862885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4" tint="0.39994506668294322"/>
      </bottom>
      <diagonal/>
    </border>
    <border>
      <left style="thin">
        <color theme="3"/>
      </left>
      <right style="thin">
        <color theme="3"/>
      </right>
      <top style="thin">
        <color theme="4" tint="0.3999450666829432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0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177" fontId="7" fillId="2" borderId="42" xfId="0" applyNumberFormat="1" applyFont="1" applyFill="1" applyBorder="1" applyAlignment="1">
      <alignment horizontal="center"/>
    </xf>
    <xf numFmtId="0" fontId="5" fillId="0" borderId="43" xfId="0" applyFont="1" applyBorder="1"/>
    <xf numFmtId="0" fontId="5" fillId="0" borderId="44" xfId="0" applyFont="1" applyBorder="1"/>
    <xf numFmtId="177" fontId="23" fillId="9" borderId="45" xfId="0" applyNumberFormat="1" applyFont="1" applyFill="1" applyBorder="1" applyAlignment="1">
      <alignment horizontal="center"/>
    </xf>
    <xf numFmtId="0" fontId="5" fillId="0" borderId="46" xfId="0" applyFont="1" applyBorder="1"/>
    <xf numFmtId="0" fontId="4" fillId="9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7" fillId="0" borderId="49" xfId="0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8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48"/>
  <sheetViews>
    <sheetView showGridLines="0" workbookViewId="0">
      <pane ySplit="1" topLeftCell="A2" activePane="bottomLeft" state="frozen"/>
      <selection pane="bottomLeft" activeCell="D12" sqref="D1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42</v>
      </c>
      <c r="F1" s="4" t="s">
        <v>2</v>
      </c>
      <c r="G1" s="5" t="s">
        <v>5</v>
      </c>
      <c r="H1" s="5" t="s">
        <v>53</v>
      </c>
    </row>
    <row r="2" spans="1:9" ht="18">
      <c r="A2" s="64" t="s">
        <v>28</v>
      </c>
      <c r="B2" s="64" t="s">
        <v>54</v>
      </c>
      <c r="C2" s="64" t="s">
        <v>55</v>
      </c>
      <c r="D2" s="64" t="s">
        <v>56</v>
      </c>
      <c r="E2" s="64" t="b">
        <v>0</v>
      </c>
      <c r="F2" s="64" t="s">
        <v>57</v>
      </c>
      <c r="G2" s="66">
        <v>0</v>
      </c>
      <c r="H2" s="64" t="s">
        <v>28</v>
      </c>
      <c r="I2"/>
    </row>
    <row r="3" spans="1:9" ht="18">
      <c r="A3" s="64" t="s">
        <v>4</v>
      </c>
      <c r="B3" s="64" t="s">
        <v>58</v>
      </c>
      <c r="C3" s="64" t="s">
        <v>59</v>
      </c>
      <c r="D3" s="64" t="s">
        <v>60</v>
      </c>
      <c r="E3" s="64" t="b">
        <v>0</v>
      </c>
      <c r="F3" s="64" t="s">
        <v>61</v>
      </c>
      <c r="G3" s="66">
        <v>0</v>
      </c>
      <c r="H3" s="64" t="s">
        <v>4</v>
      </c>
      <c r="I3"/>
    </row>
    <row r="4" spans="1:9" ht="18">
      <c r="A4" s="64" t="s">
        <v>62</v>
      </c>
      <c r="B4" s="64" t="s">
        <v>63</v>
      </c>
      <c r="C4" s="64" t="s">
        <v>64</v>
      </c>
      <c r="D4" s="64" t="s">
        <v>65</v>
      </c>
      <c r="E4" s="64" t="b">
        <v>0</v>
      </c>
      <c r="F4" s="64" t="s">
        <v>66</v>
      </c>
      <c r="G4" s="66">
        <v>0</v>
      </c>
      <c r="H4" s="64" t="s">
        <v>62</v>
      </c>
      <c r="I4"/>
    </row>
    <row r="5" spans="1:9" ht="18">
      <c r="A5" s="64" t="s">
        <v>21</v>
      </c>
      <c r="B5" s="64" t="s">
        <v>67</v>
      </c>
      <c r="C5" s="64" t="s">
        <v>68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69</v>
      </c>
      <c r="B6" s="64" t="s">
        <v>70</v>
      </c>
      <c r="C6" s="64" t="s">
        <v>70</v>
      </c>
      <c r="D6" s="64"/>
      <c r="E6" s="64" t="b">
        <v>1</v>
      </c>
      <c r="F6" s="64" t="s">
        <v>71</v>
      </c>
      <c r="G6" s="66">
        <v>0</v>
      </c>
      <c r="H6" s="64" t="s">
        <v>69</v>
      </c>
      <c r="I6"/>
    </row>
    <row r="7" spans="1:9" ht="18">
      <c r="A7" s="64" t="s">
        <v>22</v>
      </c>
      <c r="B7" s="64" t="s">
        <v>72</v>
      </c>
      <c r="C7" s="64" t="s">
        <v>73</v>
      </c>
      <c r="D7" s="64" t="s">
        <v>74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75</v>
      </c>
      <c r="B8" s="64" t="s">
        <v>76</v>
      </c>
      <c r="C8" s="64" t="s">
        <v>77</v>
      </c>
      <c r="D8" s="64"/>
      <c r="E8" s="64" t="b">
        <v>1</v>
      </c>
      <c r="F8" s="64" t="s">
        <v>78</v>
      </c>
      <c r="G8" s="66">
        <v>0</v>
      </c>
      <c r="H8" s="64" t="s">
        <v>75</v>
      </c>
      <c r="I8"/>
    </row>
    <row r="9" spans="1:9" ht="18">
      <c r="A9" s="64" t="s">
        <v>79</v>
      </c>
      <c r="B9" s="64" t="s">
        <v>80</v>
      </c>
      <c r="C9" s="64" t="s">
        <v>80</v>
      </c>
      <c r="D9" s="64"/>
      <c r="E9" s="64" t="b">
        <v>1</v>
      </c>
      <c r="F9" s="64" t="s">
        <v>79</v>
      </c>
      <c r="G9" s="66">
        <v>0</v>
      </c>
      <c r="H9" s="64" t="s">
        <v>79</v>
      </c>
      <c r="I9"/>
    </row>
    <row r="10" spans="1:9" ht="18">
      <c r="A10" s="64" t="s">
        <v>29</v>
      </c>
      <c r="B10" s="64" t="s">
        <v>81</v>
      </c>
      <c r="C10" s="64" t="s">
        <v>68</v>
      </c>
      <c r="D10" s="64"/>
      <c r="E10" s="64" t="b">
        <v>0</v>
      </c>
      <c r="F10" s="64" t="s">
        <v>29</v>
      </c>
      <c r="G10" s="66">
        <v>0</v>
      </c>
      <c r="H10" s="64" t="s">
        <v>29</v>
      </c>
      <c r="I10"/>
    </row>
    <row r="11" spans="1:9" ht="18">
      <c r="A11" s="64" t="s">
        <v>30</v>
      </c>
      <c r="B11" s="64" t="s">
        <v>82</v>
      </c>
      <c r="C11" s="64" t="s">
        <v>59</v>
      </c>
      <c r="D11" s="64" t="s">
        <v>83</v>
      </c>
      <c r="E11" s="64" t="b">
        <v>0</v>
      </c>
      <c r="F11" s="64" t="s">
        <v>30</v>
      </c>
      <c r="G11" s="66">
        <v>0</v>
      </c>
      <c r="H11" s="64" t="s">
        <v>30</v>
      </c>
      <c r="I11"/>
    </row>
    <row r="12" spans="1:9" ht="18">
      <c r="A12" s="64" t="s">
        <v>31</v>
      </c>
      <c r="B12" s="64" t="s">
        <v>84</v>
      </c>
      <c r="C12" s="64" t="s">
        <v>55</v>
      </c>
      <c r="D12" s="64" t="s">
        <v>162</v>
      </c>
      <c r="E12" s="64" t="b">
        <v>0</v>
      </c>
      <c r="F12" s="64" t="s">
        <v>85</v>
      </c>
      <c r="G12" s="66">
        <v>0</v>
      </c>
      <c r="H12" s="64" t="s">
        <v>31</v>
      </c>
      <c r="I12"/>
    </row>
    <row r="13" spans="1:9" ht="18">
      <c r="A13" s="64" t="s">
        <v>86</v>
      </c>
      <c r="B13" s="64" t="s">
        <v>87</v>
      </c>
      <c r="C13" s="64" t="s">
        <v>88</v>
      </c>
      <c r="D13" s="64"/>
      <c r="E13" s="64" t="b">
        <v>0</v>
      </c>
      <c r="F13" s="64" t="s">
        <v>89</v>
      </c>
      <c r="G13" s="66">
        <v>0</v>
      </c>
      <c r="H13" s="64" t="s">
        <v>86</v>
      </c>
      <c r="I13"/>
    </row>
    <row r="14" spans="1:9" ht="18">
      <c r="A14" s="64" t="s">
        <v>32</v>
      </c>
      <c r="B14" s="64" t="s">
        <v>90</v>
      </c>
      <c r="C14" s="64" t="s">
        <v>91</v>
      </c>
      <c r="D14" s="64"/>
      <c r="E14" s="64" t="b">
        <v>0</v>
      </c>
      <c r="F14" s="64" t="s">
        <v>92</v>
      </c>
      <c r="G14" s="66">
        <v>0</v>
      </c>
      <c r="H14" s="64" t="s">
        <v>32</v>
      </c>
      <c r="I14"/>
    </row>
    <row r="15" spans="1:9" ht="18">
      <c r="A15" s="64" t="s">
        <v>93</v>
      </c>
      <c r="B15" s="64" t="s">
        <v>94</v>
      </c>
      <c r="C15" s="64" t="s">
        <v>95</v>
      </c>
      <c r="D15" s="64" t="s">
        <v>163</v>
      </c>
      <c r="E15" s="64" t="b">
        <v>0</v>
      </c>
      <c r="F15" s="64" t="s">
        <v>96</v>
      </c>
      <c r="G15" s="66">
        <v>0</v>
      </c>
      <c r="H15" s="64" t="s">
        <v>93</v>
      </c>
      <c r="I15"/>
    </row>
    <row r="16" spans="1:9" ht="18">
      <c r="A16" s="64" t="s">
        <v>97</v>
      </c>
      <c r="B16" s="64" t="s">
        <v>98</v>
      </c>
      <c r="C16" s="64" t="s">
        <v>99</v>
      </c>
      <c r="D16" s="64"/>
      <c r="E16" s="64" t="b">
        <v>0</v>
      </c>
      <c r="F16" s="64" t="s">
        <v>100</v>
      </c>
      <c r="G16" s="66">
        <v>0</v>
      </c>
      <c r="H16" s="64" t="s">
        <v>97</v>
      </c>
      <c r="I16"/>
    </row>
    <row r="17" spans="1:9" ht="18">
      <c r="A17" s="64" t="s">
        <v>33</v>
      </c>
      <c r="B17" s="64" t="s">
        <v>101</v>
      </c>
      <c r="C17" s="64" t="s">
        <v>102</v>
      </c>
      <c r="D17" s="64" t="s">
        <v>164</v>
      </c>
      <c r="E17" s="64" t="b">
        <v>0</v>
      </c>
      <c r="F17" s="64" t="s">
        <v>103</v>
      </c>
      <c r="G17" s="66">
        <v>0</v>
      </c>
      <c r="H17" s="64" t="s">
        <v>33</v>
      </c>
      <c r="I17"/>
    </row>
    <row r="18" spans="1:9" ht="18">
      <c r="A18" s="64" t="s">
        <v>48</v>
      </c>
      <c r="B18" s="64" t="s">
        <v>104</v>
      </c>
      <c r="C18" s="64" t="s">
        <v>99</v>
      </c>
      <c r="D18" s="64"/>
      <c r="E18" s="64" t="b">
        <v>0</v>
      </c>
      <c r="F18" s="64" t="s">
        <v>105</v>
      </c>
      <c r="G18" s="66">
        <v>0</v>
      </c>
      <c r="H18" s="64" t="s">
        <v>48</v>
      </c>
      <c r="I18"/>
    </row>
    <row r="19" spans="1:9" ht="18">
      <c r="A19" s="64" t="s">
        <v>106</v>
      </c>
      <c r="B19" s="64" t="s">
        <v>107</v>
      </c>
      <c r="C19" s="64" t="s">
        <v>77</v>
      </c>
      <c r="D19" s="64"/>
      <c r="E19" s="64" t="b">
        <v>1</v>
      </c>
      <c r="F19" s="64" t="s">
        <v>108</v>
      </c>
      <c r="G19" s="66">
        <v>0</v>
      </c>
      <c r="H19" s="64" t="s">
        <v>106</v>
      </c>
      <c r="I19"/>
    </row>
    <row r="20" spans="1:9" ht="18">
      <c r="A20" s="64" t="s">
        <v>109</v>
      </c>
      <c r="B20" s="64" t="s">
        <v>110</v>
      </c>
      <c r="C20" s="64" t="s">
        <v>64</v>
      </c>
      <c r="D20" s="64" t="s">
        <v>111</v>
      </c>
      <c r="E20" s="64" t="b">
        <v>0</v>
      </c>
      <c r="F20" s="64" t="s">
        <v>109</v>
      </c>
      <c r="G20" s="66">
        <v>0</v>
      </c>
      <c r="H20" s="64" t="s">
        <v>109</v>
      </c>
      <c r="I20"/>
    </row>
    <row r="21" spans="1:9" ht="18">
      <c r="A21" s="64" t="s">
        <v>112</v>
      </c>
      <c r="B21" s="64" t="s">
        <v>113</v>
      </c>
      <c r="C21" s="64" t="s">
        <v>77</v>
      </c>
      <c r="D21" s="64"/>
      <c r="E21" s="64" t="b">
        <v>1</v>
      </c>
      <c r="F21" s="64" t="s">
        <v>114</v>
      </c>
      <c r="G21" s="66">
        <v>0</v>
      </c>
      <c r="H21" s="64" t="s">
        <v>112</v>
      </c>
      <c r="I21"/>
    </row>
    <row r="22" spans="1:9" ht="18">
      <c r="A22" s="64" t="s">
        <v>115</v>
      </c>
      <c r="B22" s="64" t="s">
        <v>116</v>
      </c>
      <c r="C22" s="64" t="s">
        <v>117</v>
      </c>
      <c r="D22" s="64" t="s">
        <v>118</v>
      </c>
      <c r="E22" s="64" t="b">
        <v>0</v>
      </c>
      <c r="F22" s="64" t="s">
        <v>119</v>
      </c>
      <c r="G22" s="66">
        <v>0</v>
      </c>
      <c r="H22" s="64" t="s">
        <v>115</v>
      </c>
      <c r="I22"/>
    </row>
    <row r="23" spans="1:9" ht="18">
      <c r="A23" s="64" t="s">
        <v>120</v>
      </c>
      <c r="B23" s="64" t="s">
        <v>121</v>
      </c>
      <c r="C23" s="64" t="s">
        <v>77</v>
      </c>
      <c r="D23" s="64"/>
      <c r="E23" s="64" t="b">
        <v>1</v>
      </c>
      <c r="F23" s="64" t="s">
        <v>122</v>
      </c>
      <c r="G23" s="66">
        <v>0</v>
      </c>
      <c r="H23" s="64" t="s">
        <v>120</v>
      </c>
      <c r="I23"/>
    </row>
    <row r="24" spans="1:9" ht="18">
      <c r="A24" s="64" t="s">
        <v>52</v>
      </c>
      <c r="B24" s="64" t="s">
        <v>123</v>
      </c>
      <c r="C24" s="64" t="s">
        <v>123</v>
      </c>
      <c r="D24" s="64"/>
      <c r="E24" s="64" t="b">
        <v>1</v>
      </c>
      <c r="F24" s="64" t="s">
        <v>124</v>
      </c>
      <c r="G24" s="66">
        <v>0</v>
      </c>
      <c r="H24" s="64" t="s">
        <v>52</v>
      </c>
      <c r="I24"/>
    </row>
    <row r="25" spans="1:9" ht="18">
      <c r="A25" s="64" t="s">
        <v>125</v>
      </c>
      <c r="B25" s="64" t="s">
        <v>126</v>
      </c>
      <c r="C25" s="64" t="s">
        <v>127</v>
      </c>
      <c r="D25" s="64"/>
      <c r="E25" s="64" t="b">
        <v>0</v>
      </c>
      <c r="F25" s="64" t="s">
        <v>128</v>
      </c>
      <c r="G25" s="66">
        <v>0</v>
      </c>
      <c r="H25" s="64" t="s">
        <v>125</v>
      </c>
      <c r="I25"/>
    </row>
    <row r="26" spans="1:9" ht="18">
      <c r="A26" s="64" t="s">
        <v>129</v>
      </c>
      <c r="B26" s="64" t="s">
        <v>130</v>
      </c>
      <c r="C26" s="64" t="s">
        <v>95</v>
      </c>
      <c r="D26" s="64" t="s">
        <v>165</v>
      </c>
      <c r="E26" s="64" t="b">
        <v>0</v>
      </c>
      <c r="F26" s="64" t="s">
        <v>129</v>
      </c>
      <c r="G26" s="66">
        <v>0</v>
      </c>
      <c r="H26" s="64" t="s">
        <v>129</v>
      </c>
      <c r="I26"/>
    </row>
    <row r="27" spans="1:9" ht="18">
      <c r="A27" s="64" t="s">
        <v>131</v>
      </c>
      <c r="B27" s="64" t="s">
        <v>132</v>
      </c>
      <c r="C27" s="64" t="s">
        <v>133</v>
      </c>
      <c r="D27" s="64"/>
      <c r="E27" s="64" t="b">
        <v>0</v>
      </c>
      <c r="F27" s="64" t="s">
        <v>134</v>
      </c>
      <c r="G27" s="66">
        <v>0</v>
      </c>
      <c r="H27" s="64" t="s">
        <v>131</v>
      </c>
      <c r="I27"/>
    </row>
    <row r="28" spans="1:9" ht="18">
      <c r="A28" s="64" t="s">
        <v>135</v>
      </c>
      <c r="B28" s="64" t="s">
        <v>136</v>
      </c>
      <c r="C28" s="64" t="s">
        <v>59</v>
      </c>
      <c r="D28" s="64" t="s">
        <v>137</v>
      </c>
      <c r="E28" s="64" t="b">
        <v>0</v>
      </c>
      <c r="F28" s="64" t="s">
        <v>138</v>
      </c>
      <c r="G28" s="66">
        <v>1</v>
      </c>
      <c r="H28" s="64" t="s">
        <v>4</v>
      </c>
      <c r="I28"/>
    </row>
    <row r="29" spans="1:9" ht="18">
      <c r="A29" s="64" t="s">
        <v>139</v>
      </c>
      <c r="B29" s="64" t="s">
        <v>140</v>
      </c>
      <c r="C29" s="64" t="s">
        <v>95</v>
      </c>
      <c r="D29" s="64" t="s">
        <v>166</v>
      </c>
      <c r="E29" s="64" t="b">
        <v>0</v>
      </c>
      <c r="F29" s="64" t="s">
        <v>141</v>
      </c>
      <c r="G29" s="66">
        <v>1</v>
      </c>
      <c r="H29" s="64" t="s">
        <v>93</v>
      </c>
      <c r="I29"/>
    </row>
    <row r="30" spans="1:9" ht="18">
      <c r="A30" s="64" t="s">
        <v>142</v>
      </c>
      <c r="B30" s="64" t="s">
        <v>143</v>
      </c>
      <c r="C30" s="64" t="s">
        <v>95</v>
      </c>
      <c r="D30" s="64" t="s">
        <v>167</v>
      </c>
      <c r="E30" s="64" t="b">
        <v>0</v>
      </c>
      <c r="F30" s="64" t="s">
        <v>144</v>
      </c>
      <c r="G30" s="66">
        <v>1</v>
      </c>
      <c r="H30" s="64" t="s">
        <v>93</v>
      </c>
      <c r="I30"/>
    </row>
    <row r="31" spans="1:9" ht="18">
      <c r="A31" s="65" t="s">
        <v>145</v>
      </c>
      <c r="B31" s="65" t="s">
        <v>146</v>
      </c>
      <c r="C31" s="65" t="s">
        <v>80</v>
      </c>
      <c r="D31" s="65"/>
      <c r="E31" s="65" t="b">
        <v>1</v>
      </c>
      <c r="F31" s="65" t="s">
        <v>145</v>
      </c>
      <c r="G31" s="67">
        <v>1</v>
      </c>
      <c r="H31" s="65" t="s">
        <v>79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48</v>
      </c>
      <c r="D2" s="22" t="s">
        <v>48</v>
      </c>
      <c r="E2" s="22" t="s">
        <v>169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168</v>
      </c>
      <c r="D3" s="24" t="s">
        <v>168</v>
      </c>
      <c r="E3" s="24" t="s">
        <v>174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177</v>
      </c>
      <c r="D4" s="24" t="s">
        <v>177</v>
      </c>
      <c r="E4" s="24" t="s">
        <v>178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84" priority="4" operator="equal">
      <formula>1</formula>
    </cfRule>
  </conditionalFormatting>
  <conditionalFormatting sqref="D2:E101">
    <cfRule type="expression" dxfId="183" priority="3">
      <formula>$J2</formula>
    </cfRule>
  </conditionalFormatting>
  <conditionalFormatting sqref="F2:F101">
    <cfRule type="cellIs" dxfId="182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19CC3E25-C339-42E9-8E45-AAFFBDAC882C}"/>
    <hyperlink ref="C3" location="'受注'!A1" display="受注" xr:uid="{6CE4C62F-6AFD-41FF-BA78-AD4D918C476D}"/>
    <hyperlink ref="C4" location="'受注明細'!A1" display="受注明細" xr:uid="{C3EA1762-7C63-49B6-B718-3D71FE1EB32B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K105"/>
  <sheetViews>
    <sheetView showGridLines="0" tabSelected="1" topLeftCell="AB1" workbookViewId="0">
      <pane ySplit="5" topLeftCell="A6" activePane="bottomLeft" state="frozen"/>
      <selection pane="bottomLeft" activeCell="AH5" sqref="AH5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160</v>
      </c>
      <c r="F2" s="90" t="s">
        <v>161</v>
      </c>
      <c r="G2" s="40"/>
      <c r="AF2" s="7" t="s">
        <v>17</v>
      </c>
      <c r="AG2" s="7" t="b">
        <f ca="1">OR(ISERROR(TABLE_JP),ISERROR(TABLE_EN))</f>
        <v>1</v>
      </c>
    </row>
    <row r="3" spans="1:37">
      <c r="AE3" s="7" t="s">
        <v>8</v>
      </c>
      <c r="AF3" s="7" t="s">
        <v>26</v>
      </c>
      <c r="AG3" s="7" t="b">
        <f>AI6="N/A"</f>
        <v>1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  <c r="AK5" s="104">
        <f>COUNTA(AK6:AK105)</f>
        <v>1</v>
      </c>
    </row>
    <row r="6" spans="1:37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  <c r="AK6" s="104" t="s">
        <v>186</v>
      </c>
    </row>
    <row r="7" spans="1:37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  <c r="AK7" s="104"/>
    </row>
    <row r="8" spans="1:37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104"/>
    </row>
    <row r="9" spans="1:37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  <c r="AK9" s="104"/>
    </row>
    <row r="10" spans="1:37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/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11"/>
        <v>0</v>
      </c>
      <c r="U39" s="19" t="b">
        <f t="shared" si="12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11"/>
        <v>0</v>
      </c>
      <c r="U41" s="19" t="b">
        <f t="shared" si="12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11"/>
        <v>0</v>
      </c>
      <c r="U42" s="19" t="b">
        <f t="shared" si="12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11"/>
        <v>0</v>
      </c>
      <c r="U43" s="19" t="b">
        <f t="shared" si="12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11"/>
        <v>0</v>
      </c>
      <c r="U44" s="19" t="b">
        <f t="shared" si="12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11"/>
        <v>0</v>
      </c>
      <c r="U46" s="19" t="b">
        <f t="shared" si="12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11"/>
        <v>0</v>
      </c>
      <c r="U47" s="19" t="b">
        <f t="shared" si="12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11"/>
        <v>0</v>
      </c>
      <c r="U48" s="19" t="b">
        <f t="shared" si="12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11"/>
        <v>0</v>
      </c>
      <c r="U49" s="19" t="b">
        <f t="shared" si="12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11"/>
        <v>0</v>
      </c>
      <c r="U51" s="19" t="b">
        <f t="shared" si="12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1"/>
        <v>0</v>
      </c>
      <c r="U52" s="19" t="b">
        <f t="shared" si="12"/>
        <v>0</v>
      </c>
      <c r="V52" s="19" t="b">
        <f t="shared" ca="1" si="3"/>
        <v>0</v>
      </c>
      <c r="X52" s="19" t="b">
        <f t="shared" ref="X52:X61" si="13">AND(N41&lt;&gt;"",ISNA(MATCH(N41,テーブル項目KEY,0)))</f>
        <v>0</v>
      </c>
      <c r="Y52" s="19" t="b">
        <f t="shared" ref="Y52:Y61" si="14">AND(O41&lt;&gt;"",ISNA(MATCH(O41,テーブル項目KEY,0)))</f>
        <v>0</v>
      </c>
      <c r="Z52" s="19" t="b">
        <f t="shared" ref="Z52:Z61" si="15">AND(P41&lt;&gt;"",ISNA(MATCH(P41,テーブル項目KEY,0)))</f>
        <v>0</v>
      </c>
      <c r="AA52" s="19" t="b">
        <f t="shared" ref="AA52:AA61" si="16">AND(Q41&lt;&gt;"",ISNA(MATCH(Q41,テーブル項目KEY,0)))</f>
        <v>0</v>
      </c>
      <c r="AB52" s="19" t="b">
        <f t="shared" ref="AB52:AB61" si="17">AND(R41&lt;&gt;"",ISNA(MATCH(R41,テーブル項目KEY,0)))</f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11"/>
        <v>0</v>
      </c>
      <c r="U53" s="19" t="b">
        <f t="shared" si="12"/>
        <v>0</v>
      </c>
      <c r="V53" s="19" t="b">
        <f t="shared" ca="1" si="3"/>
        <v>0</v>
      </c>
      <c r="X53" s="19" t="b">
        <f t="shared" si="13"/>
        <v>0</v>
      </c>
      <c r="Y53" s="19" t="b">
        <f t="shared" si="14"/>
        <v>0</v>
      </c>
      <c r="Z53" s="19" t="b">
        <f t="shared" si="15"/>
        <v>0</v>
      </c>
      <c r="AA53" s="19" t="b">
        <f t="shared" si="16"/>
        <v>0</v>
      </c>
      <c r="AB53" s="19" t="b">
        <f t="shared" si="17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1"/>
        <v>0</v>
      </c>
      <c r="U54" s="19" t="b">
        <f t="shared" si="12"/>
        <v>0</v>
      </c>
      <c r="V54" s="19" t="b">
        <f t="shared" ca="1" si="3"/>
        <v>0</v>
      </c>
      <c r="X54" s="19" t="b">
        <f t="shared" si="13"/>
        <v>0</v>
      </c>
      <c r="Y54" s="19" t="b">
        <f t="shared" si="14"/>
        <v>0</v>
      </c>
      <c r="Z54" s="19" t="b">
        <f t="shared" si="15"/>
        <v>0</v>
      </c>
      <c r="AA54" s="19" t="b">
        <f t="shared" si="16"/>
        <v>0</v>
      </c>
      <c r="AB54" s="19" t="b">
        <f t="shared" si="17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11"/>
        <v>0</v>
      </c>
      <c r="U55" s="19" t="b">
        <f t="shared" si="12"/>
        <v>0</v>
      </c>
      <c r="V55" s="19" t="b">
        <f t="shared" ca="1" si="3"/>
        <v>0</v>
      </c>
      <c r="X55" s="19" t="b">
        <f t="shared" si="13"/>
        <v>0</v>
      </c>
      <c r="Y55" s="19" t="b">
        <f t="shared" si="14"/>
        <v>0</v>
      </c>
      <c r="Z55" s="19" t="b">
        <f t="shared" si="15"/>
        <v>0</v>
      </c>
      <c r="AA55" s="19" t="b">
        <f t="shared" si="16"/>
        <v>0</v>
      </c>
      <c r="AB55" s="19" t="b">
        <f t="shared" si="17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11"/>
        <v>0</v>
      </c>
      <c r="U56" s="19" t="b">
        <f t="shared" si="12"/>
        <v>0</v>
      </c>
      <c r="V56" s="19" t="b">
        <f t="shared" ca="1" si="3"/>
        <v>0</v>
      </c>
      <c r="X56" s="19" t="b">
        <f t="shared" si="13"/>
        <v>0</v>
      </c>
      <c r="Y56" s="19" t="b">
        <f t="shared" si="14"/>
        <v>0</v>
      </c>
      <c r="Z56" s="19" t="b">
        <f t="shared" si="15"/>
        <v>0</v>
      </c>
      <c r="AA56" s="19" t="b">
        <f t="shared" si="16"/>
        <v>0</v>
      </c>
      <c r="AB56" s="19" t="b">
        <f t="shared" si="17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11"/>
        <v>0</v>
      </c>
      <c r="U57" s="19" t="b">
        <f t="shared" si="12"/>
        <v>0</v>
      </c>
      <c r="V57" s="19" t="b">
        <f t="shared" ca="1" si="3"/>
        <v>0</v>
      </c>
      <c r="X57" s="19" t="b">
        <f t="shared" si="13"/>
        <v>0</v>
      </c>
      <c r="Y57" s="19" t="b">
        <f t="shared" si="14"/>
        <v>0</v>
      </c>
      <c r="Z57" s="19" t="b">
        <f t="shared" si="15"/>
        <v>0</v>
      </c>
      <c r="AA57" s="19" t="b">
        <f t="shared" si="16"/>
        <v>0</v>
      </c>
      <c r="AB57" s="19" t="b">
        <f t="shared" si="17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11"/>
        <v>0</v>
      </c>
      <c r="U58" s="19" t="b">
        <f t="shared" si="12"/>
        <v>0</v>
      </c>
      <c r="V58" s="19" t="b">
        <f t="shared" ca="1" si="3"/>
        <v>0</v>
      </c>
      <c r="X58" s="19" t="b">
        <f t="shared" si="13"/>
        <v>0</v>
      </c>
      <c r="Y58" s="19" t="b">
        <f t="shared" si="14"/>
        <v>0</v>
      </c>
      <c r="Z58" s="19" t="b">
        <f t="shared" si="15"/>
        <v>0</v>
      </c>
      <c r="AA58" s="19" t="b">
        <f t="shared" si="16"/>
        <v>0</v>
      </c>
      <c r="AB58" s="19" t="b">
        <f t="shared" si="17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11"/>
        <v>0</v>
      </c>
      <c r="U59" s="19" t="b">
        <f t="shared" si="12"/>
        <v>0</v>
      </c>
      <c r="V59" s="19" t="b">
        <f t="shared" ca="1" si="3"/>
        <v>0</v>
      </c>
      <c r="X59" s="19" t="b">
        <f t="shared" si="13"/>
        <v>0</v>
      </c>
      <c r="Y59" s="19" t="b">
        <f t="shared" si="14"/>
        <v>0</v>
      </c>
      <c r="Z59" s="19" t="b">
        <f t="shared" si="15"/>
        <v>0</v>
      </c>
      <c r="AA59" s="19" t="b">
        <f t="shared" si="16"/>
        <v>0</v>
      </c>
      <c r="AB59" s="19" t="b">
        <f t="shared" si="17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11"/>
        <v>0</v>
      </c>
      <c r="U60" s="19" t="b">
        <f t="shared" si="12"/>
        <v>0</v>
      </c>
      <c r="V60" s="19" t="b">
        <f t="shared" ca="1" si="3"/>
        <v>0</v>
      </c>
      <c r="X60" s="19" t="b">
        <f t="shared" si="13"/>
        <v>0</v>
      </c>
      <c r="Y60" s="19" t="b">
        <f t="shared" si="14"/>
        <v>0</v>
      </c>
      <c r="Z60" s="19" t="b">
        <f t="shared" si="15"/>
        <v>0</v>
      </c>
      <c r="AA60" s="19" t="b">
        <f t="shared" si="16"/>
        <v>0</v>
      </c>
      <c r="AB60" s="19" t="b">
        <f t="shared" si="17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11"/>
        <v>0</v>
      </c>
      <c r="U61" s="19" t="b">
        <f t="shared" si="12"/>
        <v>0</v>
      </c>
      <c r="V61" s="19" t="b">
        <f t="shared" ca="1" si="3"/>
        <v>0</v>
      </c>
      <c r="X61" s="19" t="b">
        <f t="shared" si="13"/>
        <v>0</v>
      </c>
      <c r="Y61" s="19" t="b">
        <f t="shared" si="14"/>
        <v>0</v>
      </c>
      <c r="Z61" s="19" t="b">
        <f t="shared" si="15"/>
        <v>0</v>
      </c>
      <c r="AA61" s="19" t="b">
        <f t="shared" si="16"/>
        <v>0</v>
      </c>
      <c r="AB61" s="19" t="b">
        <f t="shared" si="17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11"/>
        <v>0</v>
      </c>
      <c r="U62" s="19" t="b">
        <f t="shared" si="12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11"/>
        <v>0</v>
      </c>
      <c r="U63" s="19" t="b">
        <f t="shared" si="12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11"/>
        <v>0</v>
      </c>
      <c r="U64" s="19" t="b">
        <f t="shared" si="12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 t="b">
        <f t="shared" ca="1" si="3"/>
        <v>0</v>
      </c>
      <c r="X65" s="19" t="b">
        <f t="shared" ref="X65:X74" si="18">COUNTIF($N41:$R41,N41)&gt;1</f>
        <v>0</v>
      </c>
      <c r="Y65" s="19" t="b">
        <f t="shared" ref="Y65:Y74" si="19">COUNTIF($N41:$R41,O41)&gt;1</f>
        <v>0</v>
      </c>
      <c r="Z65" s="19" t="b">
        <f t="shared" ref="Z65:Z74" si="20">COUNTIF($N41:$R41,P41)&gt;1</f>
        <v>0</v>
      </c>
      <c r="AA65" s="19" t="b">
        <f t="shared" ref="AA65:AA74" si="21">COUNTIF($N41:$R41,Q41)&gt;1</f>
        <v>0</v>
      </c>
      <c r="AB65" s="19" t="b">
        <f t="shared" ref="AB65:AB74" si="22">COUNTIF($N41:$R41,R41)&gt;1</f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 t="b">
        <f t="shared" ca="1" si="3"/>
        <v>0</v>
      </c>
      <c r="X66" s="19" t="b">
        <f t="shared" si="18"/>
        <v>0</v>
      </c>
      <c r="Y66" s="19" t="b">
        <f t="shared" si="19"/>
        <v>0</v>
      </c>
      <c r="Z66" s="19" t="b">
        <f t="shared" si="20"/>
        <v>0</v>
      </c>
      <c r="AA66" s="19" t="b">
        <f t="shared" si="21"/>
        <v>0</v>
      </c>
      <c r="AB66" s="19" t="b">
        <f t="shared" si="22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 t="b">
        <f t="shared" ca="1" si="3"/>
        <v>0</v>
      </c>
      <c r="X67" s="19" t="b">
        <f t="shared" si="18"/>
        <v>0</v>
      </c>
      <c r="Y67" s="19" t="b">
        <f t="shared" si="19"/>
        <v>0</v>
      </c>
      <c r="Z67" s="19" t="b">
        <f t="shared" si="20"/>
        <v>0</v>
      </c>
      <c r="AA67" s="19" t="b">
        <f t="shared" si="21"/>
        <v>0</v>
      </c>
      <c r="AB67" s="19" t="b">
        <f t="shared" si="22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 t="b">
        <f t="shared" ca="1" si="3"/>
        <v>0</v>
      </c>
      <c r="X68" s="19" t="b">
        <f t="shared" si="18"/>
        <v>0</v>
      </c>
      <c r="Y68" s="19" t="b">
        <f t="shared" si="19"/>
        <v>0</v>
      </c>
      <c r="Z68" s="19" t="b">
        <f t="shared" si="20"/>
        <v>0</v>
      </c>
      <c r="AA68" s="19" t="b">
        <f t="shared" si="21"/>
        <v>0</v>
      </c>
      <c r="AB68" s="19" t="b">
        <f t="shared" si="22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 t="b">
        <f t="shared" ca="1" si="3"/>
        <v>0</v>
      </c>
      <c r="X69" s="19" t="b">
        <f t="shared" si="18"/>
        <v>0</v>
      </c>
      <c r="Y69" s="19" t="b">
        <f t="shared" si="19"/>
        <v>0</v>
      </c>
      <c r="Z69" s="19" t="b">
        <f t="shared" si="20"/>
        <v>0</v>
      </c>
      <c r="AA69" s="19" t="b">
        <f t="shared" si="21"/>
        <v>0</v>
      </c>
      <c r="AB69" s="19" t="b">
        <f t="shared" si="22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3">AND(B70&lt;&gt;"",ISNA(MATCH(B70,項目リスト,0)))</f>
        <v>0</v>
      </c>
      <c r="U70" s="19" t="b">
        <f t="shared" ref="U70:U105" si="24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9"/>
        <v>0</v>
      </c>
      <c r="Z70" s="19" t="b">
        <f t="shared" si="20"/>
        <v>0</v>
      </c>
      <c r="AA70" s="19" t="b">
        <f t="shared" si="21"/>
        <v>0</v>
      </c>
      <c r="AB70" s="19" t="b">
        <f t="shared" si="22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3"/>
        <v>0</v>
      </c>
      <c r="U71" s="19" t="b">
        <f t="shared" si="24"/>
        <v>0</v>
      </c>
      <c r="V71" s="19" t="b">
        <f t="shared" ca="1" si="3"/>
        <v>0</v>
      </c>
      <c r="X71" s="19" t="b">
        <f t="shared" si="18"/>
        <v>0</v>
      </c>
      <c r="Y71" s="19" t="b">
        <f t="shared" si="19"/>
        <v>0</v>
      </c>
      <c r="Z71" s="19" t="b">
        <f t="shared" si="20"/>
        <v>0</v>
      </c>
      <c r="AA71" s="19" t="b">
        <f t="shared" si="21"/>
        <v>0</v>
      </c>
      <c r="AB71" s="19" t="b">
        <f t="shared" si="22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3"/>
        <v>0</v>
      </c>
      <c r="U72" s="19" t="b">
        <f t="shared" si="24"/>
        <v>0</v>
      </c>
      <c r="V72" s="19" t="b">
        <f t="shared" ca="1" si="3"/>
        <v>0</v>
      </c>
      <c r="X72" s="19" t="b">
        <f t="shared" si="18"/>
        <v>0</v>
      </c>
      <c r="Y72" s="19" t="b">
        <f t="shared" si="19"/>
        <v>0</v>
      </c>
      <c r="Z72" s="19" t="b">
        <f t="shared" si="20"/>
        <v>0</v>
      </c>
      <c r="AA72" s="19" t="b">
        <f t="shared" si="21"/>
        <v>0</v>
      </c>
      <c r="AB72" s="19" t="b">
        <f t="shared" si="22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3"/>
        <v>0</v>
      </c>
      <c r="U73" s="19" t="b">
        <f t="shared" si="24"/>
        <v>0</v>
      </c>
      <c r="V73" s="19" t="b">
        <f t="shared" ref="V73:V105" ca="1" si="25">AND(E73="",H73&lt;&gt;"",H73)</f>
        <v>0</v>
      </c>
      <c r="X73" s="19" t="b">
        <f t="shared" si="18"/>
        <v>0</v>
      </c>
      <c r="Y73" s="19" t="b">
        <f t="shared" si="19"/>
        <v>0</v>
      </c>
      <c r="Z73" s="19" t="b">
        <f t="shared" si="20"/>
        <v>0</v>
      </c>
      <c r="AA73" s="19" t="b">
        <f t="shared" si="21"/>
        <v>0</v>
      </c>
      <c r="AB73" s="19" t="b">
        <f t="shared" si="22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3"/>
        <v>0</v>
      </c>
      <c r="U74" s="19" t="b">
        <f t="shared" si="24"/>
        <v>0</v>
      </c>
      <c r="V74" s="19" t="b">
        <f t="shared" ca="1" si="25"/>
        <v>0</v>
      </c>
      <c r="X74" s="19" t="b">
        <f t="shared" si="18"/>
        <v>0</v>
      </c>
      <c r="Y74" s="19" t="b">
        <f t="shared" si="19"/>
        <v>0</v>
      </c>
      <c r="Z74" s="19" t="b">
        <f t="shared" si="20"/>
        <v>0</v>
      </c>
      <c r="AA74" s="19" t="b">
        <f t="shared" si="21"/>
        <v>0</v>
      </c>
      <c r="AB74" s="19" t="b">
        <f t="shared" si="22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3"/>
        <v>0</v>
      </c>
      <c r="U75" s="19" t="b">
        <f t="shared" si="24"/>
        <v>0</v>
      </c>
      <c r="V75" s="19" t="b">
        <f t="shared" ca="1" si="25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3"/>
        <v>0</v>
      </c>
      <c r="U76" s="19" t="b">
        <f t="shared" si="24"/>
        <v>0</v>
      </c>
      <c r="V76" s="19" t="b">
        <f t="shared" ca="1" si="25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3"/>
        <v>0</v>
      </c>
      <c r="U77" s="19" t="b">
        <f t="shared" si="24"/>
        <v>0</v>
      </c>
      <c r="V77" s="19" t="b">
        <f t="shared" ca="1" si="25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3"/>
        <v>0</v>
      </c>
      <c r="U78" s="19" t="b">
        <f t="shared" si="24"/>
        <v>0</v>
      </c>
      <c r="V78" s="19" t="b">
        <f t="shared" ca="1" si="25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3"/>
        <v>0</v>
      </c>
      <c r="U79" s="19" t="b">
        <f t="shared" si="24"/>
        <v>0</v>
      </c>
      <c r="V79" s="19" t="b">
        <f t="shared" ca="1" si="25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3"/>
        <v>0</v>
      </c>
      <c r="U80" s="19" t="b">
        <f t="shared" si="24"/>
        <v>0</v>
      </c>
      <c r="V80" s="19" t="b">
        <f t="shared" ca="1" si="25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3"/>
        <v>0</v>
      </c>
      <c r="U81" s="19" t="b">
        <f t="shared" si="24"/>
        <v>0</v>
      </c>
      <c r="V81" s="19" t="b">
        <f t="shared" ca="1" si="25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3"/>
        <v>0</v>
      </c>
      <c r="U82" s="19" t="b">
        <f t="shared" si="24"/>
        <v>0</v>
      </c>
      <c r="V82" s="19" t="b">
        <f t="shared" ca="1" si="25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3"/>
        <v>0</v>
      </c>
      <c r="U83" s="19" t="b">
        <f t="shared" si="24"/>
        <v>0</v>
      </c>
      <c r="V83" s="19" t="b">
        <f t="shared" ca="1" si="25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3"/>
        <v>0</v>
      </c>
      <c r="U84" s="19" t="b">
        <f t="shared" si="24"/>
        <v>0</v>
      </c>
      <c r="V84" s="19" t="b">
        <f t="shared" ca="1" si="25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3"/>
        <v>0</v>
      </c>
      <c r="U85" s="19" t="b">
        <f t="shared" si="24"/>
        <v>0</v>
      </c>
      <c r="V85" s="19" t="b">
        <f t="shared" ca="1" si="25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3"/>
        <v>0</v>
      </c>
      <c r="U86" s="19" t="b">
        <f t="shared" si="24"/>
        <v>0</v>
      </c>
      <c r="V86" s="19" t="b">
        <f t="shared" ca="1" si="25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3"/>
        <v>0</v>
      </c>
      <c r="U87" s="19" t="b">
        <f t="shared" si="24"/>
        <v>0</v>
      </c>
      <c r="V87" s="19" t="b">
        <f t="shared" ca="1" si="25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3"/>
        <v>0</v>
      </c>
      <c r="U88" s="19" t="b">
        <f t="shared" si="24"/>
        <v>0</v>
      </c>
      <c r="V88" s="19" t="b">
        <f t="shared" ca="1" si="25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3"/>
        <v>0</v>
      </c>
      <c r="U89" s="19" t="b">
        <f t="shared" si="24"/>
        <v>0</v>
      </c>
      <c r="V89" s="19" t="b">
        <f t="shared" ca="1" si="25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3"/>
        <v>0</v>
      </c>
      <c r="U90" s="19" t="b">
        <f t="shared" si="24"/>
        <v>0</v>
      </c>
      <c r="V90" s="19" t="b">
        <f t="shared" ca="1" si="25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3"/>
        <v>0</v>
      </c>
      <c r="U91" s="19" t="b">
        <f t="shared" si="24"/>
        <v>0</v>
      </c>
      <c r="V91" s="19" t="b">
        <f t="shared" ca="1" si="25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3"/>
        <v>0</v>
      </c>
      <c r="U92" s="19" t="b">
        <f t="shared" si="24"/>
        <v>0</v>
      </c>
      <c r="V92" s="19" t="b">
        <f t="shared" ca="1" si="25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3"/>
        <v>0</v>
      </c>
      <c r="U93" s="19" t="b">
        <f t="shared" si="24"/>
        <v>0</v>
      </c>
      <c r="V93" s="19" t="b">
        <f t="shared" ca="1" si="25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3"/>
        <v>0</v>
      </c>
      <c r="U94" s="19" t="b">
        <f t="shared" si="24"/>
        <v>0</v>
      </c>
      <c r="V94" s="19" t="b">
        <f t="shared" ca="1" si="25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3"/>
        <v>0</v>
      </c>
      <c r="U95" s="19" t="b">
        <f t="shared" si="24"/>
        <v>0</v>
      </c>
      <c r="V95" s="19" t="b">
        <f t="shared" ca="1" si="25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3"/>
        <v>0</v>
      </c>
      <c r="U96" s="19" t="b">
        <f t="shared" si="24"/>
        <v>0</v>
      </c>
      <c r="V96" s="19" t="b">
        <f t="shared" ca="1" si="25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3"/>
        <v>0</v>
      </c>
      <c r="U97" s="19" t="b">
        <f t="shared" si="24"/>
        <v>0</v>
      </c>
      <c r="V97" s="19" t="b">
        <f t="shared" ca="1" si="25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3"/>
        <v>0</v>
      </c>
      <c r="U98" s="19" t="b">
        <f t="shared" si="24"/>
        <v>0</v>
      </c>
      <c r="V98" s="19" t="b">
        <f t="shared" ca="1" si="25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3"/>
        <v>0</v>
      </c>
      <c r="U99" s="19" t="b">
        <f t="shared" si="24"/>
        <v>0</v>
      </c>
      <c r="V99" s="19" t="b">
        <f t="shared" ca="1" si="25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3"/>
        <v>0</v>
      </c>
      <c r="U100" s="19" t="b">
        <f t="shared" si="24"/>
        <v>0</v>
      </c>
      <c r="V100" s="19" t="b">
        <f t="shared" ca="1" si="25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3"/>
        <v>0</v>
      </c>
      <c r="U101" s="19" t="b">
        <f t="shared" si="24"/>
        <v>0</v>
      </c>
      <c r="V101" s="19" t="b">
        <f t="shared" ca="1" si="25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3"/>
        <v>0</v>
      </c>
      <c r="U102" s="19" t="b">
        <f t="shared" si="24"/>
        <v>0</v>
      </c>
      <c r="V102" s="19" t="b">
        <f t="shared" ca="1" si="25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3"/>
        <v>0</v>
      </c>
      <c r="U103" s="19" t="b">
        <f t="shared" si="24"/>
        <v>0</v>
      </c>
      <c r="V103" s="19" t="b">
        <f t="shared" ca="1" si="25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3"/>
        <v>0</v>
      </c>
      <c r="U104" s="19" t="b">
        <f t="shared" si="24"/>
        <v>0</v>
      </c>
      <c r="V104" s="19" t="b">
        <f t="shared" ca="1" si="25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3"/>
        <v>0</v>
      </c>
      <c r="U105" s="19" t="b">
        <f t="shared" si="24"/>
        <v>0</v>
      </c>
      <c r="V105" s="19" t="b">
        <f t="shared" ca="1" si="25"/>
        <v>0</v>
      </c>
      <c r="AI105" s="59"/>
      <c r="AJ105" s="70"/>
      <c r="AK105" s="104"/>
    </row>
  </sheetData>
  <phoneticPr fontId="2"/>
  <conditionalFormatting sqref="B2:C2">
    <cfRule type="expression" dxfId="181" priority="132">
      <formula>ISERROR(B2)</formula>
    </cfRule>
  </conditionalFormatting>
  <conditionalFormatting sqref="B6:B105">
    <cfRule type="expression" dxfId="180" priority="129">
      <formula>COUNTIF(FIELD_NAME,B6)&gt;1</formula>
    </cfRule>
    <cfRule type="expression" dxfId="179" priority="130">
      <formula>AND($B6&lt;&gt;"",ISNA(MATCH($B6,項目リスト,0)))</formula>
    </cfRule>
  </conditionalFormatting>
  <conditionalFormatting sqref="B6">
    <cfRule type="expression" dxfId="178" priority="124">
      <formula>$AI$6="N/A"</formula>
    </cfRule>
  </conditionalFormatting>
  <conditionalFormatting sqref="D1">
    <cfRule type="cellIs" dxfId="177" priority="113" operator="greaterThan">
      <formula>0</formula>
    </cfRule>
  </conditionalFormatting>
  <conditionalFormatting sqref="L8:P8">
    <cfRule type="expression" dxfId="176" priority="144">
      <formula>Y8</formula>
    </cfRule>
    <cfRule type="expression" dxfId="175" priority="145">
      <formula>Y7</formula>
    </cfRule>
  </conditionalFormatting>
  <conditionalFormatting sqref="L13:P22">
    <cfRule type="expression" dxfId="174" priority="76">
      <formula>Y13</formula>
    </cfRule>
    <cfRule type="expression" dxfId="173" priority="77">
      <formula>$AD13</formula>
    </cfRule>
  </conditionalFormatting>
  <conditionalFormatting sqref="L8">
    <cfRule type="expression" dxfId="172" priority="143">
      <formula>$AG$7</formula>
    </cfRule>
  </conditionalFormatting>
  <conditionalFormatting sqref="L27:P27">
    <cfRule type="expression" dxfId="171" priority="73">
      <formula>Y27</formula>
    </cfRule>
    <cfRule type="expression" dxfId="170" priority="74">
      <formula>$AD27</formula>
    </cfRule>
  </conditionalFormatting>
  <conditionalFormatting sqref="L28:P28">
    <cfRule type="expression" dxfId="169" priority="71">
      <formula>Y28</formula>
    </cfRule>
    <cfRule type="expression" dxfId="168" priority="72">
      <formula>$AD28</formula>
    </cfRule>
  </conditionalFormatting>
  <conditionalFormatting sqref="K28">
    <cfRule type="expression" dxfId="167" priority="65">
      <formula>X28</formula>
    </cfRule>
    <cfRule type="expression" dxfId="166" priority="66">
      <formula>$AD28</formula>
    </cfRule>
  </conditionalFormatting>
  <conditionalFormatting sqref="L32:P32">
    <cfRule type="expression" dxfId="165" priority="33">
      <formula>Y32</formula>
    </cfRule>
    <cfRule type="expression" dxfId="164" priority="34">
      <formula>$AD32</formula>
    </cfRule>
  </conditionalFormatting>
  <conditionalFormatting sqref="L33:P33">
    <cfRule type="expression" dxfId="163" priority="31">
      <formula>Y33</formula>
    </cfRule>
    <cfRule type="expression" dxfId="162" priority="32">
      <formula>$AD33</formula>
    </cfRule>
  </conditionalFormatting>
  <conditionalFormatting sqref="L37:P37">
    <cfRule type="expression" dxfId="161" priority="27">
      <formula>Y37</formula>
    </cfRule>
    <cfRule type="expression" dxfId="160" priority="28">
      <formula>$AD37</formula>
    </cfRule>
  </conditionalFormatting>
  <conditionalFormatting sqref="L38:P38">
    <cfRule type="expression" dxfId="159" priority="25">
      <formula>Y38</formula>
    </cfRule>
    <cfRule type="expression" dxfId="158" priority="26">
      <formula>$AD38</formula>
    </cfRule>
  </conditionalFormatting>
  <conditionalFormatting sqref="L42:P42">
    <cfRule type="expression" dxfId="157" priority="21">
      <formula>Y42</formula>
    </cfRule>
    <cfRule type="expression" dxfId="156" priority="22">
      <formula>$AD42</formula>
    </cfRule>
  </conditionalFormatting>
  <conditionalFormatting sqref="L43:P43">
    <cfRule type="expression" dxfId="155" priority="19">
      <formula>Y43</formula>
    </cfRule>
    <cfRule type="expression" dxfId="154" priority="20">
      <formula>$AD43</formula>
    </cfRule>
  </conditionalFormatting>
  <conditionalFormatting sqref="L47:P47">
    <cfRule type="expression" dxfId="153" priority="15">
      <formula>Y47</formula>
    </cfRule>
    <cfRule type="expression" dxfId="152" priority="16">
      <formula>$AD47</formula>
    </cfRule>
  </conditionalFormatting>
  <conditionalFormatting sqref="L48:P48">
    <cfRule type="expression" dxfId="151" priority="13">
      <formula>Y48</formula>
    </cfRule>
    <cfRule type="expression" dxfId="150" priority="14">
      <formula>$AD48</formula>
    </cfRule>
  </conditionalFormatting>
  <conditionalFormatting sqref="L55:P64">
    <cfRule type="expression" dxfId="149" priority="9">
      <formula>Y55</formula>
    </cfRule>
    <cfRule type="expression" dxfId="148" priority="10">
      <formula>$AD55</formula>
    </cfRule>
  </conditionalFormatting>
  <conditionalFormatting sqref="K33">
    <cfRule type="expression" dxfId="147" priority="7">
      <formula>X33</formula>
    </cfRule>
    <cfRule type="expression" dxfId="146" priority="8">
      <formula>$AD33</formula>
    </cfRule>
  </conditionalFormatting>
  <conditionalFormatting sqref="K38">
    <cfRule type="expression" dxfId="145" priority="5">
      <formula>X38</formula>
    </cfRule>
    <cfRule type="expression" dxfId="144" priority="6">
      <formula>$AD38</formula>
    </cfRule>
  </conditionalFormatting>
  <conditionalFormatting sqref="K43">
    <cfRule type="expression" dxfId="143" priority="3">
      <formula>X43</formula>
    </cfRule>
    <cfRule type="expression" dxfId="142" priority="4">
      <formula>$AD43</formula>
    </cfRule>
  </conditionalFormatting>
  <conditionalFormatting sqref="K48">
    <cfRule type="expression" dxfId="141" priority="1">
      <formula>X48</formula>
    </cfRule>
    <cfRule type="expression" dxfId="140" priority="2">
      <formula>$AD48</formula>
    </cfRule>
  </conditionalFormatting>
  <dataValidations count="8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27:P28 L55:P64 L37:P38 L42:P43 L32:P33 L47:P48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K28 K33 K38 K43 K48" xr:uid="{AEAF8842-E34A-4D00-862A-658966EF398B}">
      <formula1>TABLEリスト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F7C33-3168-4F48-AA2E-97EF5635D968}">
  <sheetPr codeName="template1">
    <tabColor rgb="FFFFFFFF"/>
  </sheetPr>
  <dimension ref="A1:AK105"/>
  <sheetViews>
    <sheetView showGridLines="0" topLeftCell="AB1" workbookViewId="0">
      <pane ySplit="5" topLeftCell="A6" activePane="bottomLeft" state="frozen"/>
      <selection pane="bottomLeft" activeCell="AH5" sqref="AH5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160</v>
      </c>
      <c r="F2" s="90" t="s">
        <v>170</v>
      </c>
      <c r="G2" s="40"/>
      <c r="AF2" s="7" t="s">
        <v>17</v>
      </c>
      <c r="AG2" s="7" t="b">
        <f>OR(ISERROR(TABLE_JP),ISERROR(TABLE_EN))</f>
        <v>0</v>
      </c>
    </row>
    <row r="3" spans="1:37">
      <c r="AE3" s="7" t="s">
        <v>8</v>
      </c>
      <c r="AF3" s="7" t="s">
        <v>26</v>
      </c>
      <c r="AG3" s="7" t="b">
        <f>AI6="N/A"</f>
        <v>0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  <c r="AK5" s="104">
        <f>COUNTA(AK6:AK105)</f>
        <v>2</v>
      </c>
    </row>
    <row r="6" spans="1:37" ht="15" customHeight="1">
      <c r="A6" s="47">
        <v>1</v>
      </c>
      <c r="B6" s="41" t="s">
        <v>33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173</v>
      </c>
      <c r="AJ6" s="70" t="s">
        <v>173</v>
      </c>
      <c r="AK6" s="104" t="s">
        <v>147</v>
      </c>
    </row>
    <row r="7" spans="1:37">
      <c r="A7" s="48">
        <v>2</v>
      </c>
      <c r="B7" s="42" t="s">
        <v>48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171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48</v>
      </c>
      <c r="AJ7" s="70" t="s">
        <v>48</v>
      </c>
      <c r="AK7" s="104" t="s">
        <v>177</v>
      </c>
    </row>
    <row r="8" spans="1:37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33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52</v>
      </c>
      <c r="AK8" s="104"/>
    </row>
    <row r="9" spans="1:37">
      <c r="A9" s="48">
        <v>4</v>
      </c>
      <c r="B9" s="42" t="s">
        <v>52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52</v>
      </c>
      <c r="AJ9" s="70" t="s">
        <v>21</v>
      </c>
      <c r="AK9" s="104"/>
    </row>
    <row r="10" spans="1:37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172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 t="s">
        <v>21</v>
      </c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48</v>
      </c>
      <c r="M13" s="77" t="s">
        <v>32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9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X52" s="19" t="b">
        <f t="shared" ref="X52:AB61" si="12">AND(N41&lt;&gt;"",ISNA(MATCH(N41,テーブル項目KEY,0)))</f>
        <v>0</v>
      </c>
      <c r="Y52" s="19" t="b">
        <f t="shared" si="12"/>
        <v>0</v>
      </c>
      <c r="Z52" s="19" t="b">
        <f t="shared" si="12"/>
        <v>0</v>
      </c>
      <c r="AA52" s="19" t="b">
        <f t="shared" si="12"/>
        <v>0</v>
      </c>
      <c r="AB52" s="19" t="b">
        <f t="shared" si="12"/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X53" s="19" t="b">
        <f t="shared" si="12"/>
        <v>0</v>
      </c>
      <c r="Y53" s="19" t="b">
        <f t="shared" si="12"/>
        <v>0</v>
      </c>
      <c r="Z53" s="19" t="b">
        <f t="shared" si="12"/>
        <v>0</v>
      </c>
      <c r="AA53" s="19" t="b">
        <f t="shared" si="12"/>
        <v>0</v>
      </c>
      <c r="AB53" s="19" t="b">
        <f t="shared" si="12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19" t="b">
        <f t="shared" si="12"/>
        <v>0</v>
      </c>
      <c r="Y54" s="19" t="b">
        <f t="shared" si="12"/>
        <v>0</v>
      </c>
      <c r="Z54" s="19" t="b">
        <f t="shared" si="12"/>
        <v>0</v>
      </c>
      <c r="AA54" s="19" t="b">
        <f t="shared" si="12"/>
        <v>0</v>
      </c>
      <c r="AB54" s="19" t="b">
        <f t="shared" si="12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19" t="b">
        <f t="shared" si="12"/>
        <v>0</v>
      </c>
      <c r="Y55" s="19" t="b">
        <f t="shared" si="12"/>
        <v>0</v>
      </c>
      <c r="Z55" s="19" t="b">
        <f t="shared" si="12"/>
        <v>0</v>
      </c>
      <c r="AA55" s="19" t="b">
        <f t="shared" si="12"/>
        <v>0</v>
      </c>
      <c r="AB55" s="19" t="b">
        <f t="shared" si="12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19" t="b">
        <f t="shared" si="12"/>
        <v>0</v>
      </c>
      <c r="Y56" s="19" t="b">
        <f t="shared" si="12"/>
        <v>0</v>
      </c>
      <c r="Z56" s="19" t="b">
        <f t="shared" si="12"/>
        <v>0</v>
      </c>
      <c r="AA56" s="19" t="b">
        <f t="shared" si="12"/>
        <v>0</v>
      </c>
      <c r="AB56" s="19" t="b">
        <f t="shared" si="12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X57" s="19" t="b">
        <f t="shared" si="12"/>
        <v>0</v>
      </c>
      <c r="Y57" s="19" t="b">
        <f t="shared" si="12"/>
        <v>0</v>
      </c>
      <c r="Z57" s="19" t="b">
        <f t="shared" si="12"/>
        <v>0</v>
      </c>
      <c r="AA57" s="19" t="b">
        <f t="shared" si="12"/>
        <v>0</v>
      </c>
      <c r="AB57" s="19" t="b">
        <f t="shared" si="12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X58" s="19" t="b">
        <f t="shared" si="12"/>
        <v>0</v>
      </c>
      <c r="Y58" s="19" t="b">
        <f t="shared" si="12"/>
        <v>0</v>
      </c>
      <c r="Z58" s="19" t="b">
        <f t="shared" si="12"/>
        <v>0</v>
      </c>
      <c r="AA58" s="19" t="b">
        <f t="shared" si="12"/>
        <v>0</v>
      </c>
      <c r="AB58" s="19" t="b">
        <f t="shared" si="12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X59" s="19" t="b">
        <f t="shared" si="12"/>
        <v>0</v>
      </c>
      <c r="Y59" s="19" t="b">
        <f t="shared" si="12"/>
        <v>0</v>
      </c>
      <c r="Z59" s="19" t="b">
        <f t="shared" si="12"/>
        <v>0</v>
      </c>
      <c r="AA59" s="19" t="b">
        <f t="shared" si="12"/>
        <v>0</v>
      </c>
      <c r="AB59" s="19" t="b">
        <f t="shared" si="12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X60" s="19" t="b">
        <f t="shared" si="12"/>
        <v>0</v>
      </c>
      <c r="Y60" s="19" t="b">
        <f t="shared" si="12"/>
        <v>0</v>
      </c>
      <c r="Z60" s="19" t="b">
        <f t="shared" si="12"/>
        <v>0</v>
      </c>
      <c r="AA60" s="19" t="b">
        <f t="shared" si="12"/>
        <v>0</v>
      </c>
      <c r="AB60" s="19" t="b">
        <f t="shared" si="12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X61" s="19" t="b">
        <f t="shared" si="12"/>
        <v>0</v>
      </c>
      <c r="Y61" s="19" t="b">
        <f t="shared" si="12"/>
        <v>0</v>
      </c>
      <c r="Z61" s="19" t="b">
        <f t="shared" si="12"/>
        <v>0</v>
      </c>
      <c r="AA61" s="19" t="b">
        <f t="shared" si="12"/>
        <v>0</v>
      </c>
      <c r="AB61" s="19" t="b">
        <f t="shared" si="12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X65" s="19" t="b">
        <f t="shared" ref="X65:AB74" si="13">COUNTIF($N41:$R41,N41)&gt;1</f>
        <v>0</v>
      </c>
      <c r="Y65" s="19" t="b">
        <f t="shared" si="13"/>
        <v>0</v>
      </c>
      <c r="Z65" s="19" t="b">
        <f t="shared" si="13"/>
        <v>0</v>
      </c>
      <c r="AA65" s="19" t="b">
        <f t="shared" si="13"/>
        <v>0</v>
      </c>
      <c r="AB65" s="19" t="b">
        <f t="shared" si="13"/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X66" s="19" t="b">
        <f t="shared" si="13"/>
        <v>0</v>
      </c>
      <c r="Y66" s="19" t="b">
        <f t="shared" si="13"/>
        <v>0</v>
      </c>
      <c r="Z66" s="19" t="b">
        <f t="shared" si="13"/>
        <v>0</v>
      </c>
      <c r="AA66" s="19" t="b">
        <f t="shared" si="13"/>
        <v>0</v>
      </c>
      <c r="AB66" s="19" t="b">
        <f t="shared" si="13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X67" s="19" t="b">
        <f t="shared" si="13"/>
        <v>0</v>
      </c>
      <c r="Y67" s="19" t="b">
        <f t="shared" si="13"/>
        <v>0</v>
      </c>
      <c r="Z67" s="19" t="b">
        <f t="shared" si="13"/>
        <v>0</v>
      </c>
      <c r="AA67" s="19" t="b">
        <f t="shared" si="13"/>
        <v>0</v>
      </c>
      <c r="AB67" s="19" t="b">
        <f t="shared" si="13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X68" s="19" t="b">
        <f t="shared" si="13"/>
        <v>0</v>
      </c>
      <c r="Y68" s="19" t="b">
        <f t="shared" si="13"/>
        <v>0</v>
      </c>
      <c r="Z68" s="19" t="b">
        <f t="shared" si="13"/>
        <v>0</v>
      </c>
      <c r="AA68" s="19" t="b">
        <f t="shared" si="13"/>
        <v>0</v>
      </c>
      <c r="AB68" s="19" t="b">
        <f t="shared" si="13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X69" s="19" t="b">
        <f t="shared" si="13"/>
        <v>0</v>
      </c>
      <c r="Y69" s="19" t="b">
        <f t="shared" si="13"/>
        <v>0</v>
      </c>
      <c r="Z69" s="19" t="b">
        <f t="shared" si="13"/>
        <v>0</v>
      </c>
      <c r="AA69" s="19" t="b">
        <f t="shared" si="13"/>
        <v>0</v>
      </c>
      <c r="AB69" s="19" t="b">
        <f t="shared" si="13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4">AND(B70&lt;&gt;"",ISNA(MATCH(B70,項目リスト,0)))</f>
        <v>0</v>
      </c>
      <c r="U70" s="19" t="b">
        <f t="shared" ref="U70:U105" si="15">COUNTIF(FIELD_NAME,B70)&gt;1</f>
        <v>0</v>
      </c>
      <c r="V70" s="19" t="b">
        <f t="shared" ca="1" si="3"/>
        <v>0</v>
      </c>
      <c r="X70" s="19" t="b">
        <f t="shared" si="13"/>
        <v>0</v>
      </c>
      <c r="Y70" s="19" t="b">
        <f t="shared" si="13"/>
        <v>0</v>
      </c>
      <c r="Z70" s="19" t="b">
        <f t="shared" si="13"/>
        <v>0</v>
      </c>
      <c r="AA70" s="19" t="b">
        <f t="shared" si="13"/>
        <v>0</v>
      </c>
      <c r="AB70" s="19" t="b">
        <f t="shared" si="13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4"/>
        <v>0</v>
      </c>
      <c r="U71" s="19" t="b">
        <f t="shared" si="15"/>
        <v>0</v>
      </c>
      <c r="V71" s="19" t="b">
        <f t="shared" ca="1" si="3"/>
        <v>0</v>
      </c>
      <c r="X71" s="19" t="b">
        <f t="shared" si="13"/>
        <v>0</v>
      </c>
      <c r="Y71" s="19" t="b">
        <f t="shared" si="13"/>
        <v>0</v>
      </c>
      <c r="Z71" s="19" t="b">
        <f t="shared" si="13"/>
        <v>0</v>
      </c>
      <c r="AA71" s="19" t="b">
        <f t="shared" si="13"/>
        <v>0</v>
      </c>
      <c r="AB71" s="19" t="b">
        <f t="shared" si="13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4"/>
        <v>0</v>
      </c>
      <c r="U72" s="19" t="b">
        <f t="shared" si="15"/>
        <v>0</v>
      </c>
      <c r="V72" s="19" t="b">
        <f t="shared" ca="1" si="3"/>
        <v>0</v>
      </c>
      <c r="X72" s="19" t="b">
        <f t="shared" si="13"/>
        <v>0</v>
      </c>
      <c r="Y72" s="19" t="b">
        <f t="shared" si="13"/>
        <v>0</v>
      </c>
      <c r="Z72" s="19" t="b">
        <f t="shared" si="13"/>
        <v>0</v>
      </c>
      <c r="AA72" s="19" t="b">
        <f t="shared" si="13"/>
        <v>0</v>
      </c>
      <c r="AB72" s="19" t="b">
        <f t="shared" si="13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4"/>
        <v>0</v>
      </c>
      <c r="U73" s="19" t="b">
        <f t="shared" si="15"/>
        <v>0</v>
      </c>
      <c r="V73" s="19" t="b">
        <f t="shared" ref="V73:V105" ca="1" si="16">AND(E73="",H73&lt;&gt;"",H73)</f>
        <v>0</v>
      </c>
      <c r="X73" s="19" t="b">
        <f t="shared" si="13"/>
        <v>0</v>
      </c>
      <c r="Y73" s="19" t="b">
        <f t="shared" si="13"/>
        <v>0</v>
      </c>
      <c r="Z73" s="19" t="b">
        <f t="shared" si="13"/>
        <v>0</v>
      </c>
      <c r="AA73" s="19" t="b">
        <f t="shared" si="13"/>
        <v>0</v>
      </c>
      <c r="AB73" s="19" t="b">
        <f t="shared" si="13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4"/>
        <v>0</v>
      </c>
      <c r="U74" s="19" t="b">
        <f t="shared" si="15"/>
        <v>0</v>
      </c>
      <c r="V74" s="19" t="b">
        <f t="shared" ca="1" si="16"/>
        <v>0</v>
      </c>
      <c r="X74" s="19" t="b">
        <f t="shared" si="13"/>
        <v>0</v>
      </c>
      <c r="Y74" s="19" t="b">
        <f t="shared" si="13"/>
        <v>0</v>
      </c>
      <c r="Z74" s="19" t="b">
        <f t="shared" si="13"/>
        <v>0</v>
      </c>
      <c r="AA74" s="19" t="b">
        <f t="shared" si="13"/>
        <v>0</v>
      </c>
      <c r="AB74" s="19" t="b">
        <f t="shared" si="13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4"/>
        <v>0</v>
      </c>
      <c r="U75" s="19" t="b">
        <f t="shared" si="15"/>
        <v>0</v>
      </c>
      <c r="V75" s="19" t="b">
        <f t="shared" ca="1" si="16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4"/>
        <v>0</v>
      </c>
      <c r="U76" s="19" t="b">
        <f t="shared" si="15"/>
        <v>0</v>
      </c>
      <c r="V76" s="19" t="b">
        <f t="shared" ca="1" si="16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4"/>
        <v>0</v>
      </c>
      <c r="U77" s="19" t="b">
        <f t="shared" si="15"/>
        <v>0</v>
      </c>
      <c r="V77" s="19" t="b">
        <f t="shared" ca="1" si="16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4"/>
        <v>0</v>
      </c>
      <c r="U78" s="19" t="b">
        <f t="shared" si="15"/>
        <v>0</v>
      </c>
      <c r="V78" s="19" t="b">
        <f t="shared" ca="1" si="16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4"/>
        <v>0</v>
      </c>
      <c r="U79" s="19" t="b">
        <f t="shared" si="15"/>
        <v>0</v>
      </c>
      <c r="V79" s="19" t="b">
        <f t="shared" ca="1" si="16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4"/>
        <v>0</v>
      </c>
      <c r="U80" s="19" t="b">
        <f t="shared" si="15"/>
        <v>0</v>
      </c>
      <c r="V80" s="19" t="b">
        <f t="shared" ca="1" si="16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4"/>
        <v>0</v>
      </c>
      <c r="U81" s="19" t="b">
        <f t="shared" si="15"/>
        <v>0</v>
      </c>
      <c r="V81" s="19" t="b">
        <f t="shared" ca="1" si="16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4"/>
        <v>0</v>
      </c>
      <c r="U82" s="19" t="b">
        <f t="shared" si="15"/>
        <v>0</v>
      </c>
      <c r="V82" s="19" t="b">
        <f t="shared" ca="1" si="16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4"/>
        <v>0</v>
      </c>
      <c r="U83" s="19" t="b">
        <f t="shared" si="15"/>
        <v>0</v>
      </c>
      <c r="V83" s="19" t="b">
        <f t="shared" ca="1" si="16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4"/>
        <v>0</v>
      </c>
      <c r="U84" s="19" t="b">
        <f t="shared" si="15"/>
        <v>0</v>
      </c>
      <c r="V84" s="19" t="b">
        <f t="shared" ca="1" si="16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4"/>
        <v>0</v>
      </c>
      <c r="U85" s="19" t="b">
        <f t="shared" si="15"/>
        <v>0</v>
      </c>
      <c r="V85" s="19" t="b">
        <f t="shared" ca="1" si="16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4"/>
        <v>0</v>
      </c>
      <c r="U86" s="19" t="b">
        <f t="shared" si="15"/>
        <v>0</v>
      </c>
      <c r="V86" s="19" t="b">
        <f t="shared" ca="1" si="16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4"/>
        <v>0</v>
      </c>
      <c r="U87" s="19" t="b">
        <f t="shared" si="15"/>
        <v>0</v>
      </c>
      <c r="V87" s="19" t="b">
        <f t="shared" ca="1" si="16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4"/>
        <v>0</v>
      </c>
      <c r="U88" s="19" t="b">
        <f t="shared" si="15"/>
        <v>0</v>
      </c>
      <c r="V88" s="19" t="b">
        <f t="shared" ca="1" si="16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4"/>
        <v>0</v>
      </c>
      <c r="U89" s="19" t="b">
        <f t="shared" si="15"/>
        <v>0</v>
      </c>
      <c r="V89" s="19" t="b">
        <f t="shared" ca="1" si="16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4"/>
        <v>0</v>
      </c>
      <c r="U90" s="19" t="b">
        <f t="shared" si="15"/>
        <v>0</v>
      </c>
      <c r="V90" s="19" t="b">
        <f t="shared" ca="1" si="16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4"/>
        <v>0</v>
      </c>
      <c r="U91" s="19" t="b">
        <f t="shared" si="15"/>
        <v>0</v>
      </c>
      <c r="V91" s="19" t="b">
        <f t="shared" ca="1" si="16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4"/>
        <v>0</v>
      </c>
      <c r="U92" s="19" t="b">
        <f t="shared" si="15"/>
        <v>0</v>
      </c>
      <c r="V92" s="19" t="b">
        <f t="shared" ca="1" si="16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4"/>
        <v>0</v>
      </c>
      <c r="U93" s="19" t="b">
        <f t="shared" si="15"/>
        <v>0</v>
      </c>
      <c r="V93" s="19" t="b">
        <f t="shared" ca="1" si="16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4"/>
        <v>0</v>
      </c>
      <c r="U94" s="19" t="b">
        <f t="shared" si="15"/>
        <v>0</v>
      </c>
      <c r="V94" s="19" t="b">
        <f t="shared" ca="1" si="16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4"/>
        <v>0</v>
      </c>
      <c r="U95" s="19" t="b">
        <f t="shared" si="15"/>
        <v>0</v>
      </c>
      <c r="V95" s="19" t="b">
        <f t="shared" ca="1" si="16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4"/>
        <v>0</v>
      </c>
      <c r="U96" s="19" t="b">
        <f t="shared" si="15"/>
        <v>0</v>
      </c>
      <c r="V96" s="19" t="b">
        <f t="shared" ca="1" si="16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4"/>
        <v>0</v>
      </c>
      <c r="U97" s="19" t="b">
        <f t="shared" si="15"/>
        <v>0</v>
      </c>
      <c r="V97" s="19" t="b">
        <f t="shared" ca="1" si="16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4"/>
        <v>0</v>
      </c>
      <c r="U98" s="19" t="b">
        <f t="shared" si="15"/>
        <v>0</v>
      </c>
      <c r="V98" s="19" t="b">
        <f t="shared" ca="1" si="16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4"/>
        <v>0</v>
      </c>
      <c r="U99" s="19" t="b">
        <f t="shared" si="15"/>
        <v>0</v>
      </c>
      <c r="V99" s="19" t="b">
        <f t="shared" ca="1" si="16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4"/>
        <v>0</v>
      </c>
      <c r="U100" s="19" t="b">
        <f t="shared" si="15"/>
        <v>0</v>
      </c>
      <c r="V100" s="19" t="b">
        <f t="shared" ca="1" si="16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4"/>
        <v>0</v>
      </c>
      <c r="U101" s="19" t="b">
        <f t="shared" si="15"/>
        <v>0</v>
      </c>
      <c r="V101" s="19" t="b">
        <f t="shared" ca="1" si="16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4"/>
        <v>0</v>
      </c>
      <c r="U102" s="19" t="b">
        <f t="shared" si="15"/>
        <v>0</v>
      </c>
      <c r="V102" s="19" t="b">
        <f t="shared" ca="1" si="16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4"/>
        <v>0</v>
      </c>
      <c r="U103" s="19" t="b">
        <f t="shared" si="15"/>
        <v>0</v>
      </c>
      <c r="V103" s="19" t="b">
        <f t="shared" ca="1" si="16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4"/>
        <v>0</v>
      </c>
      <c r="U104" s="19" t="b">
        <f t="shared" si="15"/>
        <v>0</v>
      </c>
      <c r="V104" s="19" t="b">
        <f t="shared" ca="1" si="16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4"/>
        <v>0</v>
      </c>
      <c r="U105" s="19" t="b">
        <f t="shared" si="15"/>
        <v>0</v>
      </c>
      <c r="V105" s="19" t="b">
        <f t="shared" ca="1" si="16"/>
        <v>0</v>
      </c>
      <c r="AI105" s="59"/>
      <c r="AJ105" s="70"/>
      <c r="AK105" s="104"/>
    </row>
  </sheetData>
  <phoneticPr fontId="2"/>
  <conditionalFormatting sqref="B2:C2">
    <cfRule type="expression" dxfId="139" priority="39">
      <formula>ISERROR(B2)</formula>
    </cfRule>
  </conditionalFormatting>
  <conditionalFormatting sqref="B6:B105">
    <cfRule type="expression" dxfId="138" priority="37">
      <formula>COUNTIF(FIELD_NAME,B6)&gt;1</formula>
    </cfRule>
    <cfRule type="expression" dxfId="137" priority="38">
      <formula>AND($B6&lt;&gt;"",ISNA(MATCH($B6,項目リスト,0)))</formula>
    </cfRule>
  </conditionalFormatting>
  <conditionalFormatting sqref="B6">
    <cfRule type="expression" dxfId="136" priority="36">
      <formula>$AI$6="N/A"</formula>
    </cfRule>
  </conditionalFormatting>
  <conditionalFormatting sqref="D1">
    <cfRule type="cellIs" dxfId="135" priority="35" operator="greaterThan">
      <formula>0</formula>
    </cfRule>
  </conditionalFormatting>
  <conditionalFormatting sqref="L8:P8">
    <cfRule type="expression" dxfId="134" priority="41">
      <formula>Y8</formula>
    </cfRule>
    <cfRule type="expression" dxfId="133" priority="42">
      <formula>Y7</formula>
    </cfRule>
  </conditionalFormatting>
  <conditionalFormatting sqref="L13:P22">
    <cfRule type="expression" dxfId="132" priority="33">
      <formula>Y13</formula>
    </cfRule>
    <cfRule type="expression" dxfId="131" priority="34">
      <formula>$AD13</formula>
    </cfRule>
  </conditionalFormatting>
  <conditionalFormatting sqref="L8">
    <cfRule type="expression" dxfId="130" priority="40">
      <formula>$AG$7</formula>
    </cfRule>
  </conditionalFormatting>
  <conditionalFormatting sqref="L27:P27">
    <cfRule type="expression" dxfId="129" priority="31">
      <formula>Y27</formula>
    </cfRule>
    <cfRule type="expression" dxfId="128" priority="32">
      <formula>$AD27</formula>
    </cfRule>
  </conditionalFormatting>
  <conditionalFormatting sqref="L28:P28">
    <cfRule type="expression" dxfId="127" priority="29">
      <formula>Y28</formula>
    </cfRule>
    <cfRule type="expression" dxfId="126" priority="30">
      <formula>$AD28</formula>
    </cfRule>
  </conditionalFormatting>
  <conditionalFormatting sqref="K28">
    <cfRule type="expression" dxfId="125" priority="27">
      <formula>X28</formula>
    </cfRule>
    <cfRule type="expression" dxfId="124" priority="28">
      <formula>$AD28</formula>
    </cfRule>
  </conditionalFormatting>
  <conditionalFormatting sqref="L32:P32">
    <cfRule type="expression" dxfId="123" priority="25">
      <formula>Y32</formula>
    </cfRule>
    <cfRule type="expression" dxfId="122" priority="26">
      <formula>$AD32</formula>
    </cfRule>
  </conditionalFormatting>
  <conditionalFormatting sqref="L33:P33">
    <cfRule type="expression" dxfId="121" priority="23">
      <formula>Y33</formula>
    </cfRule>
    <cfRule type="expression" dxfId="120" priority="24">
      <formula>$AD33</formula>
    </cfRule>
  </conditionalFormatting>
  <conditionalFormatting sqref="L37:P37">
    <cfRule type="expression" dxfId="119" priority="21">
      <formula>Y37</formula>
    </cfRule>
    <cfRule type="expression" dxfId="118" priority="22">
      <formula>$AD37</formula>
    </cfRule>
  </conditionalFormatting>
  <conditionalFormatting sqref="L38:P38">
    <cfRule type="expression" dxfId="117" priority="19">
      <formula>Y38</formula>
    </cfRule>
    <cfRule type="expression" dxfId="116" priority="20">
      <formula>$AD38</formula>
    </cfRule>
  </conditionalFormatting>
  <conditionalFormatting sqref="L42:P42">
    <cfRule type="expression" dxfId="115" priority="17">
      <formula>Y42</formula>
    </cfRule>
    <cfRule type="expression" dxfId="114" priority="18">
      <formula>$AD42</formula>
    </cfRule>
  </conditionalFormatting>
  <conditionalFormatting sqref="L43:P43">
    <cfRule type="expression" dxfId="113" priority="15">
      <formula>Y43</formula>
    </cfRule>
    <cfRule type="expression" dxfId="112" priority="16">
      <formula>$AD43</formula>
    </cfRule>
  </conditionalFormatting>
  <conditionalFormatting sqref="L47:P47">
    <cfRule type="expression" dxfId="111" priority="13">
      <formula>Y47</formula>
    </cfRule>
    <cfRule type="expression" dxfId="110" priority="14">
      <formula>$AD47</formula>
    </cfRule>
  </conditionalFormatting>
  <conditionalFormatting sqref="L48:P48">
    <cfRule type="expression" dxfId="109" priority="11">
      <formula>Y48</formula>
    </cfRule>
    <cfRule type="expression" dxfId="108" priority="12">
      <formula>$AD48</formula>
    </cfRule>
  </conditionalFormatting>
  <conditionalFormatting sqref="L55:P64">
    <cfRule type="expression" dxfId="107" priority="9">
      <formula>Y55</formula>
    </cfRule>
    <cfRule type="expression" dxfId="106" priority="10">
      <formula>$AD55</formula>
    </cfRule>
  </conditionalFormatting>
  <conditionalFormatting sqref="K33">
    <cfRule type="expression" dxfId="105" priority="7">
      <formula>X33</formula>
    </cfRule>
    <cfRule type="expression" dxfId="104" priority="8">
      <formula>$AD33</formula>
    </cfRule>
  </conditionalFormatting>
  <conditionalFormatting sqref="K38">
    <cfRule type="expression" dxfId="103" priority="5">
      <formula>X38</formula>
    </cfRule>
    <cfRule type="expression" dxfId="102" priority="6">
      <formula>$AD38</formula>
    </cfRule>
  </conditionalFormatting>
  <conditionalFormatting sqref="K43">
    <cfRule type="expression" dxfId="101" priority="3">
      <formula>X43</formula>
    </cfRule>
    <cfRule type="expression" dxfId="100" priority="4">
      <formula>$AD43</formula>
    </cfRule>
  </conditionalFormatting>
  <conditionalFormatting sqref="K48">
    <cfRule type="expression" dxfId="99" priority="1">
      <formula>X48</formula>
    </cfRule>
    <cfRule type="expression" dxfId="98" priority="2">
      <formula>$AD48</formula>
    </cfRule>
  </conditionalFormatting>
  <conditionalFormatting sqref="E6">
    <cfRule type="expression" dxfId="97" priority="43" stopIfTrue="1">
      <formula>$V6</formula>
    </cfRule>
  </conditionalFormatting>
  <conditionalFormatting sqref="E7">
    <cfRule type="expression" dxfId="96" priority="44" stopIfTrue="1">
      <formula>$V7</formula>
    </cfRule>
  </conditionalFormatting>
  <conditionalFormatting sqref="E8">
    <cfRule type="expression" dxfId="95" priority="45" stopIfTrue="1">
      <formula>$V8</formula>
    </cfRule>
  </conditionalFormatting>
  <conditionalFormatting sqref="E9">
    <cfRule type="expression" dxfId="94" priority="46" stopIfTrue="1">
      <formula>$V9</formula>
    </cfRule>
  </conditionalFormatting>
  <conditionalFormatting sqref="E10">
    <cfRule type="expression" dxfId="93" priority="47" stopIfTrue="1">
      <formula>$V10</formula>
    </cfRule>
  </conditionalFormatting>
  <dataValidations count="8">
    <dataValidation imeMode="off" allowBlank="1" showInputMessage="1" showErrorMessage="1" sqref="D5:F5 C2" xr:uid="{63914900-0E0E-4435-9C72-41D85EDBED01}"/>
    <dataValidation type="list" allowBlank="1" showInputMessage="1" showErrorMessage="1" sqref="K28 K33 K38 K43 K48" xr:uid="{4656D9BB-301B-4569-A1F4-91487918DD21}">
      <formula1>TABLEリスト</formula1>
    </dataValidation>
    <dataValidation type="list" allowBlank="1" showInputMessage="1" showErrorMessage="1" sqref="F2" xr:uid="{27CE44F2-74CE-4DCA-A1AF-354E8F529E2E}">
      <formula1>"○,-"</formula1>
    </dataValidation>
    <dataValidation type="list" allowBlank="1" showInputMessage="1" showErrorMessage="1" sqref="L13:P22 L27:P28 L55:P64 L37:P38 L42:P43 L32:P33 L47:P48" xr:uid="{8FF94830-F7CD-41CB-AD54-0A37D8234D3D}">
      <formula1>FIELDリスト</formula1>
    </dataValidation>
    <dataValidation type="list" allowBlank="1" showInputMessage="1" showErrorMessage="1" sqref="L8:P8" xr:uid="{E88B1365-A395-4C2C-8E04-E8B0BDCCEE20}">
      <formula1>FIELDリストNN</formula1>
    </dataValidation>
    <dataValidation type="whole" imeMode="off" operator="equal" allowBlank="1" showInputMessage="1" showErrorMessage="1" error="NotNullの場合は[1]を入力する。" sqref="E6:E105" xr:uid="{B1C4898B-3F0B-4A65-970B-CDBE63A4EA50}">
      <formula1>1</formula1>
    </dataValidation>
    <dataValidation type="list" allowBlank="1" showInputMessage="1" showErrorMessage="1" sqref="B6:B105" xr:uid="{AF7893DA-280C-4929-8517-B496FBBCB4F7}">
      <formula1>項目リスト</formula1>
    </dataValidation>
    <dataValidation imeMode="on" allowBlank="1" showInputMessage="1" showErrorMessage="1" sqref="K12 A5 A1:A2 E2 K7 F6:H105 K54" xr:uid="{DE54353C-80ED-4281-81BD-9F9DC4992A49}"/>
  </dataValidations>
  <hyperlinks>
    <hyperlink ref="E1" location="一覧!R1C1" display="一覧へ" xr:uid="{D3EA6F05-73E8-444B-9B4C-3A8D497BB91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A90E-B1F4-4D38-9826-ACAA65441085}">
  <sheetPr codeName="template2">
    <tabColor rgb="FFFFFFFF"/>
  </sheetPr>
  <dimension ref="A1:AK105"/>
  <sheetViews>
    <sheetView showGridLines="0" topLeftCell="AB1" workbookViewId="0">
      <pane ySplit="5" topLeftCell="A6" activePane="bottomLeft" state="frozen"/>
      <selection pane="bottomLeft" activeCell="AH5" sqref="AH5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160</v>
      </c>
      <c r="F2" s="90" t="s">
        <v>175</v>
      </c>
      <c r="G2" s="40"/>
      <c r="AF2" s="7" t="s">
        <v>17</v>
      </c>
      <c r="AG2" s="7" t="b">
        <f>OR(ISERROR(TABLE_JP),ISERROR(TABLE_EN))</f>
        <v>0</v>
      </c>
    </row>
    <row r="3" spans="1:37">
      <c r="AE3" s="7" t="s">
        <v>8</v>
      </c>
      <c r="AF3" s="7" t="s">
        <v>26</v>
      </c>
      <c r="AG3" s="7" t="b">
        <f>AI6="N/A"</f>
        <v>0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  <c r="AK5" s="104">
        <f>COUNTA(AK6:AK105)</f>
        <v>2</v>
      </c>
    </row>
    <row r="6" spans="1:37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176</v>
      </c>
      <c r="AJ6" s="70" t="s">
        <v>176</v>
      </c>
      <c r="AK6" s="104" t="s">
        <v>185</v>
      </c>
    </row>
    <row r="7" spans="1:37">
      <c r="A7" s="48">
        <v>2</v>
      </c>
      <c r="B7" s="42" t="s">
        <v>29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29</v>
      </c>
      <c r="AJ7" s="70" t="s">
        <v>29</v>
      </c>
      <c r="AK7" s="104" t="s">
        <v>177</v>
      </c>
    </row>
    <row r="8" spans="1:37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33</v>
      </c>
      <c r="AK8" s="104"/>
    </row>
    <row r="9" spans="1:37">
      <c r="A9" s="48">
        <v>4</v>
      </c>
      <c r="B9" s="42" t="s">
        <v>33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33</v>
      </c>
      <c r="AJ9" s="70"/>
      <c r="AK9" s="104"/>
    </row>
    <row r="10" spans="1:37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 t="s">
        <v>22</v>
      </c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X52" s="19" t="b">
        <f t="shared" ref="X52:AB61" si="12">AND(N41&lt;&gt;"",ISNA(MATCH(N41,テーブル項目KEY,0)))</f>
        <v>0</v>
      </c>
      <c r="Y52" s="19" t="b">
        <f t="shared" si="12"/>
        <v>0</v>
      </c>
      <c r="Z52" s="19" t="b">
        <f t="shared" si="12"/>
        <v>0</v>
      </c>
      <c r="AA52" s="19" t="b">
        <f t="shared" si="12"/>
        <v>0</v>
      </c>
      <c r="AB52" s="19" t="b">
        <f t="shared" si="12"/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X53" s="19" t="b">
        <f t="shared" si="12"/>
        <v>0</v>
      </c>
      <c r="Y53" s="19" t="b">
        <f t="shared" si="12"/>
        <v>0</v>
      </c>
      <c r="Z53" s="19" t="b">
        <f t="shared" si="12"/>
        <v>0</v>
      </c>
      <c r="AA53" s="19" t="b">
        <f t="shared" si="12"/>
        <v>0</v>
      </c>
      <c r="AB53" s="19" t="b">
        <f t="shared" si="12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19" t="b">
        <f t="shared" si="12"/>
        <v>0</v>
      </c>
      <c r="Y54" s="19" t="b">
        <f t="shared" si="12"/>
        <v>0</v>
      </c>
      <c r="Z54" s="19" t="b">
        <f t="shared" si="12"/>
        <v>0</v>
      </c>
      <c r="AA54" s="19" t="b">
        <f t="shared" si="12"/>
        <v>0</v>
      </c>
      <c r="AB54" s="19" t="b">
        <f t="shared" si="12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19" t="b">
        <f t="shared" si="12"/>
        <v>0</v>
      </c>
      <c r="Y55" s="19" t="b">
        <f t="shared" si="12"/>
        <v>0</v>
      </c>
      <c r="Z55" s="19" t="b">
        <f t="shared" si="12"/>
        <v>0</v>
      </c>
      <c r="AA55" s="19" t="b">
        <f t="shared" si="12"/>
        <v>0</v>
      </c>
      <c r="AB55" s="19" t="b">
        <f t="shared" si="12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19" t="b">
        <f t="shared" si="12"/>
        <v>0</v>
      </c>
      <c r="Y56" s="19" t="b">
        <f t="shared" si="12"/>
        <v>0</v>
      </c>
      <c r="Z56" s="19" t="b">
        <f t="shared" si="12"/>
        <v>0</v>
      </c>
      <c r="AA56" s="19" t="b">
        <f t="shared" si="12"/>
        <v>0</v>
      </c>
      <c r="AB56" s="19" t="b">
        <f t="shared" si="12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X57" s="19" t="b">
        <f t="shared" si="12"/>
        <v>0</v>
      </c>
      <c r="Y57" s="19" t="b">
        <f t="shared" si="12"/>
        <v>0</v>
      </c>
      <c r="Z57" s="19" t="b">
        <f t="shared" si="12"/>
        <v>0</v>
      </c>
      <c r="AA57" s="19" t="b">
        <f t="shared" si="12"/>
        <v>0</v>
      </c>
      <c r="AB57" s="19" t="b">
        <f t="shared" si="12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X58" s="19" t="b">
        <f t="shared" si="12"/>
        <v>0</v>
      </c>
      <c r="Y58" s="19" t="b">
        <f t="shared" si="12"/>
        <v>0</v>
      </c>
      <c r="Z58" s="19" t="b">
        <f t="shared" si="12"/>
        <v>0</v>
      </c>
      <c r="AA58" s="19" t="b">
        <f t="shared" si="12"/>
        <v>0</v>
      </c>
      <c r="AB58" s="19" t="b">
        <f t="shared" si="12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X59" s="19" t="b">
        <f t="shared" si="12"/>
        <v>0</v>
      </c>
      <c r="Y59" s="19" t="b">
        <f t="shared" si="12"/>
        <v>0</v>
      </c>
      <c r="Z59" s="19" t="b">
        <f t="shared" si="12"/>
        <v>0</v>
      </c>
      <c r="AA59" s="19" t="b">
        <f t="shared" si="12"/>
        <v>0</v>
      </c>
      <c r="AB59" s="19" t="b">
        <f t="shared" si="12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X60" s="19" t="b">
        <f t="shared" si="12"/>
        <v>0</v>
      </c>
      <c r="Y60" s="19" t="b">
        <f t="shared" si="12"/>
        <v>0</v>
      </c>
      <c r="Z60" s="19" t="b">
        <f t="shared" si="12"/>
        <v>0</v>
      </c>
      <c r="AA60" s="19" t="b">
        <f t="shared" si="12"/>
        <v>0</v>
      </c>
      <c r="AB60" s="19" t="b">
        <f t="shared" si="12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X61" s="19" t="b">
        <f t="shared" si="12"/>
        <v>0</v>
      </c>
      <c r="Y61" s="19" t="b">
        <f t="shared" si="12"/>
        <v>0</v>
      </c>
      <c r="Z61" s="19" t="b">
        <f t="shared" si="12"/>
        <v>0</v>
      </c>
      <c r="AA61" s="19" t="b">
        <f t="shared" si="12"/>
        <v>0</v>
      </c>
      <c r="AB61" s="19" t="b">
        <f t="shared" si="12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X65" s="19" t="b">
        <f t="shared" ref="X65:AB74" si="13">COUNTIF($N41:$R41,N41)&gt;1</f>
        <v>0</v>
      </c>
      <c r="Y65" s="19" t="b">
        <f t="shared" si="13"/>
        <v>0</v>
      </c>
      <c r="Z65" s="19" t="b">
        <f t="shared" si="13"/>
        <v>0</v>
      </c>
      <c r="AA65" s="19" t="b">
        <f t="shared" si="13"/>
        <v>0</v>
      </c>
      <c r="AB65" s="19" t="b">
        <f t="shared" si="13"/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X66" s="19" t="b">
        <f t="shared" si="13"/>
        <v>0</v>
      </c>
      <c r="Y66" s="19" t="b">
        <f t="shared" si="13"/>
        <v>0</v>
      </c>
      <c r="Z66" s="19" t="b">
        <f t="shared" si="13"/>
        <v>0</v>
      </c>
      <c r="AA66" s="19" t="b">
        <f t="shared" si="13"/>
        <v>0</v>
      </c>
      <c r="AB66" s="19" t="b">
        <f t="shared" si="13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X67" s="19" t="b">
        <f t="shared" si="13"/>
        <v>0</v>
      </c>
      <c r="Y67" s="19" t="b">
        <f t="shared" si="13"/>
        <v>0</v>
      </c>
      <c r="Z67" s="19" t="b">
        <f t="shared" si="13"/>
        <v>0</v>
      </c>
      <c r="AA67" s="19" t="b">
        <f t="shared" si="13"/>
        <v>0</v>
      </c>
      <c r="AB67" s="19" t="b">
        <f t="shared" si="13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X68" s="19" t="b">
        <f t="shared" si="13"/>
        <v>0</v>
      </c>
      <c r="Y68" s="19" t="b">
        <f t="shared" si="13"/>
        <v>0</v>
      </c>
      <c r="Z68" s="19" t="b">
        <f t="shared" si="13"/>
        <v>0</v>
      </c>
      <c r="AA68" s="19" t="b">
        <f t="shared" si="13"/>
        <v>0</v>
      </c>
      <c r="AB68" s="19" t="b">
        <f t="shared" si="13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X69" s="19" t="b">
        <f t="shared" si="13"/>
        <v>0</v>
      </c>
      <c r="Y69" s="19" t="b">
        <f t="shared" si="13"/>
        <v>0</v>
      </c>
      <c r="Z69" s="19" t="b">
        <f t="shared" si="13"/>
        <v>0</v>
      </c>
      <c r="AA69" s="19" t="b">
        <f t="shared" si="13"/>
        <v>0</v>
      </c>
      <c r="AB69" s="19" t="b">
        <f t="shared" si="13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4">AND(B70&lt;&gt;"",ISNA(MATCH(B70,項目リスト,0)))</f>
        <v>0</v>
      </c>
      <c r="U70" s="19" t="b">
        <f t="shared" ref="U70:U105" si="15">COUNTIF(FIELD_NAME,B70)&gt;1</f>
        <v>0</v>
      </c>
      <c r="V70" s="19" t="b">
        <f t="shared" ca="1" si="3"/>
        <v>0</v>
      </c>
      <c r="X70" s="19" t="b">
        <f t="shared" si="13"/>
        <v>0</v>
      </c>
      <c r="Y70" s="19" t="b">
        <f t="shared" si="13"/>
        <v>0</v>
      </c>
      <c r="Z70" s="19" t="b">
        <f t="shared" si="13"/>
        <v>0</v>
      </c>
      <c r="AA70" s="19" t="b">
        <f t="shared" si="13"/>
        <v>0</v>
      </c>
      <c r="AB70" s="19" t="b">
        <f t="shared" si="13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4"/>
        <v>0</v>
      </c>
      <c r="U71" s="19" t="b">
        <f t="shared" si="15"/>
        <v>0</v>
      </c>
      <c r="V71" s="19" t="b">
        <f t="shared" ca="1" si="3"/>
        <v>0</v>
      </c>
      <c r="X71" s="19" t="b">
        <f t="shared" si="13"/>
        <v>0</v>
      </c>
      <c r="Y71" s="19" t="b">
        <f t="shared" si="13"/>
        <v>0</v>
      </c>
      <c r="Z71" s="19" t="b">
        <f t="shared" si="13"/>
        <v>0</v>
      </c>
      <c r="AA71" s="19" t="b">
        <f t="shared" si="13"/>
        <v>0</v>
      </c>
      <c r="AB71" s="19" t="b">
        <f t="shared" si="13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4"/>
        <v>0</v>
      </c>
      <c r="U72" s="19" t="b">
        <f t="shared" si="15"/>
        <v>0</v>
      </c>
      <c r="V72" s="19" t="b">
        <f t="shared" ca="1" si="3"/>
        <v>0</v>
      </c>
      <c r="X72" s="19" t="b">
        <f t="shared" si="13"/>
        <v>0</v>
      </c>
      <c r="Y72" s="19" t="b">
        <f t="shared" si="13"/>
        <v>0</v>
      </c>
      <c r="Z72" s="19" t="b">
        <f t="shared" si="13"/>
        <v>0</v>
      </c>
      <c r="AA72" s="19" t="b">
        <f t="shared" si="13"/>
        <v>0</v>
      </c>
      <c r="AB72" s="19" t="b">
        <f t="shared" si="13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4"/>
        <v>0</v>
      </c>
      <c r="U73" s="19" t="b">
        <f t="shared" si="15"/>
        <v>0</v>
      </c>
      <c r="V73" s="19" t="b">
        <f t="shared" ref="V73:V105" ca="1" si="16">AND(E73="",H73&lt;&gt;"",H73)</f>
        <v>0</v>
      </c>
      <c r="X73" s="19" t="b">
        <f t="shared" si="13"/>
        <v>0</v>
      </c>
      <c r="Y73" s="19" t="b">
        <f t="shared" si="13"/>
        <v>0</v>
      </c>
      <c r="Z73" s="19" t="b">
        <f t="shared" si="13"/>
        <v>0</v>
      </c>
      <c r="AA73" s="19" t="b">
        <f t="shared" si="13"/>
        <v>0</v>
      </c>
      <c r="AB73" s="19" t="b">
        <f t="shared" si="13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4"/>
        <v>0</v>
      </c>
      <c r="U74" s="19" t="b">
        <f t="shared" si="15"/>
        <v>0</v>
      </c>
      <c r="V74" s="19" t="b">
        <f t="shared" ca="1" si="16"/>
        <v>0</v>
      </c>
      <c r="X74" s="19" t="b">
        <f t="shared" si="13"/>
        <v>0</v>
      </c>
      <c r="Y74" s="19" t="b">
        <f t="shared" si="13"/>
        <v>0</v>
      </c>
      <c r="Z74" s="19" t="b">
        <f t="shared" si="13"/>
        <v>0</v>
      </c>
      <c r="AA74" s="19" t="b">
        <f t="shared" si="13"/>
        <v>0</v>
      </c>
      <c r="AB74" s="19" t="b">
        <f t="shared" si="13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4"/>
        <v>0</v>
      </c>
      <c r="U75" s="19" t="b">
        <f t="shared" si="15"/>
        <v>0</v>
      </c>
      <c r="V75" s="19" t="b">
        <f t="shared" ca="1" si="16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4"/>
        <v>0</v>
      </c>
      <c r="U76" s="19" t="b">
        <f t="shared" si="15"/>
        <v>0</v>
      </c>
      <c r="V76" s="19" t="b">
        <f t="shared" ca="1" si="16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4"/>
        <v>0</v>
      </c>
      <c r="U77" s="19" t="b">
        <f t="shared" si="15"/>
        <v>0</v>
      </c>
      <c r="V77" s="19" t="b">
        <f t="shared" ca="1" si="16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4"/>
        <v>0</v>
      </c>
      <c r="U78" s="19" t="b">
        <f t="shared" si="15"/>
        <v>0</v>
      </c>
      <c r="V78" s="19" t="b">
        <f t="shared" ca="1" si="16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4"/>
        <v>0</v>
      </c>
      <c r="U79" s="19" t="b">
        <f t="shared" si="15"/>
        <v>0</v>
      </c>
      <c r="V79" s="19" t="b">
        <f t="shared" ca="1" si="16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4"/>
        <v>0</v>
      </c>
      <c r="U80" s="19" t="b">
        <f t="shared" si="15"/>
        <v>0</v>
      </c>
      <c r="V80" s="19" t="b">
        <f t="shared" ca="1" si="16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4"/>
        <v>0</v>
      </c>
      <c r="U81" s="19" t="b">
        <f t="shared" si="15"/>
        <v>0</v>
      </c>
      <c r="V81" s="19" t="b">
        <f t="shared" ca="1" si="16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4"/>
        <v>0</v>
      </c>
      <c r="U82" s="19" t="b">
        <f t="shared" si="15"/>
        <v>0</v>
      </c>
      <c r="V82" s="19" t="b">
        <f t="shared" ca="1" si="16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4"/>
        <v>0</v>
      </c>
      <c r="U83" s="19" t="b">
        <f t="shared" si="15"/>
        <v>0</v>
      </c>
      <c r="V83" s="19" t="b">
        <f t="shared" ca="1" si="16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4"/>
        <v>0</v>
      </c>
      <c r="U84" s="19" t="b">
        <f t="shared" si="15"/>
        <v>0</v>
      </c>
      <c r="V84" s="19" t="b">
        <f t="shared" ca="1" si="16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4"/>
        <v>0</v>
      </c>
      <c r="U85" s="19" t="b">
        <f t="shared" si="15"/>
        <v>0</v>
      </c>
      <c r="V85" s="19" t="b">
        <f t="shared" ca="1" si="16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4"/>
        <v>0</v>
      </c>
      <c r="U86" s="19" t="b">
        <f t="shared" si="15"/>
        <v>0</v>
      </c>
      <c r="V86" s="19" t="b">
        <f t="shared" ca="1" si="16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4"/>
        <v>0</v>
      </c>
      <c r="U87" s="19" t="b">
        <f t="shared" si="15"/>
        <v>0</v>
      </c>
      <c r="V87" s="19" t="b">
        <f t="shared" ca="1" si="16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4"/>
        <v>0</v>
      </c>
      <c r="U88" s="19" t="b">
        <f t="shared" si="15"/>
        <v>0</v>
      </c>
      <c r="V88" s="19" t="b">
        <f t="shared" ca="1" si="16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4"/>
        <v>0</v>
      </c>
      <c r="U89" s="19" t="b">
        <f t="shared" si="15"/>
        <v>0</v>
      </c>
      <c r="V89" s="19" t="b">
        <f t="shared" ca="1" si="16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4"/>
        <v>0</v>
      </c>
      <c r="U90" s="19" t="b">
        <f t="shared" si="15"/>
        <v>0</v>
      </c>
      <c r="V90" s="19" t="b">
        <f t="shared" ca="1" si="16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4"/>
        <v>0</v>
      </c>
      <c r="U91" s="19" t="b">
        <f t="shared" si="15"/>
        <v>0</v>
      </c>
      <c r="V91" s="19" t="b">
        <f t="shared" ca="1" si="16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4"/>
        <v>0</v>
      </c>
      <c r="U92" s="19" t="b">
        <f t="shared" si="15"/>
        <v>0</v>
      </c>
      <c r="V92" s="19" t="b">
        <f t="shared" ca="1" si="16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4"/>
        <v>0</v>
      </c>
      <c r="U93" s="19" t="b">
        <f t="shared" si="15"/>
        <v>0</v>
      </c>
      <c r="V93" s="19" t="b">
        <f t="shared" ca="1" si="16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4"/>
        <v>0</v>
      </c>
      <c r="U94" s="19" t="b">
        <f t="shared" si="15"/>
        <v>0</v>
      </c>
      <c r="V94" s="19" t="b">
        <f t="shared" ca="1" si="16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4"/>
        <v>0</v>
      </c>
      <c r="U95" s="19" t="b">
        <f t="shared" si="15"/>
        <v>0</v>
      </c>
      <c r="V95" s="19" t="b">
        <f t="shared" ca="1" si="16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4"/>
        <v>0</v>
      </c>
      <c r="U96" s="19" t="b">
        <f t="shared" si="15"/>
        <v>0</v>
      </c>
      <c r="V96" s="19" t="b">
        <f t="shared" ca="1" si="16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4"/>
        <v>0</v>
      </c>
      <c r="U97" s="19" t="b">
        <f t="shared" si="15"/>
        <v>0</v>
      </c>
      <c r="V97" s="19" t="b">
        <f t="shared" ca="1" si="16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4"/>
        <v>0</v>
      </c>
      <c r="U98" s="19" t="b">
        <f t="shared" si="15"/>
        <v>0</v>
      </c>
      <c r="V98" s="19" t="b">
        <f t="shared" ca="1" si="16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4"/>
        <v>0</v>
      </c>
      <c r="U99" s="19" t="b">
        <f t="shared" si="15"/>
        <v>0</v>
      </c>
      <c r="V99" s="19" t="b">
        <f t="shared" ca="1" si="16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4"/>
        <v>0</v>
      </c>
      <c r="U100" s="19" t="b">
        <f t="shared" si="15"/>
        <v>0</v>
      </c>
      <c r="V100" s="19" t="b">
        <f t="shared" ca="1" si="16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4"/>
        <v>0</v>
      </c>
      <c r="U101" s="19" t="b">
        <f t="shared" si="15"/>
        <v>0</v>
      </c>
      <c r="V101" s="19" t="b">
        <f t="shared" ca="1" si="16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4"/>
        <v>0</v>
      </c>
      <c r="U102" s="19" t="b">
        <f t="shared" si="15"/>
        <v>0</v>
      </c>
      <c r="V102" s="19" t="b">
        <f t="shared" ca="1" si="16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4"/>
        <v>0</v>
      </c>
      <c r="U103" s="19" t="b">
        <f t="shared" si="15"/>
        <v>0</v>
      </c>
      <c r="V103" s="19" t="b">
        <f t="shared" ca="1" si="16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4"/>
        <v>0</v>
      </c>
      <c r="U104" s="19" t="b">
        <f t="shared" si="15"/>
        <v>0</v>
      </c>
      <c r="V104" s="19" t="b">
        <f t="shared" ca="1" si="16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4"/>
        <v>0</v>
      </c>
      <c r="U105" s="19" t="b">
        <f t="shared" si="15"/>
        <v>0</v>
      </c>
      <c r="V105" s="19" t="b">
        <f t="shared" ca="1" si="16"/>
        <v>0</v>
      </c>
      <c r="AI105" s="59"/>
      <c r="AJ105" s="70"/>
      <c r="AK105" s="104"/>
    </row>
  </sheetData>
  <phoneticPr fontId="2"/>
  <conditionalFormatting sqref="B2:C2">
    <cfRule type="expression" dxfId="92" priority="39">
      <formula>ISERROR(B2)</formula>
    </cfRule>
  </conditionalFormatting>
  <conditionalFormatting sqref="B6:B105">
    <cfRule type="expression" dxfId="91" priority="37">
      <formula>COUNTIF(FIELD_NAME,B6)&gt;1</formula>
    </cfRule>
    <cfRule type="expression" dxfId="90" priority="38">
      <formula>AND($B6&lt;&gt;"",ISNA(MATCH($B6,項目リスト,0)))</formula>
    </cfRule>
  </conditionalFormatting>
  <conditionalFormatting sqref="B6">
    <cfRule type="expression" dxfId="89" priority="36">
      <formula>$AI$6="N/A"</formula>
    </cfRule>
  </conditionalFormatting>
  <conditionalFormatting sqref="D1">
    <cfRule type="cellIs" dxfId="88" priority="35" operator="greaterThan">
      <formula>0</formula>
    </cfRule>
  </conditionalFormatting>
  <conditionalFormatting sqref="L8:P8">
    <cfRule type="expression" dxfId="87" priority="41">
      <formula>Y8</formula>
    </cfRule>
    <cfRule type="expression" dxfId="86" priority="42">
      <formula>Y7</formula>
    </cfRule>
  </conditionalFormatting>
  <conditionalFormatting sqref="L13:P22">
    <cfRule type="expression" dxfId="85" priority="33">
      <formula>Y13</formula>
    </cfRule>
    <cfRule type="expression" dxfId="84" priority="34">
      <formula>$AD13</formula>
    </cfRule>
  </conditionalFormatting>
  <conditionalFormatting sqref="L8">
    <cfRule type="expression" dxfId="83" priority="40">
      <formula>$AG$7</formula>
    </cfRule>
  </conditionalFormatting>
  <conditionalFormatting sqref="L27:P27">
    <cfRule type="expression" dxfId="82" priority="31">
      <formula>Y27</formula>
    </cfRule>
    <cfRule type="expression" dxfId="81" priority="32">
      <formula>$AD27</formula>
    </cfRule>
  </conditionalFormatting>
  <conditionalFormatting sqref="L28:P28">
    <cfRule type="expression" dxfId="80" priority="29">
      <formula>Y28</formula>
    </cfRule>
    <cfRule type="expression" dxfId="79" priority="30">
      <formula>$AD28</formula>
    </cfRule>
  </conditionalFormatting>
  <conditionalFormatting sqref="K28">
    <cfRule type="expression" dxfId="78" priority="27">
      <formula>X28</formula>
    </cfRule>
    <cfRule type="expression" dxfId="77" priority="28">
      <formula>$AD28</formula>
    </cfRule>
  </conditionalFormatting>
  <conditionalFormatting sqref="L32:P32">
    <cfRule type="expression" dxfId="76" priority="25">
      <formula>Y32</formula>
    </cfRule>
    <cfRule type="expression" dxfId="75" priority="26">
      <formula>$AD32</formula>
    </cfRule>
  </conditionalFormatting>
  <conditionalFormatting sqref="L33:P33">
    <cfRule type="expression" dxfId="74" priority="23">
      <formula>Y33</formula>
    </cfRule>
    <cfRule type="expression" dxfId="73" priority="24">
      <formula>$AD33</formula>
    </cfRule>
  </conditionalFormatting>
  <conditionalFormatting sqref="L37:P37">
    <cfRule type="expression" dxfId="72" priority="21">
      <formula>Y37</formula>
    </cfRule>
    <cfRule type="expression" dxfId="71" priority="22">
      <formula>$AD37</formula>
    </cfRule>
  </conditionalFormatting>
  <conditionalFormatting sqref="L38:P38">
    <cfRule type="expression" dxfId="70" priority="19">
      <formula>Y38</formula>
    </cfRule>
    <cfRule type="expression" dxfId="69" priority="20">
      <formula>$AD38</formula>
    </cfRule>
  </conditionalFormatting>
  <conditionalFormatting sqref="L42:P42">
    <cfRule type="expression" dxfId="68" priority="17">
      <formula>Y42</formula>
    </cfRule>
    <cfRule type="expression" dxfId="67" priority="18">
      <formula>$AD42</formula>
    </cfRule>
  </conditionalFormatting>
  <conditionalFormatting sqref="L43:P43">
    <cfRule type="expression" dxfId="66" priority="15">
      <formula>Y43</formula>
    </cfRule>
    <cfRule type="expression" dxfId="65" priority="16">
      <formula>$AD43</formula>
    </cfRule>
  </conditionalFormatting>
  <conditionalFormatting sqref="L47:P47">
    <cfRule type="expression" dxfId="64" priority="13">
      <formula>Y47</formula>
    </cfRule>
    <cfRule type="expression" dxfId="63" priority="14">
      <formula>$AD47</formula>
    </cfRule>
  </conditionalFormatting>
  <conditionalFormatting sqref="L48:P48">
    <cfRule type="expression" dxfId="62" priority="11">
      <formula>Y48</formula>
    </cfRule>
    <cfRule type="expression" dxfId="61" priority="12">
      <formula>$AD48</formula>
    </cfRule>
  </conditionalFormatting>
  <conditionalFormatting sqref="L55:P64">
    <cfRule type="expression" dxfId="60" priority="9">
      <formula>Y55</formula>
    </cfRule>
    <cfRule type="expression" dxfId="59" priority="10">
      <formula>$AD55</formula>
    </cfRule>
  </conditionalFormatting>
  <conditionalFormatting sqref="K33">
    <cfRule type="expression" dxfId="58" priority="7">
      <formula>X33</formula>
    </cfRule>
    <cfRule type="expression" dxfId="57" priority="8">
      <formula>$AD33</formula>
    </cfRule>
  </conditionalFormatting>
  <conditionalFormatting sqref="K38">
    <cfRule type="expression" dxfId="56" priority="5">
      <formula>X38</formula>
    </cfRule>
    <cfRule type="expression" dxfId="55" priority="6">
      <formula>$AD38</formula>
    </cfRule>
  </conditionalFormatting>
  <conditionalFormatting sqref="K43">
    <cfRule type="expression" dxfId="54" priority="3">
      <formula>X43</formula>
    </cfRule>
    <cfRule type="expression" dxfId="53" priority="4">
      <formula>$AD43</formula>
    </cfRule>
  </conditionalFormatting>
  <conditionalFormatting sqref="K48">
    <cfRule type="expression" dxfId="52" priority="1">
      <formula>X48</formula>
    </cfRule>
    <cfRule type="expression" dxfId="51" priority="2">
      <formula>$AD48</formula>
    </cfRule>
  </conditionalFormatting>
  <conditionalFormatting sqref="E6">
    <cfRule type="expression" dxfId="50" priority="43" stopIfTrue="1">
      <formula>$V6</formula>
    </cfRule>
  </conditionalFormatting>
  <conditionalFormatting sqref="E7">
    <cfRule type="expression" dxfId="49" priority="44" stopIfTrue="1">
      <formula>$V7</formula>
    </cfRule>
  </conditionalFormatting>
  <conditionalFormatting sqref="E8">
    <cfRule type="expression" dxfId="48" priority="45" stopIfTrue="1">
      <formula>$V8</formula>
    </cfRule>
  </conditionalFormatting>
  <conditionalFormatting sqref="E9">
    <cfRule type="expression" dxfId="47" priority="46" stopIfTrue="1">
      <formula>$V9</formula>
    </cfRule>
  </conditionalFormatting>
  <conditionalFormatting sqref="E10">
    <cfRule type="expression" dxfId="46" priority="47" stopIfTrue="1">
      <formula>$V10</formula>
    </cfRule>
  </conditionalFormatting>
  <dataValidations count="8">
    <dataValidation imeMode="off" allowBlank="1" showInputMessage="1" showErrorMessage="1" sqref="D5:F5 C2" xr:uid="{7DF2BEB2-787A-4A9E-97E9-CF1D2981F056}"/>
    <dataValidation type="list" allowBlank="1" showInputMessage="1" showErrorMessage="1" sqref="K28 K33 K38 K43 K48" xr:uid="{D188EED4-97DF-4724-8555-6746E6D0B266}">
      <formula1>TABLEリスト</formula1>
    </dataValidation>
    <dataValidation type="list" allowBlank="1" showInputMessage="1" showErrorMessage="1" sqref="F2" xr:uid="{2CE4A85D-1CDE-4054-98B2-C429848AF358}">
      <formula1>"○,-"</formula1>
    </dataValidation>
    <dataValidation type="list" allowBlank="1" showInputMessage="1" showErrorMessage="1" sqref="L13:P22 L27:P28 L55:P64 L37:P38 L42:P43 L32:P33 L47:P48" xr:uid="{E3120244-C4D3-43F4-9036-63E3C62C1F13}">
      <formula1>FIELDリスト</formula1>
    </dataValidation>
    <dataValidation type="list" allowBlank="1" showInputMessage="1" showErrorMessage="1" sqref="L8:P8" xr:uid="{5A879923-3D99-45D2-BB31-9FA8BDEED976}">
      <formula1>FIELDリストNN</formula1>
    </dataValidation>
    <dataValidation type="whole" imeMode="off" operator="equal" allowBlank="1" showInputMessage="1" showErrorMessage="1" error="NotNullの場合は[1]を入力する。" sqref="E6:E105" xr:uid="{4231EB52-DE1F-4971-BE99-9426C8475921}">
      <formula1>1</formula1>
    </dataValidation>
    <dataValidation type="list" allowBlank="1" showInputMessage="1" showErrorMessage="1" sqref="B6:B105" xr:uid="{DDE0C58D-31D6-4779-A5D6-0A57AA46908F}">
      <formula1>項目リスト</formula1>
    </dataValidation>
    <dataValidation imeMode="on" allowBlank="1" showInputMessage="1" showErrorMessage="1" sqref="K12 A5 A1:A2 E2 K7 F6:H105 K54" xr:uid="{4A8FCDF1-E458-47B7-849D-62C9CA314CFB}"/>
  </dataValidations>
  <hyperlinks>
    <hyperlink ref="E1" location="一覧!R1C1" display="一覧へ" xr:uid="{FAEC15BD-9560-4428-834F-89EA57A0F5E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2A0C-A046-4843-97B2-6C2DC1688867}">
  <sheetPr codeName="template3">
    <tabColor rgb="FFFFFFFF"/>
  </sheetPr>
  <dimension ref="A1:AK105"/>
  <sheetViews>
    <sheetView showGridLines="0" topLeftCell="AB1" workbookViewId="0">
      <pane ySplit="5" topLeftCell="A6" activePane="bottomLeft" state="frozen"/>
      <selection pane="bottomLeft" activeCell="AH5" sqref="AH5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160</v>
      </c>
      <c r="F2" s="90" t="s">
        <v>175</v>
      </c>
      <c r="G2" s="40"/>
      <c r="AF2" s="7" t="s">
        <v>17</v>
      </c>
      <c r="AG2" s="7" t="b">
        <f>OR(ISERROR(TABLE_JP),ISERROR(TABLE_EN))</f>
        <v>0</v>
      </c>
    </row>
    <row r="3" spans="1:37">
      <c r="AE3" s="7" t="s">
        <v>8</v>
      </c>
      <c r="AF3" s="7" t="s">
        <v>26</v>
      </c>
      <c r="AG3" s="7" t="b">
        <f>AI6="N/A"</f>
        <v>0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  <c r="AK5" s="104">
        <f>COUNTA(AK6:AK105)</f>
        <v>2</v>
      </c>
    </row>
    <row r="6" spans="1:37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176</v>
      </c>
      <c r="AJ6" s="70" t="s">
        <v>176</v>
      </c>
      <c r="AK6" s="104" t="s">
        <v>185</v>
      </c>
    </row>
    <row r="7" spans="1:37">
      <c r="A7" s="48">
        <v>2</v>
      </c>
      <c r="B7" s="42" t="s">
        <v>28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28</v>
      </c>
      <c r="AJ7" s="70" t="s">
        <v>28</v>
      </c>
      <c r="AK7" s="104" t="s">
        <v>168</v>
      </c>
    </row>
    <row r="8" spans="1:37">
      <c r="A8" s="48">
        <v>3</v>
      </c>
      <c r="B8" s="42" t="s">
        <v>30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 t="s">
        <v>28</v>
      </c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30</v>
      </c>
      <c r="AJ8" s="70"/>
      <c r="AK8" s="104"/>
    </row>
    <row r="9" spans="1:37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  <c r="AK9" s="104"/>
    </row>
    <row r="10" spans="1:37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/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X52" s="19" t="b">
        <f t="shared" ref="X52:AB61" si="12">AND(N41&lt;&gt;"",ISNA(MATCH(N41,テーブル項目KEY,0)))</f>
        <v>0</v>
      </c>
      <c r="Y52" s="19" t="b">
        <f t="shared" si="12"/>
        <v>0</v>
      </c>
      <c r="Z52" s="19" t="b">
        <f t="shared" si="12"/>
        <v>0</v>
      </c>
      <c r="AA52" s="19" t="b">
        <f t="shared" si="12"/>
        <v>0</v>
      </c>
      <c r="AB52" s="19" t="b">
        <f t="shared" si="12"/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X53" s="19" t="b">
        <f t="shared" si="12"/>
        <v>0</v>
      </c>
      <c r="Y53" s="19" t="b">
        <f t="shared" si="12"/>
        <v>0</v>
      </c>
      <c r="Z53" s="19" t="b">
        <f t="shared" si="12"/>
        <v>0</v>
      </c>
      <c r="AA53" s="19" t="b">
        <f t="shared" si="12"/>
        <v>0</v>
      </c>
      <c r="AB53" s="19" t="b">
        <f t="shared" si="12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19" t="b">
        <f t="shared" si="12"/>
        <v>0</v>
      </c>
      <c r="Y54" s="19" t="b">
        <f t="shared" si="12"/>
        <v>0</v>
      </c>
      <c r="Z54" s="19" t="b">
        <f t="shared" si="12"/>
        <v>0</v>
      </c>
      <c r="AA54" s="19" t="b">
        <f t="shared" si="12"/>
        <v>0</v>
      </c>
      <c r="AB54" s="19" t="b">
        <f t="shared" si="12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19" t="b">
        <f t="shared" si="12"/>
        <v>0</v>
      </c>
      <c r="Y55" s="19" t="b">
        <f t="shared" si="12"/>
        <v>0</v>
      </c>
      <c r="Z55" s="19" t="b">
        <f t="shared" si="12"/>
        <v>0</v>
      </c>
      <c r="AA55" s="19" t="b">
        <f t="shared" si="12"/>
        <v>0</v>
      </c>
      <c r="AB55" s="19" t="b">
        <f t="shared" si="12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19" t="b">
        <f t="shared" si="12"/>
        <v>0</v>
      </c>
      <c r="Y56" s="19" t="b">
        <f t="shared" si="12"/>
        <v>0</v>
      </c>
      <c r="Z56" s="19" t="b">
        <f t="shared" si="12"/>
        <v>0</v>
      </c>
      <c r="AA56" s="19" t="b">
        <f t="shared" si="12"/>
        <v>0</v>
      </c>
      <c r="AB56" s="19" t="b">
        <f t="shared" si="12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X57" s="19" t="b">
        <f t="shared" si="12"/>
        <v>0</v>
      </c>
      <c r="Y57" s="19" t="b">
        <f t="shared" si="12"/>
        <v>0</v>
      </c>
      <c r="Z57" s="19" t="b">
        <f t="shared" si="12"/>
        <v>0</v>
      </c>
      <c r="AA57" s="19" t="b">
        <f t="shared" si="12"/>
        <v>0</v>
      </c>
      <c r="AB57" s="19" t="b">
        <f t="shared" si="12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X58" s="19" t="b">
        <f t="shared" si="12"/>
        <v>0</v>
      </c>
      <c r="Y58" s="19" t="b">
        <f t="shared" si="12"/>
        <v>0</v>
      </c>
      <c r="Z58" s="19" t="b">
        <f t="shared" si="12"/>
        <v>0</v>
      </c>
      <c r="AA58" s="19" t="b">
        <f t="shared" si="12"/>
        <v>0</v>
      </c>
      <c r="AB58" s="19" t="b">
        <f t="shared" si="12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X59" s="19" t="b">
        <f t="shared" si="12"/>
        <v>0</v>
      </c>
      <c r="Y59" s="19" t="b">
        <f t="shared" si="12"/>
        <v>0</v>
      </c>
      <c r="Z59" s="19" t="b">
        <f t="shared" si="12"/>
        <v>0</v>
      </c>
      <c r="AA59" s="19" t="b">
        <f t="shared" si="12"/>
        <v>0</v>
      </c>
      <c r="AB59" s="19" t="b">
        <f t="shared" si="12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X60" s="19" t="b">
        <f t="shared" si="12"/>
        <v>0</v>
      </c>
      <c r="Y60" s="19" t="b">
        <f t="shared" si="12"/>
        <v>0</v>
      </c>
      <c r="Z60" s="19" t="b">
        <f t="shared" si="12"/>
        <v>0</v>
      </c>
      <c r="AA60" s="19" t="b">
        <f t="shared" si="12"/>
        <v>0</v>
      </c>
      <c r="AB60" s="19" t="b">
        <f t="shared" si="12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X61" s="19" t="b">
        <f t="shared" si="12"/>
        <v>0</v>
      </c>
      <c r="Y61" s="19" t="b">
        <f t="shared" si="12"/>
        <v>0</v>
      </c>
      <c r="Z61" s="19" t="b">
        <f t="shared" si="12"/>
        <v>0</v>
      </c>
      <c r="AA61" s="19" t="b">
        <f t="shared" si="12"/>
        <v>0</v>
      </c>
      <c r="AB61" s="19" t="b">
        <f t="shared" si="12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X65" s="19" t="b">
        <f t="shared" ref="X65:AB74" si="13">COUNTIF($N41:$R41,N41)&gt;1</f>
        <v>0</v>
      </c>
      <c r="Y65" s="19" t="b">
        <f t="shared" si="13"/>
        <v>0</v>
      </c>
      <c r="Z65" s="19" t="b">
        <f t="shared" si="13"/>
        <v>0</v>
      </c>
      <c r="AA65" s="19" t="b">
        <f t="shared" si="13"/>
        <v>0</v>
      </c>
      <c r="AB65" s="19" t="b">
        <f t="shared" si="13"/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X66" s="19" t="b">
        <f t="shared" si="13"/>
        <v>0</v>
      </c>
      <c r="Y66" s="19" t="b">
        <f t="shared" si="13"/>
        <v>0</v>
      </c>
      <c r="Z66" s="19" t="b">
        <f t="shared" si="13"/>
        <v>0</v>
      </c>
      <c r="AA66" s="19" t="b">
        <f t="shared" si="13"/>
        <v>0</v>
      </c>
      <c r="AB66" s="19" t="b">
        <f t="shared" si="13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X67" s="19" t="b">
        <f t="shared" si="13"/>
        <v>0</v>
      </c>
      <c r="Y67" s="19" t="b">
        <f t="shared" si="13"/>
        <v>0</v>
      </c>
      <c r="Z67" s="19" t="b">
        <f t="shared" si="13"/>
        <v>0</v>
      </c>
      <c r="AA67" s="19" t="b">
        <f t="shared" si="13"/>
        <v>0</v>
      </c>
      <c r="AB67" s="19" t="b">
        <f t="shared" si="13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X68" s="19" t="b">
        <f t="shared" si="13"/>
        <v>0</v>
      </c>
      <c r="Y68" s="19" t="b">
        <f t="shared" si="13"/>
        <v>0</v>
      </c>
      <c r="Z68" s="19" t="b">
        <f t="shared" si="13"/>
        <v>0</v>
      </c>
      <c r="AA68" s="19" t="b">
        <f t="shared" si="13"/>
        <v>0</v>
      </c>
      <c r="AB68" s="19" t="b">
        <f t="shared" si="13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X69" s="19" t="b">
        <f t="shared" si="13"/>
        <v>0</v>
      </c>
      <c r="Y69" s="19" t="b">
        <f t="shared" si="13"/>
        <v>0</v>
      </c>
      <c r="Z69" s="19" t="b">
        <f t="shared" si="13"/>
        <v>0</v>
      </c>
      <c r="AA69" s="19" t="b">
        <f t="shared" si="13"/>
        <v>0</v>
      </c>
      <c r="AB69" s="19" t="b">
        <f t="shared" si="13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4">AND(B70&lt;&gt;"",ISNA(MATCH(B70,項目リスト,0)))</f>
        <v>0</v>
      </c>
      <c r="U70" s="19" t="b">
        <f t="shared" ref="U70:U105" si="15">COUNTIF(FIELD_NAME,B70)&gt;1</f>
        <v>0</v>
      </c>
      <c r="V70" s="19" t="b">
        <f t="shared" ca="1" si="3"/>
        <v>0</v>
      </c>
      <c r="X70" s="19" t="b">
        <f t="shared" si="13"/>
        <v>0</v>
      </c>
      <c r="Y70" s="19" t="b">
        <f t="shared" si="13"/>
        <v>0</v>
      </c>
      <c r="Z70" s="19" t="b">
        <f t="shared" si="13"/>
        <v>0</v>
      </c>
      <c r="AA70" s="19" t="b">
        <f t="shared" si="13"/>
        <v>0</v>
      </c>
      <c r="AB70" s="19" t="b">
        <f t="shared" si="13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4"/>
        <v>0</v>
      </c>
      <c r="U71" s="19" t="b">
        <f t="shared" si="15"/>
        <v>0</v>
      </c>
      <c r="V71" s="19" t="b">
        <f t="shared" ca="1" si="3"/>
        <v>0</v>
      </c>
      <c r="X71" s="19" t="b">
        <f t="shared" si="13"/>
        <v>0</v>
      </c>
      <c r="Y71" s="19" t="b">
        <f t="shared" si="13"/>
        <v>0</v>
      </c>
      <c r="Z71" s="19" t="b">
        <f t="shared" si="13"/>
        <v>0</v>
      </c>
      <c r="AA71" s="19" t="b">
        <f t="shared" si="13"/>
        <v>0</v>
      </c>
      <c r="AB71" s="19" t="b">
        <f t="shared" si="13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4"/>
        <v>0</v>
      </c>
      <c r="U72" s="19" t="b">
        <f t="shared" si="15"/>
        <v>0</v>
      </c>
      <c r="V72" s="19" t="b">
        <f t="shared" ca="1" si="3"/>
        <v>0</v>
      </c>
      <c r="X72" s="19" t="b">
        <f t="shared" si="13"/>
        <v>0</v>
      </c>
      <c r="Y72" s="19" t="b">
        <f t="shared" si="13"/>
        <v>0</v>
      </c>
      <c r="Z72" s="19" t="b">
        <f t="shared" si="13"/>
        <v>0</v>
      </c>
      <c r="AA72" s="19" t="b">
        <f t="shared" si="13"/>
        <v>0</v>
      </c>
      <c r="AB72" s="19" t="b">
        <f t="shared" si="13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4"/>
        <v>0</v>
      </c>
      <c r="U73" s="19" t="b">
        <f t="shared" si="15"/>
        <v>0</v>
      </c>
      <c r="V73" s="19" t="b">
        <f t="shared" ref="V73:V105" ca="1" si="16">AND(E73="",H73&lt;&gt;"",H73)</f>
        <v>0</v>
      </c>
      <c r="X73" s="19" t="b">
        <f t="shared" si="13"/>
        <v>0</v>
      </c>
      <c r="Y73" s="19" t="b">
        <f t="shared" si="13"/>
        <v>0</v>
      </c>
      <c r="Z73" s="19" t="b">
        <f t="shared" si="13"/>
        <v>0</v>
      </c>
      <c r="AA73" s="19" t="b">
        <f t="shared" si="13"/>
        <v>0</v>
      </c>
      <c r="AB73" s="19" t="b">
        <f t="shared" si="13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4"/>
        <v>0</v>
      </c>
      <c r="U74" s="19" t="b">
        <f t="shared" si="15"/>
        <v>0</v>
      </c>
      <c r="V74" s="19" t="b">
        <f t="shared" ca="1" si="16"/>
        <v>0</v>
      </c>
      <c r="X74" s="19" t="b">
        <f t="shared" si="13"/>
        <v>0</v>
      </c>
      <c r="Y74" s="19" t="b">
        <f t="shared" si="13"/>
        <v>0</v>
      </c>
      <c r="Z74" s="19" t="b">
        <f t="shared" si="13"/>
        <v>0</v>
      </c>
      <c r="AA74" s="19" t="b">
        <f t="shared" si="13"/>
        <v>0</v>
      </c>
      <c r="AB74" s="19" t="b">
        <f t="shared" si="13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4"/>
        <v>0</v>
      </c>
      <c r="U75" s="19" t="b">
        <f t="shared" si="15"/>
        <v>0</v>
      </c>
      <c r="V75" s="19" t="b">
        <f t="shared" ca="1" si="16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4"/>
        <v>0</v>
      </c>
      <c r="U76" s="19" t="b">
        <f t="shared" si="15"/>
        <v>0</v>
      </c>
      <c r="V76" s="19" t="b">
        <f t="shared" ca="1" si="16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4"/>
        <v>0</v>
      </c>
      <c r="U77" s="19" t="b">
        <f t="shared" si="15"/>
        <v>0</v>
      </c>
      <c r="V77" s="19" t="b">
        <f t="shared" ca="1" si="16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4"/>
        <v>0</v>
      </c>
      <c r="U78" s="19" t="b">
        <f t="shared" si="15"/>
        <v>0</v>
      </c>
      <c r="V78" s="19" t="b">
        <f t="shared" ca="1" si="16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4"/>
        <v>0</v>
      </c>
      <c r="U79" s="19" t="b">
        <f t="shared" si="15"/>
        <v>0</v>
      </c>
      <c r="V79" s="19" t="b">
        <f t="shared" ca="1" si="16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4"/>
        <v>0</v>
      </c>
      <c r="U80" s="19" t="b">
        <f t="shared" si="15"/>
        <v>0</v>
      </c>
      <c r="V80" s="19" t="b">
        <f t="shared" ca="1" si="16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4"/>
        <v>0</v>
      </c>
      <c r="U81" s="19" t="b">
        <f t="shared" si="15"/>
        <v>0</v>
      </c>
      <c r="V81" s="19" t="b">
        <f t="shared" ca="1" si="16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4"/>
        <v>0</v>
      </c>
      <c r="U82" s="19" t="b">
        <f t="shared" si="15"/>
        <v>0</v>
      </c>
      <c r="V82" s="19" t="b">
        <f t="shared" ca="1" si="16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4"/>
        <v>0</v>
      </c>
      <c r="U83" s="19" t="b">
        <f t="shared" si="15"/>
        <v>0</v>
      </c>
      <c r="V83" s="19" t="b">
        <f t="shared" ca="1" si="16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4"/>
        <v>0</v>
      </c>
      <c r="U84" s="19" t="b">
        <f t="shared" si="15"/>
        <v>0</v>
      </c>
      <c r="V84" s="19" t="b">
        <f t="shared" ca="1" si="16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4"/>
        <v>0</v>
      </c>
      <c r="U85" s="19" t="b">
        <f t="shared" si="15"/>
        <v>0</v>
      </c>
      <c r="V85" s="19" t="b">
        <f t="shared" ca="1" si="16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4"/>
        <v>0</v>
      </c>
      <c r="U86" s="19" t="b">
        <f t="shared" si="15"/>
        <v>0</v>
      </c>
      <c r="V86" s="19" t="b">
        <f t="shared" ca="1" si="16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4"/>
        <v>0</v>
      </c>
      <c r="U87" s="19" t="b">
        <f t="shared" si="15"/>
        <v>0</v>
      </c>
      <c r="V87" s="19" t="b">
        <f t="shared" ca="1" si="16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4"/>
        <v>0</v>
      </c>
      <c r="U88" s="19" t="b">
        <f t="shared" si="15"/>
        <v>0</v>
      </c>
      <c r="V88" s="19" t="b">
        <f t="shared" ca="1" si="16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4"/>
        <v>0</v>
      </c>
      <c r="U89" s="19" t="b">
        <f t="shared" si="15"/>
        <v>0</v>
      </c>
      <c r="V89" s="19" t="b">
        <f t="shared" ca="1" si="16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4"/>
        <v>0</v>
      </c>
      <c r="U90" s="19" t="b">
        <f t="shared" si="15"/>
        <v>0</v>
      </c>
      <c r="V90" s="19" t="b">
        <f t="shared" ca="1" si="16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4"/>
        <v>0</v>
      </c>
      <c r="U91" s="19" t="b">
        <f t="shared" si="15"/>
        <v>0</v>
      </c>
      <c r="V91" s="19" t="b">
        <f t="shared" ca="1" si="16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4"/>
        <v>0</v>
      </c>
      <c r="U92" s="19" t="b">
        <f t="shared" si="15"/>
        <v>0</v>
      </c>
      <c r="V92" s="19" t="b">
        <f t="shared" ca="1" si="16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4"/>
        <v>0</v>
      </c>
      <c r="U93" s="19" t="b">
        <f t="shared" si="15"/>
        <v>0</v>
      </c>
      <c r="V93" s="19" t="b">
        <f t="shared" ca="1" si="16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4"/>
        <v>0</v>
      </c>
      <c r="U94" s="19" t="b">
        <f t="shared" si="15"/>
        <v>0</v>
      </c>
      <c r="V94" s="19" t="b">
        <f t="shared" ca="1" si="16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4"/>
        <v>0</v>
      </c>
      <c r="U95" s="19" t="b">
        <f t="shared" si="15"/>
        <v>0</v>
      </c>
      <c r="V95" s="19" t="b">
        <f t="shared" ca="1" si="16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4"/>
        <v>0</v>
      </c>
      <c r="U96" s="19" t="b">
        <f t="shared" si="15"/>
        <v>0</v>
      </c>
      <c r="V96" s="19" t="b">
        <f t="shared" ca="1" si="16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4"/>
        <v>0</v>
      </c>
      <c r="U97" s="19" t="b">
        <f t="shared" si="15"/>
        <v>0</v>
      </c>
      <c r="V97" s="19" t="b">
        <f t="shared" ca="1" si="16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4"/>
        <v>0</v>
      </c>
      <c r="U98" s="19" t="b">
        <f t="shared" si="15"/>
        <v>0</v>
      </c>
      <c r="V98" s="19" t="b">
        <f t="shared" ca="1" si="16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4"/>
        <v>0</v>
      </c>
      <c r="U99" s="19" t="b">
        <f t="shared" si="15"/>
        <v>0</v>
      </c>
      <c r="V99" s="19" t="b">
        <f t="shared" ca="1" si="16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4"/>
        <v>0</v>
      </c>
      <c r="U100" s="19" t="b">
        <f t="shared" si="15"/>
        <v>0</v>
      </c>
      <c r="V100" s="19" t="b">
        <f t="shared" ca="1" si="16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4"/>
        <v>0</v>
      </c>
      <c r="U101" s="19" t="b">
        <f t="shared" si="15"/>
        <v>0</v>
      </c>
      <c r="V101" s="19" t="b">
        <f t="shared" ca="1" si="16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4"/>
        <v>0</v>
      </c>
      <c r="U102" s="19" t="b">
        <f t="shared" si="15"/>
        <v>0</v>
      </c>
      <c r="V102" s="19" t="b">
        <f t="shared" ca="1" si="16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4"/>
        <v>0</v>
      </c>
      <c r="U103" s="19" t="b">
        <f t="shared" si="15"/>
        <v>0</v>
      </c>
      <c r="V103" s="19" t="b">
        <f t="shared" ca="1" si="16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4"/>
        <v>0</v>
      </c>
      <c r="U104" s="19" t="b">
        <f t="shared" si="15"/>
        <v>0</v>
      </c>
      <c r="V104" s="19" t="b">
        <f t="shared" ca="1" si="16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4"/>
        <v>0</v>
      </c>
      <c r="U105" s="19" t="b">
        <f t="shared" si="15"/>
        <v>0</v>
      </c>
      <c r="V105" s="19" t="b">
        <f t="shared" ca="1" si="16"/>
        <v>0</v>
      </c>
      <c r="AI105" s="59"/>
      <c r="AJ105" s="70"/>
      <c r="AK105" s="104"/>
    </row>
  </sheetData>
  <phoneticPr fontId="2"/>
  <conditionalFormatting sqref="B2:C2">
    <cfRule type="expression" dxfId="45" priority="39">
      <formula>ISERROR(B2)</formula>
    </cfRule>
  </conditionalFormatting>
  <conditionalFormatting sqref="B6:B105">
    <cfRule type="expression" dxfId="44" priority="37">
      <formula>COUNTIF(FIELD_NAME,B6)&gt;1</formula>
    </cfRule>
    <cfRule type="expression" dxfId="43" priority="38">
      <formula>AND($B6&lt;&gt;"",ISNA(MATCH($B6,項目リスト,0)))</formula>
    </cfRule>
  </conditionalFormatting>
  <conditionalFormatting sqref="B6">
    <cfRule type="expression" dxfId="42" priority="36">
      <formula>$AI$6="N/A"</formula>
    </cfRule>
  </conditionalFormatting>
  <conditionalFormatting sqref="D1">
    <cfRule type="cellIs" dxfId="41" priority="35" operator="greaterThan">
      <formula>0</formula>
    </cfRule>
  </conditionalFormatting>
  <conditionalFormatting sqref="L8:P8">
    <cfRule type="expression" dxfId="40" priority="41">
      <formula>Y8</formula>
    </cfRule>
    <cfRule type="expression" dxfId="39" priority="42">
      <formula>Y7</formula>
    </cfRule>
  </conditionalFormatting>
  <conditionalFormatting sqref="L13:P22">
    <cfRule type="expression" dxfId="38" priority="33">
      <formula>Y13</formula>
    </cfRule>
    <cfRule type="expression" dxfId="37" priority="34">
      <formula>$AD13</formula>
    </cfRule>
  </conditionalFormatting>
  <conditionalFormatting sqref="L8">
    <cfRule type="expression" dxfId="36" priority="40">
      <formula>$AG$7</formula>
    </cfRule>
  </conditionalFormatting>
  <conditionalFormatting sqref="L27:P27">
    <cfRule type="expression" dxfId="35" priority="31">
      <formula>Y27</formula>
    </cfRule>
    <cfRule type="expression" dxfId="34" priority="32">
      <formula>$AD27</formula>
    </cfRule>
  </conditionalFormatting>
  <conditionalFormatting sqref="L28:P28">
    <cfRule type="expression" dxfId="33" priority="29">
      <formula>Y28</formula>
    </cfRule>
    <cfRule type="expression" dxfId="32" priority="30">
      <formula>$AD28</formula>
    </cfRule>
  </conditionalFormatting>
  <conditionalFormatting sqref="K28">
    <cfRule type="expression" dxfId="31" priority="27">
      <formula>X28</formula>
    </cfRule>
    <cfRule type="expression" dxfId="30" priority="28">
      <formula>$AD28</formula>
    </cfRule>
  </conditionalFormatting>
  <conditionalFormatting sqref="L32:P32">
    <cfRule type="expression" dxfId="29" priority="25">
      <formula>Y32</formula>
    </cfRule>
    <cfRule type="expression" dxfId="28" priority="26">
      <formula>$AD32</formula>
    </cfRule>
  </conditionalFormatting>
  <conditionalFormatting sqref="L33:P33">
    <cfRule type="expression" dxfId="27" priority="23">
      <formula>Y33</formula>
    </cfRule>
    <cfRule type="expression" dxfId="26" priority="24">
      <formula>$AD33</formula>
    </cfRule>
  </conditionalFormatting>
  <conditionalFormatting sqref="L37:P37">
    <cfRule type="expression" dxfId="25" priority="21">
      <formula>Y37</formula>
    </cfRule>
    <cfRule type="expression" dxfId="24" priority="22">
      <formula>$AD37</formula>
    </cfRule>
  </conditionalFormatting>
  <conditionalFormatting sqref="L38:P38">
    <cfRule type="expression" dxfId="23" priority="19">
      <formula>Y38</formula>
    </cfRule>
    <cfRule type="expression" dxfId="22" priority="20">
      <formula>$AD38</formula>
    </cfRule>
  </conditionalFormatting>
  <conditionalFormatting sqref="L42:P42">
    <cfRule type="expression" dxfId="21" priority="17">
      <formula>Y42</formula>
    </cfRule>
    <cfRule type="expression" dxfId="20" priority="18">
      <formula>$AD42</formula>
    </cfRule>
  </conditionalFormatting>
  <conditionalFormatting sqref="L43:P43">
    <cfRule type="expression" dxfId="19" priority="15">
      <formula>Y43</formula>
    </cfRule>
    <cfRule type="expression" dxfId="18" priority="16">
      <formula>$AD43</formula>
    </cfRule>
  </conditionalFormatting>
  <conditionalFormatting sqref="L47:P47">
    <cfRule type="expression" dxfId="17" priority="13">
      <formula>Y47</formula>
    </cfRule>
    <cfRule type="expression" dxfId="16" priority="14">
      <formula>$AD47</formula>
    </cfRule>
  </conditionalFormatting>
  <conditionalFormatting sqref="L48:P48">
    <cfRule type="expression" dxfId="15" priority="11">
      <formula>Y48</formula>
    </cfRule>
    <cfRule type="expression" dxfId="14" priority="12">
      <formula>$AD48</formula>
    </cfRule>
  </conditionalFormatting>
  <conditionalFormatting sqref="L55:P64">
    <cfRule type="expression" dxfId="13" priority="9">
      <formula>Y55</formula>
    </cfRule>
    <cfRule type="expression" dxfId="12" priority="10">
      <formula>$AD55</formula>
    </cfRule>
  </conditionalFormatting>
  <conditionalFormatting sqref="K33">
    <cfRule type="expression" dxfId="11" priority="7">
      <formula>X33</formula>
    </cfRule>
    <cfRule type="expression" dxfId="10" priority="8">
      <formula>$AD33</formula>
    </cfRule>
  </conditionalFormatting>
  <conditionalFormatting sqref="K38">
    <cfRule type="expression" dxfId="9" priority="5">
      <formula>X38</formula>
    </cfRule>
    <cfRule type="expression" dxfId="8" priority="6">
      <formula>$AD38</formula>
    </cfRule>
  </conditionalFormatting>
  <conditionalFormatting sqref="K43">
    <cfRule type="expression" dxfId="7" priority="3">
      <formula>X43</formula>
    </cfRule>
    <cfRule type="expression" dxfId="6" priority="4">
      <formula>$AD43</formula>
    </cfRule>
  </conditionalFormatting>
  <conditionalFormatting sqref="K48">
    <cfRule type="expression" dxfId="5" priority="1">
      <formula>X48</formula>
    </cfRule>
    <cfRule type="expression" dxfId="4" priority="2">
      <formula>$AD48</formula>
    </cfRule>
  </conditionalFormatting>
  <conditionalFormatting sqref="E6">
    <cfRule type="expression" dxfId="3" priority="43" stopIfTrue="1">
      <formula>$V6</formula>
    </cfRule>
  </conditionalFormatting>
  <conditionalFormatting sqref="E7">
    <cfRule type="expression" dxfId="2" priority="44" stopIfTrue="1">
      <formula>$V7</formula>
    </cfRule>
  </conditionalFormatting>
  <conditionalFormatting sqref="E8">
    <cfRule type="expression" dxfId="1" priority="45" stopIfTrue="1">
      <formula>$V8</formula>
    </cfRule>
  </conditionalFormatting>
  <conditionalFormatting sqref="E9">
    <cfRule type="expression" dxfId="0" priority="46" stopIfTrue="1">
      <formula>$V9</formula>
    </cfRule>
  </conditionalFormatting>
  <dataValidations count="8">
    <dataValidation imeMode="off" allowBlank="1" showInputMessage="1" showErrorMessage="1" sqref="D5:F5 C2" xr:uid="{50E06DFE-1822-4106-BB92-1DF0BCA2D101}"/>
    <dataValidation type="list" allowBlank="1" showInputMessage="1" showErrorMessage="1" sqref="K28 K33 K38 K43 K48" xr:uid="{39CE8A7F-A575-4626-8B32-5BD683849ABB}">
      <formula1>TABLEリスト</formula1>
    </dataValidation>
    <dataValidation type="list" allowBlank="1" showInputMessage="1" showErrorMessage="1" sqref="F2" xr:uid="{BBAB272C-50B2-4B64-8A60-26548CEBAFC6}">
      <formula1>"○,-"</formula1>
    </dataValidation>
    <dataValidation type="list" allowBlank="1" showInputMessage="1" showErrorMessage="1" sqref="L13:P22 L27:P28 L55:P64 L37:P38 L42:P43 L32:P33 L47:P48" xr:uid="{D9EEABE9-1843-46A9-8D66-477EF697B81F}">
      <formula1>FIELDリスト</formula1>
    </dataValidation>
    <dataValidation type="list" allowBlank="1" showInputMessage="1" showErrorMessage="1" sqref="L8:P8" xr:uid="{AE7813E8-AB06-4FAA-9365-75401EC740FA}">
      <formula1>FIELDリストNN</formula1>
    </dataValidation>
    <dataValidation type="whole" imeMode="off" operator="equal" allowBlank="1" showInputMessage="1" showErrorMessage="1" error="NotNullの場合は[1]を入力する。" sqref="E6:E105" xr:uid="{7E13B270-8818-4F42-A222-6202B0B33C91}">
      <formula1>1</formula1>
    </dataValidation>
    <dataValidation type="list" allowBlank="1" showInputMessage="1" showErrorMessage="1" sqref="B6:B105" xr:uid="{8BC636E7-EF2D-4FDA-AA96-D6C9E362B1E2}">
      <formula1>項目リスト</formula1>
    </dataValidation>
    <dataValidation imeMode="on" allowBlank="1" showInputMessage="1" showErrorMessage="1" sqref="K12 A5 A1:A2 E2 K7 F6:H105 K54" xr:uid="{A1D0CF37-2DD0-40EE-9C27-5A5DEDA2BA8E}"/>
  </dataValidations>
  <hyperlinks>
    <hyperlink ref="E1" location="一覧!R1C1" display="一覧へ" xr:uid="{927CBCD4-E0C3-4E12-97EE-C845D3C24E1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149</v>
      </c>
      <c r="C5" t="s">
        <v>159</v>
      </c>
    </row>
    <row r="6" spans="1:8">
      <c r="A6" s="68" t="s">
        <v>147</v>
      </c>
      <c r="C6" s="88"/>
    </row>
    <row r="8" spans="1:8">
      <c r="A8" t="s">
        <v>150</v>
      </c>
    </row>
    <row r="9" spans="1:8">
      <c r="A9" s="68" t="s">
        <v>148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70</vt:i4>
      </vt:variant>
    </vt:vector>
  </HeadingPairs>
  <TitlesOfParts>
    <vt:vector size="77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2024-02-23T09:22:35Z</dcterms:modified>
</cp:coreProperties>
</file>