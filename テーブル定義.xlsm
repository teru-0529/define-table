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BABA6442-24A0-42A7-9747-9E88166B3BD3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31" r:id="rId4"/>
    <sheet name="受注" sheetId="132" r:id="rId5"/>
    <sheet name="受注明細" sheetId="133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ENABLE_1" localSheetId="2">テンプレート!$AL$106:$AL$116</definedName>
    <definedName name="FK_ENABLE_1" localSheetId="4">受注!$AL$106:$AL$116</definedName>
    <definedName name="FK_ENABLE_1" localSheetId="5">受注明細!$AL$106:$AL$116</definedName>
    <definedName name="FK_ENABLE_1" localSheetId="3">得意先!$AL$106:$AL$116</definedName>
    <definedName name="FK_ENABLE_2" localSheetId="2">テンプレート!$AM$106:$AM$116</definedName>
    <definedName name="FK_ENABLE_2" localSheetId="4">受注!$AM$106:$AM$116</definedName>
    <definedName name="FK_ENABLE_2" localSheetId="5">受注明細!$AM$106:$AM$116</definedName>
    <definedName name="FK_ENABLE_2" localSheetId="3">得意先!$AM$106:$AM$116</definedName>
    <definedName name="FK_ENABLE_3" localSheetId="2">テンプレート!$AN$106:$AN$116</definedName>
    <definedName name="FK_ENABLE_3" localSheetId="4">受注!$AN$106:$AN$116</definedName>
    <definedName name="FK_ENABLE_3" localSheetId="5">受注明細!$AN$106:$AN$116</definedName>
    <definedName name="FK_ENABLE_3" localSheetId="3">得意先!$AN$106:$AN$116</definedName>
    <definedName name="FK_ENABLE_4" localSheetId="2">テンプレート!$AO$106:$AO$116</definedName>
    <definedName name="FK_ENABLE_4" localSheetId="4">受注!$AO$106:$AO$116</definedName>
    <definedName name="FK_ENABLE_4" localSheetId="5">受注明細!$AO$106:$AO$116</definedName>
    <definedName name="FK_ENABLE_4" localSheetId="3">得意先!$AO$106:$AO$116</definedName>
    <definedName name="FK_ENABLE_5" localSheetId="2">テンプレート!$AP$106:$AP$116</definedName>
    <definedName name="FK_ENABLE_5" localSheetId="4">受注!$AP$106:$AP$116</definedName>
    <definedName name="FK_ENABLE_5" localSheetId="5">受注明細!$AP$106:$AP$116</definedName>
    <definedName name="FK_ENABLE_5" localSheetId="3">得意先!$AP$106:$AP$116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33" l="1"/>
  <c r="T105" i="133"/>
  <c r="H105" i="133"/>
  <c r="V105" i="133" s="1"/>
  <c r="G105" i="133"/>
  <c r="D105" i="133"/>
  <c r="C105" i="133"/>
  <c r="U104" i="133"/>
  <c r="T104" i="133"/>
  <c r="H104" i="133"/>
  <c r="V104" i="133" s="1"/>
  <c r="G104" i="133"/>
  <c r="D104" i="133"/>
  <c r="C104" i="133"/>
  <c r="U103" i="133"/>
  <c r="T103" i="133"/>
  <c r="H103" i="133"/>
  <c r="V103" i="133" s="1"/>
  <c r="G103" i="133"/>
  <c r="D103" i="133"/>
  <c r="C103" i="133"/>
  <c r="U102" i="133"/>
  <c r="T102" i="133"/>
  <c r="H102" i="133"/>
  <c r="V102" i="133" s="1"/>
  <c r="G102" i="133"/>
  <c r="D102" i="133"/>
  <c r="C102" i="133"/>
  <c r="U101" i="133"/>
  <c r="T101" i="133"/>
  <c r="H101" i="133"/>
  <c r="V101" i="133" s="1"/>
  <c r="G101" i="133"/>
  <c r="D101" i="133"/>
  <c r="C101" i="133"/>
  <c r="U100" i="133"/>
  <c r="T100" i="133"/>
  <c r="H100" i="133"/>
  <c r="V100" i="133" s="1"/>
  <c r="G100" i="133"/>
  <c r="D100" i="133"/>
  <c r="C100" i="133"/>
  <c r="U99" i="133"/>
  <c r="T99" i="133"/>
  <c r="H99" i="133"/>
  <c r="V99" i="133" s="1"/>
  <c r="G99" i="133"/>
  <c r="D99" i="133"/>
  <c r="C99" i="133"/>
  <c r="U98" i="133"/>
  <c r="T98" i="133"/>
  <c r="H98" i="133"/>
  <c r="V98" i="133" s="1"/>
  <c r="G98" i="133"/>
  <c r="D98" i="133"/>
  <c r="C98" i="133"/>
  <c r="U97" i="133"/>
  <c r="T97" i="133"/>
  <c r="H97" i="133"/>
  <c r="V97" i="133" s="1"/>
  <c r="G97" i="133"/>
  <c r="D97" i="133"/>
  <c r="C97" i="133"/>
  <c r="U96" i="133"/>
  <c r="T96" i="133"/>
  <c r="H96" i="133"/>
  <c r="V96" i="133" s="1"/>
  <c r="G96" i="133"/>
  <c r="D96" i="133"/>
  <c r="C96" i="133"/>
  <c r="U95" i="133"/>
  <c r="T95" i="133"/>
  <c r="H95" i="133"/>
  <c r="V95" i="133" s="1"/>
  <c r="G95" i="133"/>
  <c r="D95" i="133"/>
  <c r="C95" i="133"/>
  <c r="U94" i="133"/>
  <c r="T94" i="133"/>
  <c r="H94" i="133"/>
  <c r="V94" i="133" s="1"/>
  <c r="G94" i="133"/>
  <c r="D94" i="133"/>
  <c r="C94" i="133"/>
  <c r="U93" i="133"/>
  <c r="T93" i="133"/>
  <c r="H93" i="133"/>
  <c r="V93" i="133" s="1"/>
  <c r="G93" i="133"/>
  <c r="D93" i="133"/>
  <c r="C93" i="133"/>
  <c r="U92" i="133"/>
  <c r="T92" i="133"/>
  <c r="H92" i="133"/>
  <c r="V92" i="133" s="1"/>
  <c r="G92" i="133"/>
  <c r="D92" i="133"/>
  <c r="C92" i="133"/>
  <c r="U91" i="133"/>
  <c r="T91" i="133"/>
  <c r="H91" i="133"/>
  <c r="V91" i="133" s="1"/>
  <c r="G91" i="133"/>
  <c r="D91" i="133"/>
  <c r="C91" i="133"/>
  <c r="U90" i="133"/>
  <c r="T90" i="133"/>
  <c r="H90" i="133"/>
  <c r="V90" i="133" s="1"/>
  <c r="G90" i="133"/>
  <c r="D90" i="133"/>
  <c r="C90" i="133"/>
  <c r="U89" i="133"/>
  <c r="T89" i="133"/>
  <c r="H89" i="133"/>
  <c r="V89" i="133" s="1"/>
  <c r="G89" i="133"/>
  <c r="D89" i="133"/>
  <c r="C89" i="133"/>
  <c r="U88" i="133"/>
  <c r="T88" i="133"/>
  <c r="H88" i="133"/>
  <c r="V88" i="133" s="1"/>
  <c r="G88" i="133"/>
  <c r="D88" i="133"/>
  <c r="C88" i="133"/>
  <c r="U87" i="133"/>
  <c r="T87" i="133"/>
  <c r="H87" i="133"/>
  <c r="V87" i="133" s="1"/>
  <c r="G87" i="133"/>
  <c r="D87" i="133"/>
  <c r="C87" i="133"/>
  <c r="U86" i="133"/>
  <c r="T86" i="133"/>
  <c r="H86" i="133"/>
  <c r="V86" i="133" s="1"/>
  <c r="G86" i="133"/>
  <c r="D86" i="133"/>
  <c r="C86" i="133"/>
  <c r="U85" i="133"/>
  <c r="T85" i="133"/>
  <c r="H85" i="133"/>
  <c r="V85" i="133" s="1"/>
  <c r="G85" i="133"/>
  <c r="D85" i="133"/>
  <c r="C85" i="133"/>
  <c r="U84" i="133"/>
  <c r="T84" i="133"/>
  <c r="H84" i="133"/>
  <c r="V84" i="133" s="1"/>
  <c r="G84" i="133"/>
  <c r="D84" i="133"/>
  <c r="C84" i="133"/>
  <c r="U83" i="133"/>
  <c r="T83" i="133"/>
  <c r="H83" i="133"/>
  <c r="V83" i="133" s="1"/>
  <c r="G83" i="133"/>
  <c r="D83" i="133"/>
  <c r="C83" i="133"/>
  <c r="U82" i="133"/>
  <c r="T82" i="133"/>
  <c r="H82" i="133"/>
  <c r="V82" i="133" s="1"/>
  <c r="G82" i="133"/>
  <c r="D82" i="133"/>
  <c r="C82" i="133"/>
  <c r="U81" i="133"/>
  <c r="T81" i="133"/>
  <c r="H81" i="133"/>
  <c r="V81" i="133" s="1"/>
  <c r="G81" i="133"/>
  <c r="D81" i="133"/>
  <c r="C81" i="133"/>
  <c r="U80" i="133"/>
  <c r="T80" i="133"/>
  <c r="H80" i="133"/>
  <c r="V80" i="133" s="1"/>
  <c r="G80" i="133"/>
  <c r="D80" i="133"/>
  <c r="C80" i="133"/>
  <c r="U79" i="133"/>
  <c r="T79" i="133"/>
  <c r="H79" i="133"/>
  <c r="V79" i="133" s="1"/>
  <c r="G79" i="133"/>
  <c r="D79" i="133"/>
  <c r="C79" i="133"/>
  <c r="U78" i="133"/>
  <c r="T78" i="133"/>
  <c r="H78" i="133"/>
  <c r="V78" i="133" s="1"/>
  <c r="G78" i="133"/>
  <c r="D78" i="133"/>
  <c r="C78" i="133"/>
  <c r="U77" i="133"/>
  <c r="T77" i="133"/>
  <c r="H77" i="133"/>
  <c r="V77" i="133" s="1"/>
  <c r="G77" i="133"/>
  <c r="D77" i="133"/>
  <c r="C77" i="133"/>
  <c r="U76" i="133"/>
  <c r="T76" i="133"/>
  <c r="H76" i="133"/>
  <c r="V76" i="133" s="1"/>
  <c r="G76" i="133"/>
  <c r="D76" i="133"/>
  <c r="C76" i="133"/>
  <c r="U75" i="133"/>
  <c r="T75" i="133"/>
  <c r="H75" i="133"/>
  <c r="V75" i="133" s="1"/>
  <c r="G75" i="133"/>
  <c r="D75" i="133"/>
  <c r="C75" i="133"/>
  <c r="U74" i="133"/>
  <c r="T74" i="133"/>
  <c r="H74" i="133"/>
  <c r="V74" i="133" s="1"/>
  <c r="G74" i="133"/>
  <c r="D74" i="133"/>
  <c r="C74" i="133"/>
  <c r="U73" i="133"/>
  <c r="T73" i="133"/>
  <c r="H73" i="133"/>
  <c r="V73" i="133" s="1"/>
  <c r="G73" i="133"/>
  <c r="D73" i="133"/>
  <c r="C73" i="133"/>
  <c r="U72" i="133"/>
  <c r="T72" i="133"/>
  <c r="H72" i="133"/>
  <c r="V72" i="133" s="1"/>
  <c r="G72" i="133"/>
  <c r="D72" i="133"/>
  <c r="C72" i="133"/>
  <c r="U71" i="133"/>
  <c r="T71" i="133"/>
  <c r="H71" i="133"/>
  <c r="V71" i="133" s="1"/>
  <c r="G71" i="133"/>
  <c r="D71" i="133"/>
  <c r="C71" i="133"/>
  <c r="U70" i="133"/>
  <c r="T70" i="133"/>
  <c r="H70" i="133"/>
  <c r="V70" i="133" s="1"/>
  <c r="G70" i="133"/>
  <c r="D70" i="133"/>
  <c r="C70" i="133"/>
  <c r="U69" i="133"/>
  <c r="T69" i="133"/>
  <c r="H69" i="133"/>
  <c r="V69" i="133" s="1"/>
  <c r="G69" i="133"/>
  <c r="D69" i="133"/>
  <c r="C69" i="133"/>
  <c r="U68" i="133"/>
  <c r="T68" i="133"/>
  <c r="H68" i="133"/>
  <c r="V68" i="133" s="1"/>
  <c r="G68" i="133"/>
  <c r="D68" i="133"/>
  <c r="C68" i="133"/>
  <c r="U67" i="133"/>
  <c r="T67" i="133"/>
  <c r="H67" i="133"/>
  <c r="V67" i="133" s="1"/>
  <c r="G67" i="133"/>
  <c r="D67" i="133"/>
  <c r="C67" i="133"/>
  <c r="U66" i="133"/>
  <c r="T66" i="133"/>
  <c r="H66" i="133"/>
  <c r="V66" i="133" s="1"/>
  <c r="G66" i="133"/>
  <c r="D66" i="133"/>
  <c r="C66" i="133"/>
  <c r="U65" i="133"/>
  <c r="T65" i="133"/>
  <c r="H65" i="133"/>
  <c r="V65" i="133" s="1"/>
  <c r="G65" i="133"/>
  <c r="D65" i="133"/>
  <c r="C65" i="133"/>
  <c r="U64" i="133"/>
  <c r="T64" i="133"/>
  <c r="H64" i="133"/>
  <c r="V64" i="133" s="1"/>
  <c r="G64" i="133"/>
  <c r="D64" i="133"/>
  <c r="C64" i="133"/>
  <c r="U63" i="133"/>
  <c r="T63" i="133"/>
  <c r="R63" i="133"/>
  <c r="H63" i="133"/>
  <c r="V63" i="133" s="1"/>
  <c r="G63" i="133"/>
  <c r="D63" i="133"/>
  <c r="C63" i="133"/>
  <c r="U62" i="133"/>
  <c r="T62" i="133"/>
  <c r="H62" i="133"/>
  <c r="V62" i="133" s="1"/>
  <c r="G62" i="133"/>
  <c r="D62" i="133"/>
  <c r="C62" i="133"/>
  <c r="U61" i="133"/>
  <c r="T61" i="133"/>
  <c r="R61" i="133"/>
  <c r="H61" i="133"/>
  <c r="V61" i="133" s="1"/>
  <c r="G61" i="133"/>
  <c r="D61" i="133"/>
  <c r="C61" i="133"/>
  <c r="U60" i="133"/>
  <c r="T60" i="133"/>
  <c r="H60" i="133"/>
  <c r="V60" i="133" s="1"/>
  <c r="G60" i="133"/>
  <c r="D60" i="133"/>
  <c r="C60" i="133"/>
  <c r="U59" i="133"/>
  <c r="T59" i="133"/>
  <c r="R59" i="133"/>
  <c r="H59" i="133"/>
  <c r="V59" i="133" s="1"/>
  <c r="G59" i="133"/>
  <c r="D59" i="133"/>
  <c r="C59" i="133"/>
  <c r="U58" i="133"/>
  <c r="T58" i="133"/>
  <c r="H58" i="133"/>
  <c r="V58" i="133" s="1"/>
  <c r="G58" i="133"/>
  <c r="D58" i="133"/>
  <c r="C58" i="133"/>
  <c r="U57" i="133"/>
  <c r="T57" i="133"/>
  <c r="R57" i="133"/>
  <c r="H57" i="133"/>
  <c r="V57" i="133" s="1"/>
  <c r="G57" i="133"/>
  <c r="D57" i="133"/>
  <c r="C57" i="133"/>
  <c r="U56" i="133"/>
  <c r="T56" i="133"/>
  <c r="H56" i="133"/>
  <c r="V56" i="133" s="1"/>
  <c r="G56" i="133"/>
  <c r="D56" i="133"/>
  <c r="C56" i="133"/>
  <c r="U55" i="133"/>
  <c r="T55" i="133"/>
  <c r="R55" i="133"/>
  <c r="AD59" i="133" s="1"/>
  <c r="H55" i="133"/>
  <c r="V55" i="133" s="1"/>
  <c r="G55" i="133"/>
  <c r="D55" i="133"/>
  <c r="C55" i="133"/>
  <c r="U54" i="133"/>
  <c r="T54" i="133"/>
  <c r="H54" i="133"/>
  <c r="V54" i="133" s="1"/>
  <c r="G54" i="133"/>
  <c r="D54" i="133"/>
  <c r="C54" i="133"/>
  <c r="U53" i="133"/>
  <c r="T53" i="133"/>
  <c r="H53" i="133"/>
  <c r="V53" i="133" s="1"/>
  <c r="G53" i="133"/>
  <c r="D53" i="133"/>
  <c r="C53" i="133"/>
  <c r="U52" i="133"/>
  <c r="T52" i="133"/>
  <c r="H52" i="133"/>
  <c r="V52" i="133" s="1"/>
  <c r="G52" i="133"/>
  <c r="D52" i="133"/>
  <c r="C52" i="133"/>
  <c r="U51" i="133"/>
  <c r="T51" i="133"/>
  <c r="H51" i="133"/>
  <c r="V51" i="133" s="1"/>
  <c r="G51" i="133"/>
  <c r="D51" i="133"/>
  <c r="C51" i="133"/>
  <c r="AC50" i="133"/>
  <c r="AB50" i="133"/>
  <c r="AA50" i="133"/>
  <c r="Z50" i="133"/>
  <c r="Y50" i="133"/>
  <c r="U50" i="133"/>
  <c r="T50" i="133"/>
  <c r="H50" i="133"/>
  <c r="V50" i="133" s="1"/>
  <c r="G50" i="133"/>
  <c r="D50" i="133"/>
  <c r="C50" i="133"/>
  <c r="AC49" i="133"/>
  <c r="AB49" i="133"/>
  <c r="AA49" i="133"/>
  <c r="Z49" i="133"/>
  <c r="Y49" i="133"/>
  <c r="U49" i="133"/>
  <c r="T49" i="133"/>
  <c r="R49" i="133"/>
  <c r="H49" i="133"/>
  <c r="V49" i="133" s="1"/>
  <c r="G49" i="133"/>
  <c r="D49" i="133"/>
  <c r="C49" i="133"/>
  <c r="U48" i="133"/>
  <c r="T48" i="133"/>
  <c r="H48" i="133"/>
  <c r="V48" i="133" s="1"/>
  <c r="G48" i="133"/>
  <c r="D48" i="133"/>
  <c r="C48" i="133"/>
  <c r="U47" i="133"/>
  <c r="T47" i="133"/>
  <c r="S47" i="133"/>
  <c r="R47" i="133"/>
  <c r="H47" i="133"/>
  <c r="V47" i="133" s="1"/>
  <c r="G47" i="133"/>
  <c r="D47" i="133"/>
  <c r="C47" i="133"/>
  <c r="AD46" i="133"/>
  <c r="U46" i="133"/>
  <c r="T46" i="133"/>
  <c r="H46" i="133"/>
  <c r="V46" i="133" s="1"/>
  <c r="G46" i="133"/>
  <c r="D46" i="133"/>
  <c r="C46" i="133"/>
  <c r="AC45" i="133"/>
  <c r="AB45" i="133"/>
  <c r="AA45" i="133"/>
  <c r="Z45" i="133"/>
  <c r="Y45" i="133"/>
  <c r="U45" i="133"/>
  <c r="T45" i="133"/>
  <c r="H45" i="133"/>
  <c r="V45" i="133" s="1"/>
  <c r="G45" i="133"/>
  <c r="D45" i="133"/>
  <c r="C45" i="133"/>
  <c r="AC44" i="133"/>
  <c r="AB44" i="133"/>
  <c r="AA44" i="133"/>
  <c r="Z44" i="133"/>
  <c r="Y44" i="133"/>
  <c r="U44" i="133"/>
  <c r="T44" i="133"/>
  <c r="R44" i="133"/>
  <c r="H44" i="133"/>
  <c r="V44" i="133" s="1"/>
  <c r="G44" i="133"/>
  <c r="D44" i="133"/>
  <c r="C44" i="133"/>
  <c r="U43" i="133"/>
  <c r="T43" i="133"/>
  <c r="H43" i="133"/>
  <c r="V43" i="133" s="1"/>
  <c r="G43" i="133"/>
  <c r="D43" i="133"/>
  <c r="C43" i="133"/>
  <c r="U42" i="133"/>
  <c r="T42" i="133"/>
  <c r="S42" i="133"/>
  <c r="R42" i="133"/>
  <c r="H42" i="133"/>
  <c r="V42" i="133" s="1"/>
  <c r="G42" i="133"/>
  <c r="D42" i="133"/>
  <c r="C42" i="133"/>
  <c r="AD41" i="133"/>
  <c r="U41" i="133"/>
  <c r="T41" i="133"/>
  <c r="H41" i="133"/>
  <c r="V41" i="133" s="1"/>
  <c r="G41" i="133"/>
  <c r="D41" i="133"/>
  <c r="C41" i="133"/>
  <c r="AC40" i="133"/>
  <c r="AB40" i="133"/>
  <c r="AA40" i="133"/>
  <c r="Z40" i="133"/>
  <c r="Y40" i="133"/>
  <c r="U40" i="133"/>
  <c r="T40" i="133"/>
  <c r="H40" i="133"/>
  <c r="V40" i="133" s="1"/>
  <c r="G40" i="133"/>
  <c r="D40" i="133"/>
  <c r="C40" i="133"/>
  <c r="AC39" i="133"/>
  <c r="AB39" i="133"/>
  <c r="AA39" i="133"/>
  <c r="Z39" i="133"/>
  <c r="Y39" i="133"/>
  <c r="U39" i="133"/>
  <c r="T39" i="133"/>
  <c r="R39" i="133"/>
  <c r="H39" i="133"/>
  <c r="V39" i="133" s="1"/>
  <c r="G39" i="133"/>
  <c r="D39" i="133"/>
  <c r="C39" i="133"/>
  <c r="U38" i="133"/>
  <c r="T38" i="133"/>
  <c r="H38" i="133"/>
  <c r="V38" i="133" s="1"/>
  <c r="G38" i="133"/>
  <c r="D38" i="133"/>
  <c r="C38" i="133"/>
  <c r="U37" i="133"/>
  <c r="T37" i="133"/>
  <c r="S37" i="133"/>
  <c r="R37" i="133"/>
  <c r="H37" i="133"/>
  <c r="V37" i="133" s="1"/>
  <c r="G37" i="133"/>
  <c r="D37" i="133"/>
  <c r="C37" i="133"/>
  <c r="AD36" i="133"/>
  <c r="U36" i="133"/>
  <c r="T36" i="133"/>
  <c r="H36" i="133"/>
  <c r="V36" i="133" s="1"/>
  <c r="G36" i="133"/>
  <c r="D36" i="133"/>
  <c r="C36" i="133"/>
  <c r="AC35" i="133"/>
  <c r="AB35" i="133"/>
  <c r="AA35" i="133"/>
  <c r="Z35" i="133"/>
  <c r="Y35" i="133"/>
  <c r="U35" i="133"/>
  <c r="T35" i="133"/>
  <c r="H35" i="133"/>
  <c r="V35" i="133" s="1"/>
  <c r="G35" i="133"/>
  <c r="D35" i="133"/>
  <c r="C35" i="133"/>
  <c r="AC34" i="133"/>
  <c r="AB34" i="133"/>
  <c r="AA34" i="133"/>
  <c r="Z34" i="133"/>
  <c r="Y34" i="133"/>
  <c r="U34" i="133"/>
  <c r="T34" i="133"/>
  <c r="R34" i="133"/>
  <c r="H34" i="133"/>
  <c r="V34" i="133" s="1"/>
  <c r="G34" i="133"/>
  <c r="D34" i="133"/>
  <c r="C34" i="133"/>
  <c r="U33" i="133"/>
  <c r="T33" i="133"/>
  <c r="H33" i="133"/>
  <c r="V33" i="133" s="1"/>
  <c r="G33" i="133"/>
  <c r="D33" i="133"/>
  <c r="C33" i="133"/>
  <c r="U32" i="133"/>
  <c r="T32" i="133"/>
  <c r="R32" i="133"/>
  <c r="AD31" i="133" s="1"/>
  <c r="H32" i="133"/>
  <c r="V32" i="133" s="1"/>
  <c r="G32" i="133"/>
  <c r="D32" i="133"/>
  <c r="C32" i="133"/>
  <c r="U31" i="133"/>
  <c r="T31" i="133"/>
  <c r="H31" i="133"/>
  <c r="V31" i="133" s="1"/>
  <c r="G31" i="133"/>
  <c r="D31" i="133"/>
  <c r="C31" i="133"/>
  <c r="AC30" i="133"/>
  <c r="AB30" i="133"/>
  <c r="AA30" i="133"/>
  <c r="Z30" i="133"/>
  <c r="Y30" i="133"/>
  <c r="U30" i="133"/>
  <c r="T30" i="133"/>
  <c r="H30" i="133"/>
  <c r="V30" i="133" s="1"/>
  <c r="G30" i="133"/>
  <c r="D30" i="133"/>
  <c r="C30" i="133"/>
  <c r="AC29" i="133"/>
  <c r="AB29" i="133"/>
  <c r="AA29" i="133"/>
  <c r="Z29" i="133"/>
  <c r="Y29" i="133"/>
  <c r="U29" i="133"/>
  <c r="T29" i="133"/>
  <c r="R29" i="133"/>
  <c r="H29" i="133"/>
  <c r="V29" i="133" s="1"/>
  <c r="G29" i="133"/>
  <c r="D29" i="133"/>
  <c r="C29" i="133"/>
  <c r="U28" i="133"/>
  <c r="T28" i="133"/>
  <c r="H28" i="133"/>
  <c r="V28" i="133" s="1"/>
  <c r="G28" i="133"/>
  <c r="D28" i="133"/>
  <c r="C28" i="133"/>
  <c r="U27" i="133"/>
  <c r="T27" i="133"/>
  <c r="S27" i="133"/>
  <c r="R27" i="133"/>
  <c r="H27" i="133"/>
  <c r="V27" i="133" s="1"/>
  <c r="G27" i="133"/>
  <c r="D27" i="133"/>
  <c r="C27" i="133"/>
  <c r="AD26" i="133"/>
  <c r="U26" i="133"/>
  <c r="T26" i="133"/>
  <c r="H26" i="133"/>
  <c r="V26" i="133" s="1"/>
  <c r="G26" i="133"/>
  <c r="D26" i="133"/>
  <c r="C26" i="133"/>
  <c r="U25" i="133"/>
  <c r="T25" i="133"/>
  <c r="H25" i="133"/>
  <c r="V25" i="133" s="1"/>
  <c r="G25" i="133"/>
  <c r="D25" i="133"/>
  <c r="C25" i="133"/>
  <c r="U24" i="133"/>
  <c r="T24" i="133"/>
  <c r="H24" i="133"/>
  <c r="V24" i="133" s="1"/>
  <c r="G24" i="133"/>
  <c r="D24" i="133"/>
  <c r="C24" i="133"/>
  <c r="U23" i="133"/>
  <c r="T23" i="133"/>
  <c r="H23" i="133"/>
  <c r="V23" i="133" s="1"/>
  <c r="G23" i="133"/>
  <c r="D23" i="133"/>
  <c r="C23" i="133"/>
  <c r="U22" i="133"/>
  <c r="T22" i="133"/>
  <c r="R22" i="133"/>
  <c r="H22" i="133"/>
  <c r="V22" i="133" s="1"/>
  <c r="G22" i="133"/>
  <c r="D22" i="133"/>
  <c r="C22" i="133"/>
  <c r="U21" i="133"/>
  <c r="T21" i="133"/>
  <c r="R21" i="133"/>
  <c r="AD21" i="133" s="1"/>
  <c r="H21" i="133"/>
  <c r="V21" i="133" s="1"/>
  <c r="G21" i="133"/>
  <c r="D21" i="133"/>
  <c r="C21" i="133"/>
  <c r="U20" i="133"/>
  <c r="T20" i="133"/>
  <c r="R20" i="133"/>
  <c r="AD20" i="133" s="1"/>
  <c r="H20" i="133"/>
  <c r="V20" i="133" s="1"/>
  <c r="G20" i="133"/>
  <c r="D20" i="133"/>
  <c r="C20" i="133"/>
  <c r="U19" i="133"/>
  <c r="T19" i="133"/>
  <c r="R19" i="133"/>
  <c r="AD19" i="133" s="1"/>
  <c r="H19" i="133"/>
  <c r="V19" i="133" s="1"/>
  <c r="G19" i="133"/>
  <c r="D19" i="133"/>
  <c r="C19" i="133"/>
  <c r="U18" i="133"/>
  <c r="T18" i="133"/>
  <c r="R18" i="133"/>
  <c r="AD18" i="133" s="1"/>
  <c r="H18" i="133"/>
  <c r="V18" i="133" s="1"/>
  <c r="G18" i="133"/>
  <c r="D18" i="133"/>
  <c r="C18" i="133"/>
  <c r="U17" i="133"/>
  <c r="T17" i="133"/>
  <c r="R17" i="133"/>
  <c r="AD17" i="133" s="1"/>
  <c r="H17" i="133"/>
  <c r="V17" i="133" s="1"/>
  <c r="G17" i="133"/>
  <c r="D17" i="133"/>
  <c r="C17" i="133"/>
  <c r="U16" i="133"/>
  <c r="T16" i="133"/>
  <c r="R16" i="133"/>
  <c r="AD16" i="133" s="1"/>
  <c r="H16" i="133"/>
  <c r="V16" i="133" s="1"/>
  <c r="G16" i="133"/>
  <c r="D16" i="133"/>
  <c r="C16" i="133"/>
  <c r="U15" i="133"/>
  <c r="T15" i="133"/>
  <c r="R15" i="133"/>
  <c r="AD15" i="133" s="1"/>
  <c r="H15" i="133"/>
  <c r="V15" i="133" s="1"/>
  <c r="G15" i="133"/>
  <c r="D15" i="133"/>
  <c r="C15" i="133"/>
  <c r="U14" i="133"/>
  <c r="T14" i="133"/>
  <c r="R14" i="133"/>
  <c r="AD14" i="133" s="1"/>
  <c r="H14" i="133"/>
  <c r="V14" i="133" s="1"/>
  <c r="G14" i="133"/>
  <c r="D14" i="133"/>
  <c r="C14" i="133"/>
  <c r="U13" i="133"/>
  <c r="T13" i="133"/>
  <c r="R13" i="133"/>
  <c r="AD22" i="133" s="1"/>
  <c r="H13" i="133"/>
  <c r="V13" i="133" s="1"/>
  <c r="G13" i="133"/>
  <c r="D13" i="133"/>
  <c r="C13" i="133"/>
  <c r="U12" i="133"/>
  <c r="T12" i="133"/>
  <c r="H12" i="133"/>
  <c r="V12" i="133" s="1"/>
  <c r="G12" i="133"/>
  <c r="D12" i="133"/>
  <c r="C12" i="133"/>
  <c r="U11" i="133"/>
  <c r="T11" i="133"/>
  <c r="H11" i="133"/>
  <c r="V11" i="133" s="1"/>
  <c r="G11" i="133"/>
  <c r="D11" i="133"/>
  <c r="C11" i="133"/>
  <c r="U10" i="133"/>
  <c r="T10" i="133"/>
  <c r="H10" i="133"/>
  <c r="V10" i="133" s="1"/>
  <c r="G10" i="133"/>
  <c r="D10" i="133"/>
  <c r="C10" i="133"/>
  <c r="U9" i="133"/>
  <c r="T9" i="133"/>
  <c r="H9" i="133"/>
  <c r="V9" i="133" s="1"/>
  <c r="G9" i="133"/>
  <c r="D9" i="133"/>
  <c r="C9" i="133"/>
  <c r="AC8" i="133"/>
  <c r="AB8" i="133"/>
  <c r="AA8" i="133"/>
  <c r="Z8" i="133"/>
  <c r="Y8" i="133"/>
  <c r="U8" i="133"/>
  <c r="T8" i="133"/>
  <c r="R8" i="133"/>
  <c r="H8" i="133"/>
  <c r="V8" i="133" s="1"/>
  <c r="G8" i="133"/>
  <c r="D8" i="133"/>
  <c r="C8" i="133"/>
  <c r="AG7" i="133"/>
  <c r="U7" i="133"/>
  <c r="T7" i="133"/>
  <c r="H7" i="133"/>
  <c r="V7" i="133" s="1"/>
  <c r="G7" i="133"/>
  <c r="D7" i="133"/>
  <c r="C7" i="133"/>
  <c r="U6" i="133"/>
  <c r="T6" i="133"/>
  <c r="H6" i="133"/>
  <c r="V6" i="133" s="1"/>
  <c r="G6" i="133"/>
  <c r="D6" i="133"/>
  <c r="C6" i="133"/>
  <c r="AK5" i="133"/>
  <c r="AJ5" i="133"/>
  <c r="Z7" i="133" s="1"/>
  <c r="AI5" i="133"/>
  <c r="AC61" i="133" s="1"/>
  <c r="AG3" i="133"/>
  <c r="C2" i="133" a="1"/>
  <c r="C2" i="133" s="1"/>
  <c r="B2" i="133" a="1"/>
  <c r="B2" i="133" s="1"/>
  <c r="C1" i="133"/>
  <c r="B1" i="133"/>
  <c r="U105" i="132"/>
  <c r="T105" i="132"/>
  <c r="H105" i="132"/>
  <c r="V105" i="132" s="1"/>
  <c r="G105" i="132"/>
  <c r="D105" i="132"/>
  <c r="C105" i="132"/>
  <c r="U104" i="132"/>
  <c r="T104" i="132"/>
  <c r="H104" i="132"/>
  <c r="V104" i="132" s="1"/>
  <c r="G104" i="132"/>
  <c r="D104" i="132"/>
  <c r="C104" i="132"/>
  <c r="U103" i="132"/>
  <c r="T103" i="132"/>
  <c r="H103" i="132"/>
  <c r="V103" i="132" s="1"/>
  <c r="G103" i="132"/>
  <c r="D103" i="132"/>
  <c r="C103" i="132"/>
  <c r="U102" i="132"/>
  <c r="T102" i="132"/>
  <c r="H102" i="132"/>
  <c r="V102" i="132" s="1"/>
  <c r="G102" i="132"/>
  <c r="D102" i="132"/>
  <c r="C102" i="132"/>
  <c r="U101" i="132"/>
  <c r="T101" i="132"/>
  <c r="H101" i="132"/>
  <c r="V101" i="132" s="1"/>
  <c r="G101" i="132"/>
  <c r="D101" i="132"/>
  <c r="C101" i="132"/>
  <c r="U100" i="132"/>
  <c r="T100" i="132"/>
  <c r="H100" i="132"/>
  <c r="V100" i="132" s="1"/>
  <c r="G100" i="132"/>
  <c r="D100" i="132"/>
  <c r="C100" i="132"/>
  <c r="U99" i="132"/>
  <c r="T99" i="132"/>
  <c r="H99" i="132"/>
  <c r="V99" i="132" s="1"/>
  <c r="G99" i="132"/>
  <c r="D99" i="132"/>
  <c r="C99" i="132"/>
  <c r="U98" i="132"/>
  <c r="T98" i="132"/>
  <c r="H98" i="132"/>
  <c r="V98" i="132" s="1"/>
  <c r="G98" i="132"/>
  <c r="D98" i="132"/>
  <c r="C98" i="132"/>
  <c r="U97" i="132"/>
  <c r="T97" i="132"/>
  <c r="H97" i="132"/>
  <c r="V97" i="132" s="1"/>
  <c r="G97" i="132"/>
  <c r="D97" i="132"/>
  <c r="C97" i="132"/>
  <c r="U96" i="132"/>
  <c r="T96" i="132"/>
  <c r="H96" i="132"/>
  <c r="V96" i="132" s="1"/>
  <c r="G96" i="132"/>
  <c r="D96" i="132"/>
  <c r="C96" i="132"/>
  <c r="U95" i="132"/>
  <c r="T95" i="132"/>
  <c r="H95" i="132"/>
  <c r="V95" i="132" s="1"/>
  <c r="G95" i="132"/>
  <c r="D95" i="132"/>
  <c r="C95" i="132"/>
  <c r="U94" i="132"/>
  <c r="T94" i="132"/>
  <c r="H94" i="132"/>
  <c r="V94" i="132" s="1"/>
  <c r="G94" i="132"/>
  <c r="D94" i="132"/>
  <c r="C94" i="132"/>
  <c r="U93" i="132"/>
  <c r="T93" i="132"/>
  <c r="H93" i="132"/>
  <c r="V93" i="132" s="1"/>
  <c r="G93" i="132"/>
  <c r="D93" i="132"/>
  <c r="C93" i="132"/>
  <c r="U92" i="132"/>
  <c r="T92" i="132"/>
  <c r="H92" i="132"/>
  <c r="V92" i="132" s="1"/>
  <c r="G92" i="132"/>
  <c r="D92" i="132"/>
  <c r="C92" i="132"/>
  <c r="U91" i="132"/>
  <c r="T91" i="132"/>
  <c r="H91" i="132"/>
  <c r="V91" i="132" s="1"/>
  <c r="G91" i="132"/>
  <c r="D91" i="132"/>
  <c r="C91" i="132"/>
  <c r="U90" i="132"/>
  <c r="T90" i="132"/>
  <c r="H90" i="132"/>
  <c r="V90" i="132" s="1"/>
  <c r="G90" i="132"/>
  <c r="D90" i="132"/>
  <c r="C90" i="132"/>
  <c r="U89" i="132"/>
  <c r="T89" i="132"/>
  <c r="H89" i="132"/>
  <c r="V89" i="132" s="1"/>
  <c r="G89" i="132"/>
  <c r="D89" i="132"/>
  <c r="C89" i="132"/>
  <c r="U88" i="132"/>
  <c r="T88" i="132"/>
  <c r="H88" i="132"/>
  <c r="V88" i="132" s="1"/>
  <c r="G88" i="132"/>
  <c r="D88" i="132"/>
  <c r="C88" i="132"/>
  <c r="U87" i="132"/>
  <c r="T87" i="132"/>
  <c r="H87" i="132"/>
  <c r="V87" i="132" s="1"/>
  <c r="G87" i="132"/>
  <c r="D87" i="132"/>
  <c r="C87" i="132"/>
  <c r="U86" i="132"/>
  <c r="T86" i="132"/>
  <c r="H86" i="132"/>
  <c r="V86" i="132" s="1"/>
  <c r="G86" i="132"/>
  <c r="D86" i="132"/>
  <c r="C86" i="132"/>
  <c r="U85" i="132"/>
  <c r="T85" i="132"/>
  <c r="H85" i="132"/>
  <c r="V85" i="132" s="1"/>
  <c r="G85" i="132"/>
  <c r="D85" i="132"/>
  <c r="C85" i="132"/>
  <c r="U84" i="132"/>
  <c r="T84" i="132"/>
  <c r="H84" i="132"/>
  <c r="V84" i="132" s="1"/>
  <c r="G84" i="132"/>
  <c r="D84" i="132"/>
  <c r="C84" i="132"/>
  <c r="U83" i="132"/>
  <c r="T83" i="132"/>
  <c r="H83" i="132"/>
  <c r="V83" i="132" s="1"/>
  <c r="G83" i="132"/>
  <c r="D83" i="132"/>
  <c r="C83" i="132"/>
  <c r="U82" i="132"/>
  <c r="T82" i="132"/>
  <c r="H82" i="132"/>
  <c r="V82" i="132" s="1"/>
  <c r="G82" i="132"/>
  <c r="D82" i="132"/>
  <c r="C82" i="132"/>
  <c r="U81" i="132"/>
  <c r="T81" i="132"/>
  <c r="H81" i="132"/>
  <c r="V81" i="132" s="1"/>
  <c r="G81" i="132"/>
  <c r="D81" i="132"/>
  <c r="C81" i="132"/>
  <c r="U80" i="132"/>
  <c r="T80" i="132"/>
  <c r="H80" i="132"/>
  <c r="V80" i="132" s="1"/>
  <c r="G80" i="132"/>
  <c r="D80" i="132"/>
  <c r="C80" i="132"/>
  <c r="U79" i="132"/>
  <c r="T79" i="132"/>
  <c r="H79" i="132"/>
  <c r="V79" i="132" s="1"/>
  <c r="G79" i="132"/>
  <c r="D79" i="132"/>
  <c r="C79" i="132"/>
  <c r="U78" i="132"/>
  <c r="T78" i="132"/>
  <c r="H78" i="132"/>
  <c r="V78" i="132" s="1"/>
  <c r="G78" i="132"/>
  <c r="D78" i="132"/>
  <c r="C78" i="132"/>
  <c r="U77" i="132"/>
  <c r="T77" i="132"/>
  <c r="H77" i="132"/>
  <c r="V77" i="132" s="1"/>
  <c r="G77" i="132"/>
  <c r="D77" i="132"/>
  <c r="C77" i="132"/>
  <c r="U76" i="132"/>
  <c r="T76" i="132"/>
  <c r="H76" i="132"/>
  <c r="V76" i="132" s="1"/>
  <c r="G76" i="132"/>
  <c r="D76" i="132"/>
  <c r="C76" i="132"/>
  <c r="U75" i="132"/>
  <c r="T75" i="132"/>
  <c r="H75" i="132"/>
  <c r="V75" i="132" s="1"/>
  <c r="G75" i="132"/>
  <c r="D75" i="132"/>
  <c r="C75" i="132"/>
  <c r="U74" i="132"/>
  <c r="T74" i="132"/>
  <c r="H74" i="132"/>
  <c r="V74" i="132" s="1"/>
  <c r="G74" i="132"/>
  <c r="D74" i="132"/>
  <c r="C74" i="132"/>
  <c r="U73" i="132"/>
  <c r="T73" i="132"/>
  <c r="H73" i="132"/>
  <c r="V73" i="132" s="1"/>
  <c r="G73" i="132"/>
  <c r="D73" i="132"/>
  <c r="C73" i="132"/>
  <c r="U72" i="132"/>
  <c r="T72" i="132"/>
  <c r="H72" i="132"/>
  <c r="V72" i="132" s="1"/>
  <c r="G72" i="132"/>
  <c r="D72" i="132"/>
  <c r="C72" i="132"/>
  <c r="U71" i="132"/>
  <c r="T71" i="132"/>
  <c r="H71" i="132"/>
  <c r="V71" i="132" s="1"/>
  <c r="G71" i="132"/>
  <c r="D71" i="132"/>
  <c r="C71" i="132"/>
  <c r="U70" i="132"/>
  <c r="T70" i="132"/>
  <c r="H70" i="132"/>
  <c r="V70" i="132" s="1"/>
  <c r="G70" i="132"/>
  <c r="D70" i="132"/>
  <c r="C70" i="132"/>
  <c r="U69" i="132"/>
  <c r="T69" i="132"/>
  <c r="H69" i="132"/>
  <c r="V69" i="132" s="1"/>
  <c r="G69" i="132"/>
  <c r="D69" i="132"/>
  <c r="C69" i="132"/>
  <c r="U68" i="132"/>
  <c r="T68" i="132"/>
  <c r="H68" i="132"/>
  <c r="V68" i="132" s="1"/>
  <c r="G68" i="132"/>
  <c r="D68" i="132"/>
  <c r="C68" i="132"/>
  <c r="U67" i="132"/>
  <c r="T67" i="132"/>
  <c r="H67" i="132"/>
  <c r="V67" i="132" s="1"/>
  <c r="G67" i="132"/>
  <c r="D67" i="132"/>
  <c r="C67" i="132"/>
  <c r="U66" i="132"/>
  <c r="T66" i="132"/>
  <c r="H66" i="132"/>
  <c r="V66" i="132" s="1"/>
  <c r="G66" i="132"/>
  <c r="D66" i="132"/>
  <c r="C66" i="132"/>
  <c r="U65" i="132"/>
  <c r="T65" i="132"/>
  <c r="H65" i="132"/>
  <c r="V65" i="132" s="1"/>
  <c r="G65" i="132"/>
  <c r="D65" i="132"/>
  <c r="C65" i="132"/>
  <c r="U64" i="132"/>
  <c r="T64" i="132"/>
  <c r="H64" i="132"/>
  <c r="V64" i="132" s="1"/>
  <c r="G64" i="132"/>
  <c r="D64" i="132"/>
  <c r="C64" i="132"/>
  <c r="U63" i="132"/>
  <c r="T63" i="132"/>
  <c r="R63" i="132"/>
  <c r="H63" i="132"/>
  <c r="V63" i="132" s="1"/>
  <c r="G63" i="132"/>
  <c r="D63" i="132"/>
  <c r="C63" i="132"/>
  <c r="U62" i="132"/>
  <c r="T62" i="132"/>
  <c r="H62" i="132"/>
  <c r="V62" i="132" s="1"/>
  <c r="G62" i="132"/>
  <c r="D62" i="132"/>
  <c r="C62" i="132"/>
  <c r="U61" i="132"/>
  <c r="T61" i="132"/>
  <c r="R61" i="132"/>
  <c r="H61" i="132"/>
  <c r="V61" i="132" s="1"/>
  <c r="G61" i="132"/>
  <c r="D61" i="132"/>
  <c r="C61" i="132"/>
  <c r="U60" i="132"/>
  <c r="T60" i="132"/>
  <c r="H60" i="132"/>
  <c r="V60" i="132" s="1"/>
  <c r="G60" i="132"/>
  <c r="D60" i="132"/>
  <c r="C60" i="132"/>
  <c r="U59" i="132"/>
  <c r="T59" i="132"/>
  <c r="R59" i="132"/>
  <c r="H59" i="132"/>
  <c r="V59" i="132" s="1"/>
  <c r="G59" i="132"/>
  <c r="D59" i="132"/>
  <c r="C59" i="132"/>
  <c r="U58" i="132"/>
  <c r="T58" i="132"/>
  <c r="H58" i="132"/>
  <c r="V58" i="132" s="1"/>
  <c r="G58" i="132"/>
  <c r="D58" i="132"/>
  <c r="C58" i="132"/>
  <c r="U57" i="132"/>
  <c r="T57" i="132"/>
  <c r="R57" i="132"/>
  <c r="H57" i="132"/>
  <c r="V57" i="132" s="1"/>
  <c r="G57" i="132"/>
  <c r="D57" i="132"/>
  <c r="C57" i="132"/>
  <c r="U56" i="132"/>
  <c r="T56" i="132"/>
  <c r="H56" i="132"/>
  <c r="V56" i="132" s="1"/>
  <c r="G56" i="132"/>
  <c r="D56" i="132"/>
  <c r="C56" i="132"/>
  <c r="U55" i="132"/>
  <c r="T55" i="132"/>
  <c r="R55" i="132"/>
  <c r="AD63" i="132" s="1"/>
  <c r="H55" i="132"/>
  <c r="V55" i="132" s="1"/>
  <c r="G55" i="132"/>
  <c r="D55" i="132"/>
  <c r="C55" i="132"/>
  <c r="U54" i="132"/>
  <c r="T54" i="132"/>
  <c r="H54" i="132"/>
  <c r="V54" i="132" s="1"/>
  <c r="G54" i="132"/>
  <c r="D54" i="132"/>
  <c r="C54" i="132"/>
  <c r="U53" i="132"/>
  <c r="T53" i="132"/>
  <c r="H53" i="132"/>
  <c r="V53" i="132" s="1"/>
  <c r="G53" i="132"/>
  <c r="D53" i="132"/>
  <c r="C53" i="132"/>
  <c r="U52" i="132"/>
  <c r="T52" i="132"/>
  <c r="H52" i="132"/>
  <c r="V52" i="132" s="1"/>
  <c r="G52" i="132"/>
  <c r="D52" i="132"/>
  <c r="C52" i="132"/>
  <c r="U51" i="132"/>
  <c r="T51" i="132"/>
  <c r="H51" i="132"/>
  <c r="V51" i="132" s="1"/>
  <c r="G51" i="132"/>
  <c r="D51" i="132"/>
  <c r="C51" i="132"/>
  <c r="AC50" i="132"/>
  <c r="AB50" i="132"/>
  <c r="AA50" i="132"/>
  <c r="Z50" i="132"/>
  <c r="Y50" i="132"/>
  <c r="U50" i="132"/>
  <c r="T50" i="132"/>
  <c r="H50" i="132"/>
  <c r="V50" i="132" s="1"/>
  <c r="G50" i="132"/>
  <c r="D50" i="132"/>
  <c r="C50" i="132"/>
  <c r="AC49" i="132"/>
  <c r="AB49" i="132"/>
  <c r="AA49" i="132"/>
  <c r="Z49" i="132"/>
  <c r="Y49" i="132"/>
  <c r="U49" i="132"/>
  <c r="T49" i="132"/>
  <c r="R49" i="132"/>
  <c r="H49" i="132"/>
  <c r="V49" i="132" s="1"/>
  <c r="G49" i="132"/>
  <c r="D49" i="132"/>
  <c r="C49" i="132"/>
  <c r="U48" i="132"/>
  <c r="T48" i="132"/>
  <c r="H48" i="132"/>
  <c r="V48" i="132" s="1"/>
  <c r="G48" i="132"/>
  <c r="D48" i="132"/>
  <c r="C48" i="132"/>
  <c r="U47" i="132"/>
  <c r="T47" i="132"/>
  <c r="R47" i="132"/>
  <c r="S47" i="132" s="1"/>
  <c r="H47" i="132"/>
  <c r="V47" i="132" s="1"/>
  <c r="G47" i="132"/>
  <c r="D47" i="132"/>
  <c r="C47" i="132"/>
  <c r="U46" i="132"/>
  <c r="T46" i="132"/>
  <c r="H46" i="132"/>
  <c r="V46" i="132" s="1"/>
  <c r="G46" i="132"/>
  <c r="D46" i="132"/>
  <c r="C46" i="132"/>
  <c r="AC45" i="132"/>
  <c r="AB45" i="132"/>
  <c r="AA45" i="132"/>
  <c r="Z45" i="132"/>
  <c r="Y45" i="132"/>
  <c r="U45" i="132"/>
  <c r="T45" i="132"/>
  <c r="H45" i="132"/>
  <c r="V45" i="132" s="1"/>
  <c r="G45" i="132"/>
  <c r="D45" i="132"/>
  <c r="C45" i="132"/>
  <c r="AC44" i="132"/>
  <c r="AB44" i="132"/>
  <c r="AA44" i="132"/>
  <c r="Z44" i="132"/>
  <c r="Y44" i="132"/>
  <c r="U44" i="132"/>
  <c r="T44" i="132"/>
  <c r="R44" i="132"/>
  <c r="H44" i="132"/>
  <c r="V44" i="132" s="1"/>
  <c r="G44" i="132"/>
  <c r="D44" i="132"/>
  <c r="C44" i="132"/>
  <c r="U43" i="132"/>
  <c r="T43" i="132"/>
  <c r="H43" i="132"/>
  <c r="V43" i="132" s="1"/>
  <c r="G43" i="132"/>
  <c r="D43" i="132"/>
  <c r="C43" i="132"/>
  <c r="U42" i="132"/>
  <c r="T42" i="132"/>
  <c r="S42" i="132"/>
  <c r="R42" i="132"/>
  <c r="AD41" i="132" s="1"/>
  <c r="H42" i="132"/>
  <c r="V42" i="132" s="1"/>
  <c r="G42" i="132"/>
  <c r="D42" i="132"/>
  <c r="C42" i="132"/>
  <c r="U41" i="132"/>
  <c r="T41" i="132"/>
  <c r="H41" i="132"/>
  <c r="V41" i="132" s="1"/>
  <c r="G41" i="132"/>
  <c r="D41" i="132"/>
  <c r="C41" i="132"/>
  <c r="AC40" i="132"/>
  <c r="AB40" i="132"/>
  <c r="AA40" i="132"/>
  <c r="Z40" i="132"/>
  <c r="Y40" i="132"/>
  <c r="U40" i="132"/>
  <c r="T40" i="132"/>
  <c r="H40" i="132"/>
  <c r="V40" i="132" s="1"/>
  <c r="G40" i="132"/>
  <c r="D40" i="132"/>
  <c r="C40" i="132"/>
  <c r="AC39" i="132"/>
  <c r="AB39" i="132"/>
  <c r="AA39" i="132"/>
  <c r="Z39" i="132"/>
  <c r="Y39" i="132"/>
  <c r="U39" i="132"/>
  <c r="T39" i="132"/>
  <c r="R39" i="132"/>
  <c r="H39" i="132"/>
  <c r="V39" i="132" s="1"/>
  <c r="G39" i="132"/>
  <c r="D39" i="132"/>
  <c r="C39" i="132"/>
  <c r="U38" i="132"/>
  <c r="T38" i="132"/>
  <c r="H38" i="132"/>
  <c r="V38" i="132" s="1"/>
  <c r="G38" i="132"/>
  <c r="D38" i="132"/>
  <c r="C38" i="132"/>
  <c r="U37" i="132"/>
  <c r="T37" i="132"/>
  <c r="R37" i="132"/>
  <c r="AD36" i="132" s="1"/>
  <c r="H37" i="132"/>
  <c r="V37" i="132" s="1"/>
  <c r="G37" i="132"/>
  <c r="D37" i="132"/>
  <c r="C37" i="132"/>
  <c r="U36" i="132"/>
  <c r="T36" i="132"/>
  <c r="H36" i="132"/>
  <c r="V36" i="132" s="1"/>
  <c r="G36" i="132"/>
  <c r="D36" i="132"/>
  <c r="C36" i="132"/>
  <c r="AC35" i="132"/>
  <c r="AB35" i="132"/>
  <c r="AA35" i="132"/>
  <c r="Z35" i="132"/>
  <c r="Y35" i="132"/>
  <c r="U35" i="132"/>
  <c r="T35" i="132"/>
  <c r="H35" i="132"/>
  <c r="V35" i="132" s="1"/>
  <c r="G35" i="132"/>
  <c r="D35" i="132"/>
  <c r="C35" i="132"/>
  <c r="AC34" i="132"/>
  <c r="AB34" i="132"/>
  <c r="AA34" i="132"/>
  <c r="Z34" i="132"/>
  <c r="Y34" i="132"/>
  <c r="U34" i="132"/>
  <c r="T34" i="132"/>
  <c r="R34" i="132"/>
  <c r="H34" i="132"/>
  <c r="V34" i="132" s="1"/>
  <c r="G34" i="132"/>
  <c r="D34" i="132"/>
  <c r="C34" i="132"/>
  <c r="U33" i="132"/>
  <c r="T33" i="132"/>
  <c r="H33" i="132"/>
  <c r="V33" i="132" s="1"/>
  <c r="G33" i="132"/>
  <c r="D33" i="132"/>
  <c r="C33" i="132"/>
  <c r="U32" i="132"/>
  <c r="T32" i="132"/>
  <c r="R32" i="132"/>
  <c r="AD31" i="132" s="1"/>
  <c r="H32" i="132"/>
  <c r="V32" i="132" s="1"/>
  <c r="G32" i="132"/>
  <c r="D32" i="132"/>
  <c r="C32" i="132"/>
  <c r="U31" i="132"/>
  <c r="T31" i="132"/>
  <c r="H31" i="132"/>
  <c r="V31" i="132" s="1"/>
  <c r="G31" i="132"/>
  <c r="D31" i="132"/>
  <c r="C31" i="132"/>
  <c r="AC30" i="132"/>
  <c r="AB30" i="132"/>
  <c r="AA30" i="132"/>
  <c r="Z30" i="132"/>
  <c r="Y30" i="132"/>
  <c r="U30" i="132"/>
  <c r="T30" i="132"/>
  <c r="H30" i="132"/>
  <c r="V30" i="132" s="1"/>
  <c r="G30" i="132"/>
  <c r="D30" i="132"/>
  <c r="C30" i="132"/>
  <c r="AC29" i="132"/>
  <c r="AB29" i="132"/>
  <c r="AA29" i="132"/>
  <c r="Z29" i="132"/>
  <c r="Y29" i="132"/>
  <c r="U29" i="132"/>
  <c r="T29" i="132"/>
  <c r="R29" i="132"/>
  <c r="H29" i="132"/>
  <c r="V29" i="132" s="1"/>
  <c r="G29" i="132"/>
  <c r="D29" i="132"/>
  <c r="C29" i="132"/>
  <c r="U28" i="132"/>
  <c r="T28" i="132"/>
  <c r="H28" i="132"/>
  <c r="V28" i="132" s="1"/>
  <c r="G28" i="132"/>
  <c r="D28" i="132"/>
  <c r="C28" i="132"/>
  <c r="U27" i="132"/>
  <c r="T27" i="132"/>
  <c r="R27" i="132"/>
  <c r="S27" i="132" s="1"/>
  <c r="H27" i="132"/>
  <c r="V27" i="132" s="1"/>
  <c r="G27" i="132"/>
  <c r="D27" i="132"/>
  <c r="C27" i="132"/>
  <c r="U26" i="132"/>
  <c r="T26" i="132"/>
  <c r="H26" i="132"/>
  <c r="V26" i="132" s="1"/>
  <c r="G26" i="132"/>
  <c r="D26" i="132"/>
  <c r="C26" i="132"/>
  <c r="U25" i="132"/>
  <c r="T25" i="132"/>
  <c r="H25" i="132"/>
  <c r="V25" i="132" s="1"/>
  <c r="G25" i="132"/>
  <c r="D25" i="132"/>
  <c r="C25" i="132"/>
  <c r="U24" i="132"/>
  <c r="T24" i="132"/>
  <c r="H24" i="132"/>
  <c r="V24" i="132" s="1"/>
  <c r="G24" i="132"/>
  <c r="D24" i="132"/>
  <c r="C24" i="132"/>
  <c r="U23" i="132"/>
  <c r="T23" i="132"/>
  <c r="H23" i="132"/>
  <c r="V23" i="132" s="1"/>
  <c r="G23" i="132"/>
  <c r="D23" i="132"/>
  <c r="C23" i="132"/>
  <c r="U22" i="132"/>
  <c r="T22" i="132"/>
  <c r="R22" i="132"/>
  <c r="AD22" i="132" s="1"/>
  <c r="H22" i="132"/>
  <c r="V22" i="132" s="1"/>
  <c r="G22" i="132"/>
  <c r="D22" i="132"/>
  <c r="C22" i="132"/>
  <c r="AD21" i="132"/>
  <c r="U21" i="132"/>
  <c r="T21" i="132"/>
  <c r="R21" i="132"/>
  <c r="H21" i="132"/>
  <c r="V21" i="132" s="1"/>
  <c r="G21" i="132"/>
  <c r="D21" i="132"/>
  <c r="C21" i="132"/>
  <c r="AD20" i="132"/>
  <c r="U20" i="132"/>
  <c r="T20" i="132"/>
  <c r="R20" i="132"/>
  <c r="H20" i="132"/>
  <c r="V20" i="132" s="1"/>
  <c r="G20" i="132"/>
  <c r="D20" i="132"/>
  <c r="C20" i="132"/>
  <c r="U19" i="132"/>
  <c r="T19" i="132"/>
  <c r="R19" i="132"/>
  <c r="AD19" i="132" s="1"/>
  <c r="H19" i="132"/>
  <c r="V19" i="132" s="1"/>
  <c r="G19" i="132"/>
  <c r="D19" i="132"/>
  <c r="C19" i="132"/>
  <c r="U18" i="132"/>
  <c r="T18" i="132"/>
  <c r="R18" i="132"/>
  <c r="AD18" i="132" s="1"/>
  <c r="H18" i="132"/>
  <c r="V18" i="132" s="1"/>
  <c r="G18" i="132"/>
  <c r="D18" i="132"/>
  <c r="C18" i="132"/>
  <c r="U17" i="132"/>
  <c r="T17" i="132"/>
  <c r="R17" i="132"/>
  <c r="AD17" i="132" s="1"/>
  <c r="H17" i="132"/>
  <c r="V17" i="132" s="1"/>
  <c r="G17" i="132"/>
  <c r="D17" i="132"/>
  <c r="C17" i="132"/>
  <c r="U16" i="132"/>
  <c r="T16" i="132"/>
  <c r="R16" i="132"/>
  <c r="AD16" i="132" s="1"/>
  <c r="H16" i="132"/>
  <c r="V16" i="132" s="1"/>
  <c r="G16" i="132"/>
  <c r="D16" i="132"/>
  <c r="C16" i="132"/>
  <c r="U15" i="132"/>
  <c r="T15" i="132"/>
  <c r="R15" i="132"/>
  <c r="AD15" i="132" s="1"/>
  <c r="H15" i="132"/>
  <c r="V15" i="132" s="1"/>
  <c r="G15" i="132"/>
  <c r="D15" i="132"/>
  <c r="C15" i="132"/>
  <c r="U14" i="132"/>
  <c r="T14" i="132"/>
  <c r="R14" i="132"/>
  <c r="AD14" i="132" s="1"/>
  <c r="H14" i="132"/>
  <c r="V14" i="132" s="1"/>
  <c r="G14" i="132"/>
  <c r="D14" i="132"/>
  <c r="C14" i="132"/>
  <c r="U13" i="132"/>
  <c r="T13" i="132"/>
  <c r="R13" i="132"/>
  <c r="AD13" i="132" s="1"/>
  <c r="H13" i="132"/>
  <c r="V13" i="132" s="1"/>
  <c r="G13" i="132"/>
  <c r="D13" i="132"/>
  <c r="C13" i="132"/>
  <c r="U12" i="132"/>
  <c r="T12" i="132"/>
  <c r="H12" i="132"/>
  <c r="V12" i="132" s="1"/>
  <c r="G12" i="132"/>
  <c r="D12" i="132"/>
  <c r="C12" i="132"/>
  <c r="U11" i="132"/>
  <c r="T11" i="132"/>
  <c r="H11" i="132"/>
  <c r="V11" i="132" s="1"/>
  <c r="G11" i="132"/>
  <c r="D11" i="132"/>
  <c r="C11" i="132"/>
  <c r="U10" i="132"/>
  <c r="T10" i="132"/>
  <c r="H10" i="132"/>
  <c r="V10" i="132" s="1"/>
  <c r="G10" i="132"/>
  <c r="D10" i="132"/>
  <c r="C10" i="132"/>
  <c r="U9" i="132"/>
  <c r="T9" i="132"/>
  <c r="H9" i="132"/>
  <c r="V9" i="132" s="1"/>
  <c r="G9" i="132"/>
  <c r="D9" i="132"/>
  <c r="C9" i="132"/>
  <c r="AC8" i="132"/>
  <c r="AB8" i="132"/>
  <c r="AA8" i="132"/>
  <c r="Z8" i="132"/>
  <c r="AG9" i="132" s="1"/>
  <c r="AQ9" i="132" s="1"/>
  <c r="Y8" i="132"/>
  <c r="U8" i="132"/>
  <c r="T8" i="132"/>
  <c r="R8" i="132"/>
  <c r="H8" i="132"/>
  <c r="V8" i="132" s="1"/>
  <c r="G8" i="132"/>
  <c r="D8" i="132"/>
  <c r="C8" i="132"/>
  <c r="AG7" i="132"/>
  <c r="U7" i="132"/>
  <c r="T7" i="132"/>
  <c r="H7" i="132"/>
  <c r="V7" i="132" s="1"/>
  <c r="G7" i="132"/>
  <c r="D7" i="132"/>
  <c r="C7" i="132"/>
  <c r="U6" i="132"/>
  <c r="T6" i="132"/>
  <c r="H6" i="132"/>
  <c r="V6" i="132" s="1"/>
  <c r="G6" i="132"/>
  <c r="D6" i="132"/>
  <c r="C6" i="132"/>
  <c r="AK5" i="132"/>
  <c r="AJ5" i="132"/>
  <c r="AB7" i="132" s="1"/>
  <c r="AI5" i="132"/>
  <c r="AC61" i="132" s="1"/>
  <c r="AG3" i="132"/>
  <c r="C2" i="132" a="1"/>
  <c r="C2" i="132" s="1"/>
  <c r="B2" i="132" a="1"/>
  <c r="B2" i="132" s="1"/>
  <c r="C1" i="132"/>
  <c r="B1" i="132"/>
  <c r="U105" i="131"/>
  <c r="T105" i="131"/>
  <c r="H105" i="131"/>
  <c r="V105" i="131" s="1"/>
  <c r="G105" i="131"/>
  <c r="D105" i="131"/>
  <c r="C105" i="131"/>
  <c r="U104" i="131"/>
  <c r="T104" i="131"/>
  <c r="H104" i="131"/>
  <c r="V104" i="131" s="1"/>
  <c r="G104" i="131"/>
  <c r="D104" i="131"/>
  <c r="C104" i="131"/>
  <c r="U103" i="131"/>
  <c r="T103" i="131"/>
  <c r="H103" i="131"/>
  <c r="V103" i="131" s="1"/>
  <c r="G103" i="131"/>
  <c r="D103" i="131"/>
  <c r="C103" i="131"/>
  <c r="U102" i="131"/>
  <c r="T102" i="131"/>
  <c r="H102" i="131"/>
  <c r="V102" i="131" s="1"/>
  <c r="G102" i="131"/>
  <c r="D102" i="131"/>
  <c r="C102" i="131"/>
  <c r="U101" i="131"/>
  <c r="T101" i="131"/>
  <c r="H101" i="131"/>
  <c r="V101" i="131" s="1"/>
  <c r="G101" i="131"/>
  <c r="D101" i="131"/>
  <c r="C101" i="131"/>
  <c r="U100" i="131"/>
  <c r="T100" i="131"/>
  <c r="H100" i="131"/>
  <c r="V100" i="131" s="1"/>
  <c r="G100" i="131"/>
  <c r="D100" i="131"/>
  <c r="C100" i="131"/>
  <c r="U99" i="131"/>
  <c r="T99" i="131"/>
  <c r="H99" i="131"/>
  <c r="V99" i="131" s="1"/>
  <c r="G99" i="131"/>
  <c r="D99" i="131"/>
  <c r="C99" i="131"/>
  <c r="U98" i="131"/>
  <c r="T98" i="131"/>
  <c r="H98" i="131"/>
  <c r="V98" i="131" s="1"/>
  <c r="G98" i="131"/>
  <c r="D98" i="131"/>
  <c r="C98" i="131"/>
  <c r="U97" i="131"/>
  <c r="T97" i="131"/>
  <c r="H97" i="131"/>
  <c r="V97" i="131" s="1"/>
  <c r="G97" i="131"/>
  <c r="D97" i="131"/>
  <c r="C97" i="131"/>
  <c r="U96" i="131"/>
  <c r="T96" i="131"/>
  <c r="H96" i="131"/>
  <c r="V96" i="131" s="1"/>
  <c r="G96" i="131"/>
  <c r="D96" i="131"/>
  <c r="C96" i="131"/>
  <c r="U95" i="131"/>
  <c r="T95" i="131"/>
  <c r="H95" i="131"/>
  <c r="V95" i="131" s="1"/>
  <c r="G95" i="131"/>
  <c r="D95" i="131"/>
  <c r="C95" i="131"/>
  <c r="U94" i="131"/>
  <c r="T94" i="131"/>
  <c r="H94" i="131"/>
  <c r="V94" i="131" s="1"/>
  <c r="G94" i="131"/>
  <c r="D94" i="131"/>
  <c r="C94" i="131"/>
  <c r="U93" i="131"/>
  <c r="T93" i="131"/>
  <c r="H93" i="131"/>
  <c r="V93" i="131" s="1"/>
  <c r="G93" i="131"/>
  <c r="D93" i="131"/>
  <c r="C93" i="131"/>
  <c r="U92" i="131"/>
  <c r="T92" i="131"/>
  <c r="H92" i="131"/>
  <c r="V92" i="131" s="1"/>
  <c r="G92" i="131"/>
  <c r="D92" i="131"/>
  <c r="C92" i="131"/>
  <c r="U91" i="131"/>
  <c r="T91" i="131"/>
  <c r="H91" i="131"/>
  <c r="V91" i="131" s="1"/>
  <c r="G91" i="131"/>
  <c r="D91" i="131"/>
  <c r="C91" i="131"/>
  <c r="U90" i="131"/>
  <c r="T90" i="131"/>
  <c r="H90" i="131"/>
  <c r="V90" i="131" s="1"/>
  <c r="G90" i="131"/>
  <c r="D90" i="131"/>
  <c r="C90" i="131"/>
  <c r="U89" i="131"/>
  <c r="T89" i="131"/>
  <c r="H89" i="131"/>
  <c r="V89" i="131" s="1"/>
  <c r="G89" i="131"/>
  <c r="D89" i="131"/>
  <c r="C89" i="131"/>
  <c r="U88" i="131"/>
  <c r="T88" i="131"/>
  <c r="H88" i="131"/>
  <c r="V88" i="131" s="1"/>
  <c r="G88" i="131"/>
  <c r="D88" i="131"/>
  <c r="C88" i="131"/>
  <c r="U87" i="131"/>
  <c r="T87" i="131"/>
  <c r="H87" i="131"/>
  <c r="V87" i="131" s="1"/>
  <c r="G87" i="131"/>
  <c r="D87" i="131"/>
  <c r="C87" i="131"/>
  <c r="U86" i="131"/>
  <c r="T86" i="131"/>
  <c r="H86" i="131"/>
  <c r="V86" i="131" s="1"/>
  <c r="G86" i="131"/>
  <c r="D86" i="131"/>
  <c r="C86" i="131"/>
  <c r="U85" i="131"/>
  <c r="T85" i="131"/>
  <c r="H85" i="131"/>
  <c r="V85" i="131" s="1"/>
  <c r="G85" i="131"/>
  <c r="D85" i="131"/>
  <c r="C85" i="131"/>
  <c r="U84" i="131"/>
  <c r="T84" i="131"/>
  <c r="H84" i="131"/>
  <c r="V84" i="131" s="1"/>
  <c r="G84" i="131"/>
  <c r="D84" i="131"/>
  <c r="C84" i="131"/>
  <c r="U83" i="131"/>
  <c r="T83" i="131"/>
  <c r="H83" i="131"/>
  <c r="V83" i="131" s="1"/>
  <c r="G83" i="131"/>
  <c r="D83" i="131"/>
  <c r="C83" i="131"/>
  <c r="U82" i="131"/>
  <c r="T82" i="131"/>
  <c r="H82" i="131"/>
  <c r="V82" i="131" s="1"/>
  <c r="G82" i="131"/>
  <c r="D82" i="131"/>
  <c r="C82" i="131"/>
  <c r="U81" i="131"/>
  <c r="T81" i="131"/>
  <c r="H81" i="131"/>
  <c r="V81" i="131" s="1"/>
  <c r="G81" i="131"/>
  <c r="D81" i="131"/>
  <c r="C81" i="131"/>
  <c r="U80" i="131"/>
  <c r="T80" i="131"/>
  <c r="H80" i="131"/>
  <c r="V80" i="131" s="1"/>
  <c r="G80" i="131"/>
  <c r="D80" i="131"/>
  <c r="C80" i="131"/>
  <c r="U79" i="131"/>
  <c r="T79" i="131"/>
  <c r="H79" i="131"/>
  <c r="V79" i="131" s="1"/>
  <c r="G79" i="131"/>
  <c r="D79" i="131"/>
  <c r="C79" i="131"/>
  <c r="U78" i="131"/>
  <c r="T78" i="131"/>
  <c r="H78" i="131"/>
  <c r="V78" i="131" s="1"/>
  <c r="G78" i="131"/>
  <c r="D78" i="131"/>
  <c r="C78" i="131"/>
  <c r="U77" i="131"/>
  <c r="T77" i="131"/>
  <c r="H77" i="131"/>
  <c r="V77" i="131" s="1"/>
  <c r="G77" i="131"/>
  <c r="D77" i="131"/>
  <c r="C77" i="131"/>
  <c r="U76" i="131"/>
  <c r="T76" i="131"/>
  <c r="H76" i="131"/>
  <c r="V76" i="131" s="1"/>
  <c r="G76" i="131"/>
  <c r="D76" i="131"/>
  <c r="C76" i="131"/>
  <c r="U75" i="131"/>
  <c r="T75" i="131"/>
  <c r="H75" i="131"/>
  <c r="V75" i="131" s="1"/>
  <c r="G75" i="131"/>
  <c r="D75" i="131"/>
  <c r="C75" i="131"/>
  <c r="U74" i="131"/>
  <c r="T74" i="131"/>
  <c r="H74" i="131"/>
  <c r="V74" i="131" s="1"/>
  <c r="G74" i="131"/>
  <c r="D74" i="131"/>
  <c r="C74" i="131"/>
  <c r="U73" i="131"/>
  <c r="T73" i="131"/>
  <c r="H73" i="131"/>
  <c r="V73" i="131" s="1"/>
  <c r="G73" i="131"/>
  <c r="D73" i="131"/>
  <c r="C73" i="131"/>
  <c r="U72" i="131"/>
  <c r="T72" i="131"/>
  <c r="H72" i="131"/>
  <c r="V72" i="131" s="1"/>
  <c r="G72" i="131"/>
  <c r="D72" i="131"/>
  <c r="C72" i="131"/>
  <c r="U71" i="131"/>
  <c r="T71" i="131"/>
  <c r="H71" i="131"/>
  <c r="V71" i="131" s="1"/>
  <c r="G71" i="131"/>
  <c r="D71" i="131"/>
  <c r="C71" i="131"/>
  <c r="U70" i="131"/>
  <c r="T70" i="131"/>
  <c r="H70" i="131"/>
  <c r="V70" i="131" s="1"/>
  <c r="G70" i="131"/>
  <c r="D70" i="131"/>
  <c r="C70" i="131"/>
  <c r="U69" i="131"/>
  <c r="T69" i="131"/>
  <c r="H69" i="131"/>
  <c r="V69" i="131" s="1"/>
  <c r="G69" i="131"/>
  <c r="D69" i="131"/>
  <c r="C69" i="131"/>
  <c r="U68" i="131"/>
  <c r="T68" i="131"/>
  <c r="H68" i="131"/>
  <c r="V68" i="131" s="1"/>
  <c r="G68" i="131"/>
  <c r="D68" i="131"/>
  <c r="C68" i="131"/>
  <c r="U67" i="131"/>
  <c r="T67" i="131"/>
  <c r="H67" i="131"/>
  <c r="V67" i="131" s="1"/>
  <c r="G67" i="131"/>
  <c r="D67" i="131"/>
  <c r="C67" i="131"/>
  <c r="U66" i="131"/>
  <c r="T66" i="131"/>
  <c r="H66" i="131"/>
  <c r="V66" i="131" s="1"/>
  <c r="G66" i="131"/>
  <c r="D66" i="131"/>
  <c r="C66" i="131"/>
  <c r="U65" i="131"/>
  <c r="T65" i="131"/>
  <c r="H65" i="131"/>
  <c r="V65" i="131" s="1"/>
  <c r="G65" i="131"/>
  <c r="D65" i="131"/>
  <c r="C65" i="131"/>
  <c r="U64" i="131"/>
  <c r="T64" i="131"/>
  <c r="H64" i="131"/>
  <c r="V64" i="131" s="1"/>
  <c r="G64" i="131"/>
  <c r="D64" i="131"/>
  <c r="C64" i="131"/>
  <c r="U63" i="131"/>
  <c r="T63" i="131"/>
  <c r="R63" i="131"/>
  <c r="H63" i="131"/>
  <c r="V63" i="131" s="1"/>
  <c r="G63" i="131"/>
  <c r="D63" i="131"/>
  <c r="C63" i="131"/>
  <c r="U62" i="131"/>
  <c r="T62" i="131"/>
  <c r="H62" i="131"/>
  <c r="V62" i="131" s="1"/>
  <c r="G62" i="131"/>
  <c r="D62" i="131"/>
  <c r="C62" i="131"/>
  <c r="U61" i="131"/>
  <c r="T61" i="131"/>
  <c r="R61" i="131"/>
  <c r="H61" i="131"/>
  <c r="V61" i="131" s="1"/>
  <c r="G61" i="131"/>
  <c r="D61" i="131"/>
  <c r="C61" i="131"/>
  <c r="U60" i="131"/>
  <c r="T60" i="131"/>
  <c r="H60" i="131"/>
  <c r="V60" i="131" s="1"/>
  <c r="G60" i="131"/>
  <c r="D60" i="131"/>
  <c r="C60" i="131"/>
  <c r="U59" i="131"/>
  <c r="T59" i="131"/>
  <c r="R59" i="131"/>
  <c r="H59" i="131"/>
  <c r="V59" i="131" s="1"/>
  <c r="G59" i="131"/>
  <c r="D59" i="131"/>
  <c r="C59" i="131"/>
  <c r="U58" i="131"/>
  <c r="T58" i="131"/>
  <c r="H58" i="131"/>
  <c r="V58" i="131" s="1"/>
  <c r="G58" i="131"/>
  <c r="D58" i="131"/>
  <c r="C58" i="131"/>
  <c r="U57" i="131"/>
  <c r="T57" i="131"/>
  <c r="R57" i="131"/>
  <c r="H57" i="131"/>
  <c r="V57" i="131" s="1"/>
  <c r="G57" i="131"/>
  <c r="D57" i="131"/>
  <c r="C57" i="131"/>
  <c r="U56" i="131"/>
  <c r="T56" i="131"/>
  <c r="H56" i="131"/>
  <c r="V56" i="131" s="1"/>
  <c r="G56" i="131"/>
  <c r="D56" i="131"/>
  <c r="C56" i="131"/>
  <c r="U55" i="131"/>
  <c r="T55" i="131"/>
  <c r="R55" i="131"/>
  <c r="H55" i="131"/>
  <c r="V55" i="131" s="1"/>
  <c r="G55" i="131"/>
  <c r="D55" i="131"/>
  <c r="C55" i="131"/>
  <c r="U54" i="131"/>
  <c r="T54" i="131"/>
  <c r="H54" i="131"/>
  <c r="V54" i="131" s="1"/>
  <c r="G54" i="131"/>
  <c r="D54" i="131"/>
  <c r="C54" i="131"/>
  <c r="U53" i="131"/>
  <c r="T53" i="131"/>
  <c r="H53" i="131"/>
  <c r="V53" i="131" s="1"/>
  <c r="G53" i="131"/>
  <c r="D53" i="131"/>
  <c r="C53" i="131"/>
  <c r="U52" i="131"/>
  <c r="T52" i="131"/>
  <c r="H52" i="131"/>
  <c r="V52" i="131" s="1"/>
  <c r="G52" i="131"/>
  <c r="D52" i="131"/>
  <c r="C52" i="131"/>
  <c r="U51" i="131"/>
  <c r="T51" i="131"/>
  <c r="H51" i="131"/>
  <c r="V51" i="131" s="1"/>
  <c r="G51" i="131"/>
  <c r="D51" i="131"/>
  <c r="C51" i="131"/>
  <c r="AC50" i="131"/>
  <c r="AB50" i="131"/>
  <c r="AA50" i="131"/>
  <c r="Z50" i="131"/>
  <c r="Y50" i="131"/>
  <c r="U50" i="131"/>
  <c r="T50" i="131"/>
  <c r="H50" i="131"/>
  <c r="V50" i="131" s="1"/>
  <c r="G50" i="131"/>
  <c r="D50" i="131"/>
  <c r="C50" i="131"/>
  <c r="AC49" i="131"/>
  <c r="AB49" i="131"/>
  <c r="AA49" i="131"/>
  <c r="Z49" i="131"/>
  <c r="Y49" i="131"/>
  <c r="U49" i="131"/>
  <c r="T49" i="131"/>
  <c r="R49" i="131"/>
  <c r="H49" i="131"/>
  <c r="V49" i="131" s="1"/>
  <c r="G49" i="131"/>
  <c r="D49" i="131"/>
  <c r="C49" i="131"/>
  <c r="U48" i="131"/>
  <c r="T48" i="131"/>
  <c r="H48" i="131"/>
  <c r="V48" i="131" s="1"/>
  <c r="G48" i="131"/>
  <c r="D48" i="131"/>
  <c r="C48" i="131"/>
  <c r="U47" i="131"/>
  <c r="T47" i="131"/>
  <c r="S47" i="131"/>
  <c r="R47" i="131"/>
  <c r="AD46" i="131" s="1"/>
  <c r="H47" i="131"/>
  <c r="V47" i="131" s="1"/>
  <c r="G47" i="131"/>
  <c r="D47" i="131"/>
  <c r="C47" i="131"/>
  <c r="U46" i="131"/>
  <c r="T46" i="131"/>
  <c r="H46" i="131"/>
  <c r="V46" i="131" s="1"/>
  <c r="G46" i="131"/>
  <c r="D46" i="131"/>
  <c r="C46" i="131"/>
  <c r="AC45" i="131"/>
  <c r="AB45" i="131"/>
  <c r="AA45" i="131"/>
  <c r="Z45" i="131"/>
  <c r="Y45" i="131"/>
  <c r="U45" i="131"/>
  <c r="T45" i="131"/>
  <c r="H45" i="131"/>
  <c r="V45" i="131" s="1"/>
  <c r="G45" i="131"/>
  <c r="D45" i="131"/>
  <c r="C45" i="131"/>
  <c r="AC44" i="131"/>
  <c r="AB44" i="131"/>
  <c r="AA44" i="131"/>
  <c r="Z44" i="131"/>
  <c r="Y44" i="131"/>
  <c r="U44" i="131"/>
  <c r="T44" i="131"/>
  <c r="R44" i="131"/>
  <c r="H44" i="131"/>
  <c r="V44" i="131" s="1"/>
  <c r="G44" i="131"/>
  <c r="D44" i="131"/>
  <c r="C44" i="131"/>
  <c r="U43" i="131"/>
  <c r="T43" i="131"/>
  <c r="H43" i="131"/>
  <c r="V43" i="131" s="1"/>
  <c r="G43" i="131"/>
  <c r="D43" i="131"/>
  <c r="C43" i="131"/>
  <c r="U42" i="131"/>
  <c r="T42" i="131"/>
  <c r="S42" i="131"/>
  <c r="R42" i="131"/>
  <c r="H42" i="131"/>
  <c r="V42" i="131" s="1"/>
  <c r="G42" i="131"/>
  <c r="D42" i="131"/>
  <c r="C42" i="131"/>
  <c r="AD41" i="131"/>
  <c r="U41" i="131"/>
  <c r="T41" i="131"/>
  <c r="H41" i="131"/>
  <c r="V41" i="131" s="1"/>
  <c r="G41" i="131"/>
  <c r="D41" i="131"/>
  <c r="C41" i="131"/>
  <c r="AC40" i="131"/>
  <c r="AB40" i="131"/>
  <c r="AA40" i="131"/>
  <c r="Z40" i="131"/>
  <c r="Y40" i="131"/>
  <c r="U40" i="131"/>
  <c r="T40" i="131"/>
  <c r="H40" i="131"/>
  <c r="V40" i="131" s="1"/>
  <c r="G40" i="131"/>
  <c r="D40" i="131"/>
  <c r="C40" i="131"/>
  <c r="AC39" i="131"/>
  <c r="AB39" i="131"/>
  <c r="AA39" i="131"/>
  <c r="Z39" i="131"/>
  <c r="Y39" i="131"/>
  <c r="U39" i="131"/>
  <c r="T39" i="131"/>
  <c r="R39" i="131"/>
  <c r="H39" i="131"/>
  <c r="V39" i="131" s="1"/>
  <c r="G39" i="131"/>
  <c r="D39" i="131"/>
  <c r="C39" i="131"/>
  <c r="U38" i="131"/>
  <c r="T38" i="131"/>
  <c r="H38" i="131"/>
  <c r="V38" i="131" s="1"/>
  <c r="G38" i="131"/>
  <c r="D38" i="131"/>
  <c r="C38" i="131"/>
  <c r="U37" i="131"/>
  <c r="T37" i="131"/>
  <c r="R37" i="131"/>
  <c r="AD36" i="131" s="1"/>
  <c r="H37" i="131"/>
  <c r="V37" i="131" s="1"/>
  <c r="G37" i="131"/>
  <c r="D37" i="131"/>
  <c r="C37" i="131"/>
  <c r="U36" i="131"/>
  <c r="T36" i="131"/>
  <c r="H36" i="131"/>
  <c r="V36" i="131" s="1"/>
  <c r="G36" i="131"/>
  <c r="D36" i="131"/>
  <c r="C36" i="131"/>
  <c r="AC35" i="131"/>
  <c r="AB35" i="131"/>
  <c r="AA35" i="131"/>
  <c r="Z35" i="131"/>
  <c r="Y35" i="131"/>
  <c r="U35" i="131"/>
  <c r="T35" i="131"/>
  <c r="H35" i="131"/>
  <c r="V35" i="131" s="1"/>
  <c r="G35" i="131"/>
  <c r="D35" i="131"/>
  <c r="C35" i="131"/>
  <c r="AC34" i="131"/>
  <c r="AB34" i="131"/>
  <c r="AA34" i="131"/>
  <c r="Z34" i="131"/>
  <c r="Y34" i="131"/>
  <c r="U34" i="131"/>
  <c r="T34" i="131"/>
  <c r="R34" i="131"/>
  <c r="H34" i="131"/>
  <c r="V34" i="131" s="1"/>
  <c r="G34" i="131"/>
  <c r="D34" i="131"/>
  <c r="C34" i="131"/>
  <c r="U33" i="131"/>
  <c r="T33" i="131"/>
  <c r="H33" i="131"/>
  <c r="V33" i="131" s="1"/>
  <c r="G33" i="131"/>
  <c r="D33" i="131"/>
  <c r="C33" i="131"/>
  <c r="U32" i="131"/>
  <c r="T32" i="131"/>
  <c r="R32" i="131"/>
  <c r="AD31" i="131" s="1"/>
  <c r="H32" i="131"/>
  <c r="V32" i="131" s="1"/>
  <c r="G32" i="131"/>
  <c r="D32" i="131"/>
  <c r="C32" i="131"/>
  <c r="U31" i="131"/>
  <c r="T31" i="131"/>
  <c r="H31" i="131"/>
  <c r="V31" i="131" s="1"/>
  <c r="G31" i="131"/>
  <c r="D31" i="131"/>
  <c r="C31" i="131"/>
  <c r="AC30" i="131"/>
  <c r="AB30" i="131"/>
  <c r="AA30" i="131"/>
  <c r="Z30" i="131"/>
  <c r="Y30" i="131"/>
  <c r="U30" i="131"/>
  <c r="T30" i="131"/>
  <c r="H30" i="131"/>
  <c r="V30" i="131" s="1"/>
  <c r="G30" i="131"/>
  <c r="D30" i="131"/>
  <c r="C30" i="131"/>
  <c r="AC29" i="131"/>
  <c r="AB29" i="131"/>
  <c r="AA29" i="131"/>
  <c r="Z29" i="131"/>
  <c r="Y29" i="131"/>
  <c r="U29" i="131"/>
  <c r="T29" i="131"/>
  <c r="R29" i="131"/>
  <c r="H29" i="131"/>
  <c r="V29" i="131" s="1"/>
  <c r="G29" i="131"/>
  <c r="D29" i="131"/>
  <c r="C29" i="131"/>
  <c r="U28" i="131"/>
  <c r="T28" i="131"/>
  <c r="H28" i="131"/>
  <c r="V28" i="131" s="1"/>
  <c r="G28" i="131"/>
  <c r="D28" i="131"/>
  <c r="C28" i="131"/>
  <c r="U27" i="131"/>
  <c r="T27" i="131"/>
  <c r="S27" i="131"/>
  <c r="R27" i="131"/>
  <c r="AD26" i="131" s="1"/>
  <c r="H27" i="131"/>
  <c r="V27" i="131" s="1"/>
  <c r="G27" i="131"/>
  <c r="D27" i="131"/>
  <c r="C27" i="131"/>
  <c r="U26" i="131"/>
  <c r="T26" i="131"/>
  <c r="H26" i="131"/>
  <c r="V26" i="131" s="1"/>
  <c r="G26" i="131"/>
  <c r="D26" i="131"/>
  <c r="C26" i="131"/>
  <c r="U25" i="131"/>
  <c r="T25" i="131"/>
  <c r="H25" i="131"/>
  <c r="V25" i="131" s="1"/>
  <c r="G25" i="131"/>
  <c r="D25" i="131"/>
  <c r="C25" i="131"/>
  <c r="U24" i="131"/>
  <c r="T24" i="131"/>
  <c r="H24" i="131"/>
  <c r="V24" i="131" s="1"/>
  <c r="G24" i="131"/>
  <c r="D24" i="131"/>
  <c r="C24" i="131"/>
  <c r="U23" i="131"/>
  <c r="T23" i="131"/>
  <c r="H23" i="131"/>
  <c r="V23" i="131" s="1"/>
  <c r="G23" i="131"/>
  <c r="D23" i="131"/>
  <c r="C23" i="131"/>
  <c r="U22" i="131"/>
  <c r="T22" i="131"/>
  <c r="R22" i="131"/>
  <c r="H22" i="131"/>
  <c r="V22" i="131" s="1"/>
  <c r="G22" i="131"/>
  <c r="D22" i="131"/>
  <c r="C22" i="131"/>
  <c r="U21" i="131"/>
  <c r="T21" i="131"/>
  <c r="R21" i="131"/>
  <c r="H21" i="131"/>
  <c r="V21" i="131" s="1"/>
  <c r="G21" i="131"/>
  <c r="D21" i="131"/>
  <c r="C21" i="131"/>
  <c r="U20" i="131"/>
  <c r="T20" i="131"/>
  <c r="R20" i="131"/>
  <c r="H20" i="131"/>
  <c r="V20" i="131" s="1"/>
  <c r="G20" i="131"/>
  <c r="D20" i="131"/>
  <c r="C20" i="131"/>
  <c r="U19" i="131"/>
  <c r="T19" i="131"/>
  <c r="R19" i="131"/>
  <c r="H19" i="131"/>
  <c r="V19" i="131" s="1"/>
  <c r="G19" i="131"/>
  <c r="D19" i="131"/>
  <c r="C19" i="131"/>
  <c r="U18" i="131"/>
  <c r="T18" i="131"/>
  <c r="R18" i="131"/>
  <c r="H18" i="131"/>
  <c r="V18" i="131" s="1"/>
  <c r="G18" i="131"/>
  <c r="D18" i="131"/>
  <c r="C18" i="131"/>
  <c r="U17" i="131"/>
  <c r="T17" i="131"/>
  <c r="R17" i="131"/>
  <c r="H17" i="131"/>
  <c r="V17" i="131" s="1"/>
  <c r="G17" i="131"/>
  <c r="D17" i="131"/>
  <c r="C17" i="131"/>
  <c r="U16" i="131"/>
  <c r="T16" i="131"/>
  <c r="R16" i="131"/>
  <c r="H16" i="131"/>
  <c r="V16" i="131" s="1"/>
  <c r="G16" i="131"/>
  <c r="D16" i="131"/>
  <c r="C16" i="131"/>
  <c r="U15" i="131"/>
  <c r="T15" i="131"/>
  <c r="R15" i="131"/>
  <c r="H15" i="131"/>
  <c r="V15" i="131" s="1"/>
  <c r="G15" i="131"/>
  <c r="D15" i="131"/>
  <c r="C15" i="131"/>
  <c r="U14" i="131"/>
  <c r="T14" i="131"/>
  <c r="R14" i="131"/>
  <c r="H14" i="131"/>
  <c r="V14" i="131" s="1"/>
  <c r="G14" i="131"/>
  <c r="D14" i="131"/>
  <c r="C14" i="131"/>
  <c r="U13" i="131"/>
  <c r="T13" i="131"/>
  <c r="R13" i="131"/>
  <c r="AD13" i="131" s="1"/>
  <c r="H13" i="131"/>
  <c r="V13" i="131" s="1"/>
  <c r="G13" i="131"/>
  <c r="D13" i="131"/>
  <c r="C13" i="131"/>
  <c r="U12" i="131"/>
  <c r="T12" i="131"/>
  <c r="H12" i="131"/>
  <c r="V12" i="131" s="1"/>
  <c r="G12" i="131"/>
  <c r="D12" i="131"/>
  <c r="C12" i="131"/>
  <c r="U11" i="131"/>
  <c r="T11" i="131"/>
  <c r="H11" i="131"/>
  <c r="V11" i="131" s="1"/>
  <c r="G11" i="131"/>
  <c r="D11" i="131"/>
  <c r="C11" i="131"/>
  <c r="U10" i="131"/>
  <c r="T10" i="131"/>
  <c r="H10" i="131"/>
  <c r="V10" i="131" s="1"/>
  <c r="G10" i="131"/>
  <c r="D10" i="131"/>
  <c r="C10" i="131"/>
  <c r="U9" i="131"/>
  <c r="T9" i="131"/>
  <c r="H9" i="131"/>
  <c r="V9" i="131" s="1"/>
  <c r="G9" i="131"/>
  <c r="D9" i="131"/>
  <c r="C9" i="131"/>
  <c r="AC8" i="131"/>
  <c r="AG9" i="131" s="1"/>
  <c r="AQ9" i="131" s="1"/>
  <c r="AB8" i="131"/>
  <c r="AA8" i="131"/>
  <c r="Z8" i="131"/>
  <c r="Y8" i="131"/>
  <c r="U8" i="131"/>
  <c r="T8" i="131"/>
  <c r="R8" i="131"/>
  <c r="H8" i="131"/>
  <c r="V8" i="131" s="1"/>
  <c r="G8" i="131"/>
  <c r="D8" i="131"/>
  <c r="C8" i="131"/>
  <c r="AG7" i="131"/>
  <c r="U7" i="131"/>
  <c r="T7" i="131"/>
  <c r="H7" i="131"/>
  <c r="V7" i="131" s="1"/>
  <c r="G7" i="131"/>
  <c r="D7" i="131"/>
  <c r="C7" i="131"/>
  <c r="U6" i="131"/>
  <c r="T6" i="131"/>
  <c r="H6" i="131"/>
  <c r="V6" i="131" s="1"/>
  <c r="G6" i="131"/>
  <c r="D6" i="131"/>
  <c r="C6" i="131"/>
  <c r="AK5" i="131"/>
  <c r="AJ5" i="131"/>
  <c r="AA7" i="131" s="1"/>
  <c r="AI5" i="131"/>
  <c r="AC61" i="131" s="1"/>
  <c r="AG3" i="131"/>
  <c r="C2" i="131" a="1"/>
  <c r="C2" i="131" s="1"/>
  <c r="B2" i="131" a="1"/>
  <c r="B2" i="131" s="1"/>
  <c r="C1" i="131"/>
  <c r="B1" i="131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5" i="133" a="1"/>
  <c r="AL5" i="133" a="1"/>
  <c r="AP107" i="133" a="1"/>
  <c r="AL107" i="133" a="1"/>
  <c r="AM106" i="133" a="1"/>
  <c r="AO5" i="133" a="1"/>
  <c r="AO107" i="133" a="1"/>
  <c r="AP106" i="133" a="1"/>
  <c r="AL106" i="133" a="1"/>
  <c r="AN5" i="133" a="1"/>
  <c r="AN107" i="133" a="1"/>
  <c r="AO106" i="133" a="1"/>
  <c r="AM5" i="133" a="1"/>
  <c r="AM107" i="133" a="1"/>
  <c r="AN106" i="133" a="1"/>
  <c r="AP5" i="132" a="1"/>
  <c r="AL5" i="132" a="1"/>
  <c r="AP107" i="132" a="1"/>
  <c r="AL107" i="132" a="1"/>
  <c r="AM106" i="132" a="1"/>
  <c r="AO5" i="132" a="1"/>
  <c r="AO107" i="132" a="1"/>
  <c r="AP106" i="132" a="1"/>
  <c r="AL106" i="132" a="1"/>
  <c r="AN5" i="132" a="1"/>
  <c r="AN107" i="132" a="1"/>
  <c r="AO106" i="132" a="1"/>
  <c r="AM5" i="132" a="1"/>
  <c r="AM107" i="132" a="1"/>
  <c r="AN106" i="132" a="1"/>
  <c r="AP5" i="131" a="1"/>
  <c r="AL5" i="131" a="1"/>
  <c r="AP107" i="131" a="1"/>
  <c r="AL107" i="131" a="1"/>
  <c r="AM106" i="131" a="1"/>
  <c r="AO5" i="131" a="1"/>
  <c r="AO107" i="131" a="1"/>
  <c r="AP106" i="131" a="1"/>
  <c r="AL106" i="131" a="1"/>
  <c r="AN5" i="131" a="1"/>
  <c r="AN107" i="131" a="1"/>
  <c r="AO106" i="131" a="1"/>
  <c r="AM5" i="131" a="1"/>
  <c r="AM107" i="131" a="1"/>
  <c r="AN106" i="131" a="1"/>
  <c r="AL107" i="4" a="1"/>
  <c r="AL5" i="4" a="1"/>
  <c r="AO106" i="4" a="1"/>
  <c r="AM5" i="4" a="1"/>
  <c r="AN106" i="4" a="1"/>
  <c r="AM106" i="4" a="1"/>
  <c r="AP106" i="4" a="1"/>
  <c r="AN5" i="4" a="1"/>
  <c r="AM107" i="4" a="1"/>
  <c r="AN107" i="4" a="1"/>
  <c r="AL106" i="4" a="1"/>
  <c r="AO5" i="4" a="1"/>
  <c r="AO107" i="4" a="1"/>
  <c r="AP5" i="4" a="1"/>
  <c r="AP107" i="4" a="1"/>
  <c r="AA14" i="133" l="1"/>
  <c r="AC21" i="133"/>
  <c r="AA22" i="133"/>
  <c r="AA15" i="133"/>
  <c r="AC15" i="133"/>
  <c r="Y16" i="133"/>
  <c r="AC18" i="133"/>
  <c r="Y19" i="133"/>
  <c r="AA16" i="133"/>
  <c r="AC19" i="133"/>
  <c r="AA20" i="133"/>
  <c r="Y21" i="133"/>
  <c r="AC13" i="133"/>
  <c r="Y14" i="133"/>
  <c r="Y27" i="133"/>
  <c r="AC14" i="133"/>
  <c r="Y15" i="133"/>
  <c r="AB7" i="133"/>
  <c r="AC7" i="133"/>
  <c r="AC27" i="133"/>
  <c r="Y7" i="133"/>
  <c r="Y13" i="133"/>
  <c r="AC16" i="133"/>
  <c r="Y17" i="133"/>
  <c r="AA7" i="133"/>
  <c r="AA13" i="133"/>
  <c r="AC17" i="133"/>
  <c r="Y18" i="133"/>
  <c r="AD57" i="133"/>
  <c r="AD55" i="133"/>
  <c r="AG14" i="133"/>
  <c r="S32" i="133"/>
  <c r="AD42" i="133"/>
  <c r="AD37" i="133"/>
  <c r="AD47" i="133"/>
  <c r="AD32" i="133"/>
  <c r="AG9" i="133"/>
  <c r="AQ9" i="133" s="1"/>
  <c r="AB36" i="133"/>
  <c r="AG5" i="133"/>
  <c r="AC36" i="133"/>
  <c r="Y41" i="133"/>
  <c r="AA46" i="133"/>
  <c r="Y26" i="133"/>
  <c r="Y31" i="133"/>
  <c r="AA26" i="133"/>
  <c r="AC41" i="133"/>
  <c r="AG2" i="133"/>
  <c r="Z41" i="133"/>
  <c r="AB26" i="133"/>
  <c r="Z36" i="133"/>
  <c r="Z31" i="133"/>
  <c r="Y36" i="133"/>
  <c r="AA31" i="133"/>
  <c r="AC26" i="133"/>
  <c r="AB46" i="133"/>
  <c r="Z26" i="133"/>
  <c r="AB41" i="133"/>
  <c r="AG4" i="133"/>
  <c r="AB31" i="133"/>
  <c r="AA36" i="133"/>
  <c r="Y46" i="133"/>
  <c r="AC46" i="133"/>
  <c r="AC31" i="133"/>
  <c r="AA41" i="133"/>
  <c r="Z46" i="133"/>
  <c r="AN106" i="133"/>
  <c r="AM107" i="133"/>
  <c r="AM5" i="133"/>
  <c r="AO106" i="133"/>
  <c r="AN107" i="133"/>
  <c r="AN5" i="133"/>
  <c r="AL106" i="133"/>
  <c r="AP106" i="133"/>
  <c r="AO107" i="133"/>
  <c r="AO5" i="133"/>
  <c r="AM106" i="133"/>
  <c r="AL107" i="133"/>
  <c r="AP107" i="133"/>
  <c r="AL5" i="133"/>
  <c r="AP5" i="133"/>
  <c r="AG6" i="133"/>
  <c r="AQ6" i="133" s="1"/>
  <c r="AQ5" i="133" s="1"/>
  <c r="Z13" i="133"/>
  <c r="Z14" i="133"/>
  <c r="Z15" i="133"/>
  <c r="Z16" i="133"/>
  <c r="Z17" i="133"/>
  <c r="Z18" i="133"/>
  <c r="Z19" i="133"/>
  <c r="AB20" i="133"/>
  <c r="AD27" i="133"/>
  <c r="AG15" i="133" s="1"/>
  <c r="AB32" i="133"/>
  <c r="Z37" i="133"/>
  <c r="AC55" i="133"/>
  <c r="AA59" i="133"/>
  <c r="AD61" i="133"/>
  <c r="Y63" i="133"/>
  <c r="AA17" i="133"/>
  <c r="AA18" i="133"/>
  <c r="AA19" i="133"/>
  <c r="AC20" i="133"/>
  <c r="Y22" i="133"/>
  <c r="AC32" i="133"/>
  <c r="AA37" i="133"/>
  <c r="Y42" i="133"/>
  <c r="Y57" i="133"/>
  <c r="AB59" i="133"/>
  <c r="Z63" i="133"/>
  <c r="AB13" i="133"/>
  <c r="AB14" i="133"/>
  <c r="AB15" i="133"/>
  <c r="AB16" i="133"/>
  <c r="AB17" i="133"/>
  <c r="AB18" i="133"/>
  <c r="AB19" i="133"/>
  <c r="Z22" i="133"/>
  <c r="AB37" i="133"/>
  <c r="Z42" i="133"/>
  <c r="Z57" i="133"/>
  <c r="AC59" i="133"/>
  <c r="AA63" i="133"/>
  <c r="AC37" i="133"/>
  <c r="AA42" i="133"/>
  <c r="Y47" i="133"/>
  <c r="AA57" i="133"/>
  <c r="Y61" i="133"/>
  <c r="AB63" i="133"/>
  <c r="AD13" i="133"/>
  <c r="AG11" i="133" s="1"/>
  <c r="AQ11" i="133" s="1"/>
  <c r="Z21" i="133"/>
  <c r="AB22" i="133"/>
  <c r="Z27" i="133"/>
  <c r="AB42" i="133"/>
  <c r="Z47" i="133"/>
  <c r="Y55" i="133"/>
  <c r="AB57" i="133"/>
  <c r="Z61" i="133"/>
  <c r="AC63" i="133"/>
  <c r="Y20" i="133"/>
  <c r="AA21" i="133"/>
  <c r="AC22" i="133"/>
  <c r="AA27" i="133"/>
  <c r="Y32" i="133"/>
  <c r="AC42" i="133"/>
  <c r="AA47" i="133"/>
  <c r="Z55" i="133"/>
  <c r="AC57" i="133"/>
  <c r="AA61" i="133"/>
  <c r="AD63" i="133"/>
  <c r="Z20" i="133"/>
  <c r="AB21" i="133"/>
  <c r="AB27" i="133"/>
  <c r="Z32" i="133"/>
  <c r="AB47" i="133"/>
  <c r="AA55" i="133"/>
  <c r="Y59" i="133"/>
  <c r="AB61" i="133"/>
  <c r="AA32" i="133"/>
  <c r="Y37" i="133"/>
  <c r="AC47" i="133"/>
  <c r="AB55" i="133"/>
  <c r="Z59" i="133"/>
  <c r="AC7" i="132"/>
  <c r="AB18" i="132"/>
  <c r="Z19" i="132"/>
  <c r="Z22" i="132"/>
  <c r="AB15" i="132"/>
  <c r="Z16" i="132"/>
  <c r="Z37" i="132"/>
  <c r="AA59" i="132"/>
  <c r="AB16" i="132"/>
  <c r="Z17" i="132"/>
  <c r="AC22" i="132"/>
  <c r="AA27" i="132"/>
  <c r="AB37" i="132"/>
  <c r="AB17" i="132"/>
  <c r="Z18" i="132"/>
  <c r="Y63" i="132"/>
  <c r="AB19" i="132"/>
  <c r="Y20" i="132"/>
  <c r="Y32" i="132"/>
  <c r="Z13" i="132"/>
  <c r="Z20" i="132"/>
  <c r="AB32" i="132"/>
  <c r="Z42" i="132"/>
  <c r="AC55" i="132"/>
  <c r="AB13" i="132"/>
  <c r="Z14" i="132"/>
  <c r="AB20" i="132"/>
  <c r="AC42" i="132"/>
  <c r="AB14" i="132"/>
  <c r="Z15" i="132"/>
  <c r="AA21" i="132"/>
  <c r="AD57" i="132"/>
  <c r="AD59" i="132"/>
  <c r="AG5" i="132"/>
  <c r="Z36" i="132"/>
  <c r="AB41" i="132"/>
  <c r="AC26" i="132"/>
  <c r="AB36" i="132"/>
  <c r="Y36" i="132"/>
  <c r="AA46" i="132"/>
  <c r="AA31" i="132"/>
  <c r="Z41" i="132"/>
  <c r="AA36" i="132"/>
  <c r="AB46" i="132"/>
  <c r="AC46" i="132"/>
  <c r="Z26" i="132"/>
  <c r="AB31" i="132"/>
  <c r="Z46" i="132"/>
  <c r="AG4" i="132"/>
  <c r="AC31" i="132"/>
  <c r="AB26" i="132"/>
  <c r="Y26" i="132"/>
  <c r="AC36" i="132"/>
  <c r="AC41" i="132"/>
  <c r="AA26" i="132"/>
  <c r="Z31" i="132"/>
  <c r="Y46" i="132"/>
  <c r="Y31" i="132"/>
  <c r="AA41" i="132"/>
  <c r="Y41" i="132"/>
  <c r="AN106" i="132"/>
  <c r="AM107" i="132"/>
  <c r="AM5" i="132"/>
  <c r="AO106" i="132"/>
  <c r="AN107" i="132"/>
  <c r="AN5" i="132"/>
  <c r="AL106" i="132"/>
  <c r="AP106" i="132"/>
  <c r="AO107" i="132"/>
  <c r="AO5" i="132"/>
  <c r="AM106" i="132"/>
  <c r="AL107" i="132"/>
  <c r="AP107" i="132"/>
  <c r="AL5" i="132"/>
  <c r="AP5" i="132"/>
  <c r="AD42" i="132"/>
  <c r="AG11" i="132"/>
  <c r="AQ11" i="132" s="1"/>
  <c r="AG6" i="132"/>
  <c r="AQ6" i="132" s="1"/>
  <c r="AG2" i="132"/>
  <c r="AD61" i="132"/>
  <c r="AA13" i="132"/>
  <c r="AA14" i="132"/>
  <c r="AA15" i="132"/>
  <c r="AA16" i="132"/>
  <c r="AA17" i="132"/>
  <c r="AA18" i="132"/>
  <c r="AA19" i="132"/>
  <c r="AC20" i="132"/>
  <c r="Y22" i="132"/>
  <c r="AD26" i="132"/>
  <c r="AG14" i="132" s="1"/>
  <c r="S32" i="132"/>
  <c r="AD47" i="132" s="1"/>
  <c r="AC32" i="132"/>
  <c r="AA37" i="132"/>
  <c r="Y42" i="132"/>
  <c r="AD46" i="132"/>
  <c r="AD55" i="132"/>
  <c r="AG18" i="132" s="1"/>
  <c r="AQ18" i="132" s="1"/>
  <c r="Y57" i="132"/>
  <c r="AB59" i="132"/>
  <c r="Z63" i="132"/>
  <c r="Z57" i="132"/>
  <c r="AC59" i="132"/>
  <c r="AA63" i="132"/>
  <c r="AC13" i="132"/>
  <c r="AC14" i="132"/>
  <c r="AC15" i="132"/>
  <c r="AC16" i="132"/>
  <c r="AC17" i="132"/>
  <c r="AC18" i="132"/>
  <c r="AC19" i="132"/>
  <c r="Y21" i="132"/>
  <c r="AA22" i="132"/>
  <c r="Y27" i="132"/>
  <c r="S37" i="132"/>
  <c r="AD37" i="132" s="1"/>
  <c r="AC37" i="132"/>
  <c r="AA42" i="132"/>
  <c r="Y47" i="132"/>
  <c r="AA57" i="132"/>
  <c r="Y61" i="132"/>
  <c r="AB63" i="132"/>
  <c r="Y7" i="132"/>
  <c r="Z21" i="132"/>
  <c r="AB22" i="132"/>
  <c r="Z27" i="132"/>
  <c r="AB42" i="132"/>
  <c r="Z47" i="132"/>
  <c r="Y55" i="132"/>
  <c r="AB57" i="132"/>
  <c r="Z61" i="132"/>
  <c r="AC63" i="132"/>
  <c r="Z7" i="132"/>
  <c r="AA47" i="132"/>
  <c r="Z55" i="132"/>
  <c r="AC57" i="132"/>
  <c r="AA61" i="132"/>
  <c r="AA7" i="132"/>
  <c r="AB21" i="132"/>
  <c r="AB27" i="132"/>
  <c r="Z32" i="132"/>
  <c r="AB47" i="132"/>
  <c r="AA55" i="132"/>
  <c r="Y59" i="132"/>
  <c r="AB61" i="132"/>
  <c r="Y13" i="132"/>
  <c r="Y14" i="132"/>
  <c r="Y15" i="132"/>
  <c r="Y16" i="132"/>
  <c r="Y17" i="132"/>
  <c r="Y18" i="132"/>
  <c r="Y19" i="132"/>
  <c r="AA20" i="132"/>
  <c r="AC21" i="132"/>
  <c r="AC27" i="132"/>
  <c r="AA32" i="132"/>
  <c r="Y37" i="132"/>
  <c r="AC47" i="132"/>
  <c r="AB55" i="132"/>
  <c r="Z59" i="132"/>
  <c r="AA16" i="131"/>
  <c r="AC16" i="131"/>
  <c r="Y17" i="131"/>
  <c r="AB18" i="131"/>
  <c r="AC19" i="131"/>
  <c r="Y20" i="131"/>
  <c r="AA27" i="131"/>
  <c r="Z20" i="131"/>
  <c r="Y13" i="131"/>
  <c r="AC13" i="131"/>
  <c r="Y14" i="131"/>
  <c r="Z14" i="131"/>
  <c r="AC15" i="131"/>
  <c r="Y16" i="131"/>
  <c r="AB16" i="131"/>
  <c r="Z16" i="131"/>
  <c r="AC18" i="131"/>
  <c r="Y19" i="131"/>
  <c r="AB20" i="131"/>
  <c r="AA14" i="131"/>
  <c r="AC17" i="131"/>
  <c r="Y18" i="131"/>
  <c r="AC20" i="131"/>
  <c r="Y21" i="131"/>
  <c r="Z22" i="131"/>
  <c r="AB14" i="131"/>
  <c r="Z18" i="131"/>
  <c r="AA22" i="131"/>
  <c r="AC14" i="131"/>
  <c r="Y15" i="131"/>
  <c r="AA18" i="131"/>
  <c r="Y27" i="131"/>
  <c r="AA32" i="131"/>
  <c r="AA20" i="131"/>
  <c r="AC22" i="131"/>
  <c r="AB32" i="131"/>
  <c r="Z13" i="131"/>
  <c r="Z15" i="131"/>
  <c r="Z17" i="131"/>
  <c r="Z19" i="131"/>
  <c r="AA21" i="131"/>
  <c r="AB27" i="131"/>
  <c r="AB37" i="131"/>
  <c r="AB7" i="131"/>
  <c r="AA13" i="131"/>
  <c r="AA15" i="131"/>
  <c r="AA17" i="131"/>
  <c r="AA19" i="131"/>
  <c r="AB21" i="131"/>
  <c r="AC27" i="131"/>
  <c r="AC7" i="131"/>
  <c r="AB13" i="131"/>
  <c r="AB15" i="131"/>
  <c r="AB17" i="131"/>
  <c r="AB19" i="131"/>
  <c r="AC21" i="131"/>
  <c r="Y22" i="131"/>
  <c r="AD63" i="131"/>
  <c r="AD57" i="131"/>
  <c r="AD61" i="131"/>
  <c r="AD59" i="131"/>
  <c r="AD21" i="131"/>
  <c r="AD14" i="131"/>
  <c r="AD16" i="131"/>
  <c r="AD18" i="131"/>
  <c r="AD20" i="131"/>
  <c r="AD22" i="131"/>
  <c r="AD15" i="131"/>
  <c r="AD17" i="131"/>
  <c r="AD19" i="131"/>
  <c r="AA26" i="131"/>
  <c r="Z46" i="131"/>
  <c r="AB46" i="131"/>
  <c r="Z31" i="131"/>
  <c r="AG5" i="131"/>
  <c r="AB31" i="131"/>
  <c r="AB26" i="131"/>
  <c r="AC31" i="131"/>
  <c r="Z36" i="131"/>
  <c r="AB41" i="131"/>
  <c r="AB36" i="131"/>
  <c r="AC36" i="131"/>
  <c r="AG2" i="131"/>
  <c r="AA36" i="131"/>
  <c r="AC41" i="131"/>
  <c r="Y41" i="131"/>
  <c r="AA46" i="131"/>
  <c r="Y46" i="131"/>
  <c r="Y36" i="131"/>
  <c r="AC46" i="131"/>
  <c r="AC26" i="131"/>
  <c r="AA41" i="131"/>
  <c r="AA31" i="131"/>
  <c r="AG4" i="131"/>
  <c r="Y26" i="131"/>
  <c r="Z26" i="131"/>
  <c r="Y31" i="131"/>
  <c r="Z41" i="131"/>
  <c r="AN106" i="131"/>
  <c r="AM107" i="131"/>
  <c r="AM5" i="131"/>
  <c r="AO106" i="131"/>
  <c r="AN107" i="131"/>
  <c r="AN5" i="131"/>
  <c r="AL106" i="131"/>
  <c r="AP106" i="131"/>
  <c r="AO107" i="131"/>
  <c r="AO5" i="131"/>
  <c r="AM106" i="131"/>
  <c r="AL107" i="131"/>
  <c r="AP107" i="131"/>
  <c r="AL5" i="131"/>
  <c r="AP5" i="131"/>
  <c r="AG14" i="131"/>
  <c r="AG6" i="131"/>
  <c r="AQ6" i="131" s="1"/>
  <c r="AD42" i="131"/>
  <c r="AD47" i="131"/>
  <c r="Z37" i="131"/>
  <c r="AC55" i="131"/>
  <c r="AA59" i="131"/>
  <c r="Y63" i="131"/>
  <c r="S32" i="131"/>
  <c r="AD32" i="131" s="1"/>
  <c r="AC32" i="131"/>
  <c r="AA37" i="131"/>
  <c r="Y42" i="131"/>
  <c r="AD55" i="131"/>
  <c r="AG18" i="131" s="1"/>
  <c r="AQ18" i="131" s="1"/>
  <c r="Y57" i="131"/>
  <c r="AB59" i="131"/>
  <c r="Z63" i="131"/>
  <c r="Z42" i="131"/>
  <c r="Z57" i="131"/>
  <c r="AC59" i="131"/>
  <c r="AA63" i="131"/>
  <c r="S37" i="131"/>
  <c r="AD37" i="131" s="1"/>
  <c r="AC37" i="131"/>
  <c r="AA42" i="131"/>
  <c r="Y47" i="131"/>
  <c r="AA57" i="131"/>
  <c r="Y61" i="131"/>
  <c r="AB63" i="131"/>
  <c r="Y7" i="131"/>
  <c r="Z21" i="131"/>
  <c r="AB22" i="131"/>
  <c r="Z27" i="131"/>
  <c r="AB42" i="131"/>
  <c r="Z47" i="131"/>
  <c r="Y55" i="131"/>
  <c r="AB57" i="131"/>
  <c r="Z61" i="131"/>
  <c r="AC63" i="131"/>
  <c r="Z7" i="131"/>
  <c r="Y32" i="131"/>
  <c r="AC42" i="131"/>
  <c r="AA47" i="131"/>
  <c r="Z55" i="131"/>
  <c r="AC57" i="131"/>
  <c r="AA61" i="131"/>
  <c r="Z32" i="131"/>
  <c r="AB47" i="131"/>
  <c r="AA55" i="131"/>
  <c r="Y59" i="131"/>
  <c r="AB61" i="131"/>
  <c r="Y37" i="131"/>
  <c r="AC47" i="131"/>
  <c r="AB55" i="131"/>
  <c r="Z59" i="131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O6" i="133" a="1"/>
  <c r="AM6" i="133" a="1"/>
  <c r="AN6" i="133" a="1"/>
  <c r="AL6" i="133" a="1"/>
  <c r="AP6" i="133" a="1"/>
  <c r="AO6" i="132" a="1"/>
  <c r="AM6" i="132" a="1"/>
  <c r="AN6" i="132" a="1"/>
  <c r="AL6" i="132" a="1"/>
  <c r="AP6" i="132" a="1"/>
  <c r="AO6" i="131" a="1"/>
  <c r="AM6" i="131" a="1"/>
  <c r="AN6" i="131" a="1"/>
  <c r="AL6" i="131" a="1"/>
  <c r="AP6" i="131" a="1"/>
  <c r="AM6" i="4" a="1"/>
  <c r="AO6" i="4" a="1"/>
  <c r="AL6" i="4" a="1"/>
  <c r="AP6" i="4" a="1"/>
  <c r="AN6" i="4" a="1"/>
  <c r="AG8" i="133" l="1"/>
  <c r="AQ8" i="133" s="1"/>
  <c r="AQ7" i="133" s="1"/>
  <c r="L5" i="133" s="1"/>
  <c r="AG18" i="133"/>
  <c r="AQ18" i="133" s="1"/>
  <c r="AQ4" i="133"/>
  <c r="AQ3" i="133" s="1"/>
  <c r="B3" i="133" s="1"/>
  <c r="AD43" i="133"/>
  <c r="AG12" i="133"/>
  <c r="AD48" i="133"/>
  <c r="AD28" i="133"/>
  <c r="AP6" i="133"/>
  <c r="AB48" i="133" s="1"/>
  <c r="AL6" i="133"/>
  <c r="Z28" i="133" s="1"/>
  <c r="AN6" i="133"/>
  <c r="AA38" i="133" s="1"/>
  <c r="AM6" i="133"/>
  <c r="AC33" i="133" s="1"/>
  <c r="AO6" i="133"/>
  <c r="Z43" i="133" s="1"/>
  <c r="AQ5" i="132"/>
  <c r="AQ4" i="132" s="1"/>
  <c r="AQ3" i="132" s="1"/>
  <c r="B3" i="132" s="1"/>
  <c r="AG17" i="133"/>
  <c r="AQ17" i="133" s="1"/>
  <c r="L52" i="133" s="1"/>
  <c r="AD33" i="133"/>
  <c r="AG10" i="133"/>
  <c r="AQ10" i="133" s="1"/>
  <c r="L10" i="133" s="1"/>
  <c r="AD38" i="133"/>
  <c r="AD33" i="132"/>
  <c r="AD48" i="132"/>
  <c r="AD28" i="132"/>
  <c r="AD38" i="132"/>
  <c r="AD43" i="132"/>
  <c r="AG12" i="132"/>
  <c r="AP6" i="132"/>
  <c r="AB48" i="132" s="1"/>
  <c r="AL6" i="132"/>
  <c r="Z28" i="132" s="1"/>
  <c r="AN6" i="132"/>
  <c r="AA38" i="132" s="1"/>
  <c r="AM6" i="132"/>
  <c r="AB33" i="132" s="1"/>
  <c r="AO6" i="132"/>
  <c r="Y43" i="132" s="1"/>
  <c r="AG8" i="132"/>
  <c r="AQ8" i="132" s="1"/>
  <c r="AQ7" i="132" s="1"/>
  <c r="L5" i="132" s="1"/>
  <c r="AG10" i="132"/>
  <c r="AQ10" i="132" s="1"/>
  <c r="L10" i="132" s="1"/>
  <c r="AG17" i="132"/>
  <c r="AQ17" i="132" s="1"/>
  <c r="L52" i="132" s="1"/>
  <c r="AD32" i="132"/>
  <c r="AD27" i="132"/>
  <c r="AG11" i="131"/>
  <c r="AQ11" i="131" s="1"/>
  <c r="AQ5" i="131"/>
  <c r="AQ4" i="131" s="1"/>
  <c r="AQ3" i="131" s="1"/>
  <c r="B3" i="131" s="1"/>
  <c r="AD33" i="131"/>
  <c r="AD48" i="131"/>
  <c r="AG12" i="131"/>
  <c r="AD38" i="131"/>
  <c r="AG10" i="131"/>
  <c r="AQ10" i="131" s="1"/>
  <c r="L10" i="131" s="1"/>
  <c r="AD28" i="131"/>
  <c r="AP6" i="131"/>
  <c r="Y48" i="131" s="1"/>
  <c r="AL6" i="131"/>
  <c r="AC28" i="131" s="1"/>
  <c r="AN6" i="131"/>
  <c r="Z38" i="131" s="1"/>
  <c r="AM6" i="131"/>
  <c r="AC33" i="131" s="1"/>
  <c r="AO6" i="131"/>
  <c r="AB43" i="131" s="1"/>
  <c r="AG8" i="131"/>
  <c r="AQ8" i="131" s="1"/>
  <c r="AQ7" i="131" s="1"/>
  <c r="L5" i="131" s="1"/>
  <c r="AD43" i="131"/>
  <c r="AG17" i="131"/>
  <c r="AQ17" i="131" s="1"/>
  <c r="L52" i="131" s="1"/>
  <c r="AD27" i="131"/>
  <c r="AG15" i="131" s="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B43" i="133" l="1"/>
  <c r="Y48" i="133"/>
  <c r="Z48" i="133"/>
  <c r="Y33" i="133"/>
  <c r="AC38" i="133"/>
  <c r="Z33" i="133"/>
  <c r="AB38" i="133"/>
  <c r="AA33" i="133"/>
  <c r="AB33" i="133"/>
  <c r="AC48" i="133"/>
  <c r="Y28" i="133"/>
  <c r="AA43" i="133"/>
  <c r="AB28" i="133"/>
  <c r="AC43" i="133"/>
  <c r="Y43" i="133"/>
  <c r="AA48" i="133"/>
  <c r="AG16" i="133"/>
  <c r="AQ16" i="133" s="1"/>
  <c r="AQ15" i="133" s="1"/>
  <c r="AQ14" i="133" s="1"/>
  <c r="Z33" i="132"/>
  <c r="AA28" i="133"/>
  <c r="Y38" i="133"/>
  <c r="AC28" i="133"/>
  <c r="Z38" i="133"/>
  <c r="Y38" i="132"/>
  <c r="AC33" i="132"/>
  <c r="AB38" i="132"/>
  <c r="Y33" i="132"/>
  <c r="Y28" i="132"/>
  <c r="AB43" i="132"/>
  <c r="AA33" i="132"/>
  <c r="Z48" i="132"/>
  <c r="AA48" i="132"/>
  <c r="AG16" i="132"/>
  <c r="AQ16" i="132" s="1"/>
  <c r="AC43" i="132"/>
  <c r="AC38" i="132"/>
  <c r="Z38" i="132"/>
  <c r="AA43" i="132"/>
  <c r="AA28" i="132"/>
  <c r="AC48" i="132"/>
  <c r="Z43" i="132"/>
  <c r="AB28" i="132"/>
  <c r="AC28" i="132"/>
  <c r="Y48" i="132"/>
  <c r="AG15" i="132"/>
  <c r="AC43" i="131"/>
  <c r="Y43" i="131"/>
  <c r="Z48" i="131"/>
  <c r="AB28" i="131"/>
  <c r="Z43" i="131"/>
  <c r="AA38" i="131"/>
  <c r="AB33" i="131"/>
  <c r="AA43" i="131"/>
  <c r="AG16" i="131"/>
  <c r="AQ16" i="131" s="1"/>
  <c r="AQ15" i="131" s="1"/>
  <c r="AQ14" i="131" s="1"/>
  <c r="Y33" i="131"/>
  <c r="Z33" i="131"/>
  <c r="AA33" i="131"/>
  <c r="AB48" i="131"/>
  <c r="AA48" i="131"/>
  <c r="AA28" i="131"/>
  <c r="AB38" i="131"/>
  <c r="Y28" i="131"/>
  <c r="Z28" i="131"/>
  <c r="AC48" i="131"/>
  <c r="AC38" i="131"/>
  <c r="Y38" i="131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133" l="1"/>
  <c r="AQ13" i="133" s="1"/>
  <c r="AQ12" i="133" s="1"/>
  <c r="L24" i="133" s="1"/>
  <c r="AQ15" i="132"/>
  <c r="AQ14" i="132" s="1"/>
  <c r="AG13" i="132"/>
  <c r="D1" i="132" s="1"/>
  <c r="F3" i="1" s="1"/>
  <c r="AG13" i="13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D1" i="133" l="1"/>
  <c r="F4" i="1" s="1"/>
  <c r="AQ13" i="132"/>
  <c r="AQ12" i="132" s="1"/>
  <c r="L24" i="132" s="1"/>
  <c r="AQ13" i="131"/>
  <c r="AQ12" i="131" s="1"/>
  <c r="L24" i="131" s="1"/>
  <c r="D1" i="131"/>
  <c r="F2" i="1" s="1"/>
  <c r="AG6" i="4"/>
  <c r="AQ6" i="4" s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<sst xmlns="http://schemas.openxmlformats.org/spreadsheetml/2006/main" count="779" uniqueCount="223">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</sst>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5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83"/>
  <sheetViews>
    <sheetView showGridLines="0" workbookViewId="0">
      <pane ySplit="1" topLeftCell="A2" activePane="bottomLeft" state="frozen"/>
      <selection pane="bottomLeft" activeCell="H6" sqref="H6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3" t="s">
        <v>27</v>
      </c>
      <c r="B2" s="63" t="s">
        <v>53</v>
      </c>
      <c r="C2" s="63" t="s">
        <v>54</v>
      </c>
      <c r="D2" s="63" t="s">
        <v>55</v>
      </c>
      <c r="E2" s="63" t="b">
        <v>0</v>
      </c>
      <c r="F2" s="63" t="s">
        <v>56</v>
      </c>
      <c r="G2" s="65">
        <v>0</v>
      </c>
      <c r="H2" s="63" t="s">
        <v>27</v>
      </c>
      <c r="I2"/>
    </row>
    <row r="3" spans="1:9" ht="18">
      <c r="A3" s="63" t="s">
        <v>4</v>
      </c>
      <c r="B3" s="63" t="s">
        <v>57</v>
      </c>
      <c r="C3" s="63" t="s">
        <v>58</v>
      </c>
      <c r="D3" s="63" t="s">
        <v>59</v>
      </c>
      <c r="E3" s="63" t="b">
        <v>0</v>
      </c>
      <c r="F3" s="63" t="s">
        <v>60</v>
      </c>
      <c r="G3" s="65">
        <v>0</v>
      </c>
      <c r="H3" s="63" t="s">
        <v>4</v>
      </c>
      <c r="I3"/>
    </row>
    <row r="4" spans="1:9" ht="18">
      <c r="A4" s="63" t="s">
        <v>61</v>
      </c>
      <c r="B4" s="63" t="s">
        <v>62</v>
      </c>
      <c r="C4" s="63" t="s">
        <v>63</v>
      </c>
      <c r="D4" s="63" t="s">
        <v>64</v>
      </c>
      <c r="E4" s="63" t="b">
        <v>0</v>
      </c>
      <c r="F4" s="63" t="s">
        <v>65</v>
      </c>
      <c r="G4" s="65">
        <v>0</v>
      </c>
      <c r="H4" s="63" t="s">
        <v>61</v>
      </c>
      <c r="I4"/>
    </row>
    <row r="5" spans="1:9" ht="18">
      <c r="A5" s="63" t="s">
        <v>21</v>
      </c>
      <c r="B5" s="63" t="s">
        <v>66</v>
      </c>
      <c r="C5" s="63" t="s">
        <v>67</v>
      </c>
      <c r="D5" s="63"/>
      <c r="E5" s="63" t="b">
        <v>0</v>
      </c>
      <c r="F5" s="63" t="s">
        <v>21</v>
      </c>
      <c r="G5" s="65">
        <v>0</v>
      </c>
      <c r="H5" s="63" t="s">
        <v>21</v>
      </c>
      <c r="I5"/>
    </row>
    <row r="6" spans="1:9" ht="18">
      <c r="A6" s="63" t="s">
        <v>68</v>
      </c>
      <c r="B6" s="63" t="s">
        <v>69</v>
      </c>
      <c r="C6" s="63" t="s">
        <v>69</v>
      </c>
      <c r="D6" s="63"/>
      <c r="E6" s="63" t="b">
        <v>1</v>
      </c>
      <c r="F6" s="63" t="s">
        <v>70</v>
      </c>
      <c r="G6" s="65">
        <v>0</v>
      </c>
      <c r="H6" s="63" t="s">
        <v>68</v>
      </c>
      <c r="I6"/>
    </row>
    <row r="7" spans="1:9" ht="18">
      <c r="A7" s="63" t="s">
        <v>22</v>
      </c>
      <c r="B7" s="63" t="s">
        <v>71</v>
      </c>
      <c r="C7" s="63" t="s">
        <v>72</v>
      </c>
      <c r="D7" s="63" t="s">
        <v>73</v>
      </c>
      <c r="E7" s="63" t="b">
        <v>0</v>
      </c>
      <c r="F7" s="63" t="s">
        <v>22</v>
      </c>
      <c r="G7" s="65">
        <v>0</v>
      </c>
      <c r="H7" s="63" t="s">
        <v>22</v>
      </c>
      <c r="I7"/>
    </row>
    <row r="8" spans="1:9" ht="18">
      <c r="A8" s="63" t="s">
        <v>74</v>
      </c>
      <c r="B8" s="63" t="s">
        <v>75</v>
      </c>
      <c r="C8" s="63" t="s">
        <v>76</v>
      </c>
      <c r="D8" s="63"/>
      <c r="E8" s="63" t="b">
        <v>1</v>
      </c>
      <c r="F8" s="63" t="s">
        <v>77</v>
      </c>
      <c r="G8" s="65">
        <v>0</v>
      </c>
      <c r="H8" s="63" t="s">
        <v>74</v>
      </c>
      <c r="I8"/>
    </row>
    <row r="9" spans="1:9" ht="18">
      <c r="A9" s="63" t="s">
        <v>78</v>
      </c>
      <c r="B9" s="63" t="s">
        <v>79</v>
      </c>
      <c r="C9" s="63" t="s">
        <v>79</v>
      </c>
      <c r="D9" s="63"/>
      <c r="E9" s="63" t="b">
        <v>1</v>
      </c>
      <c r="F9" s="63" t="s">
        <v>78</v>
      </c>
      <c r="G9" s="65">
        <v>0</v>
      </c>
      <c r="H9" s="63" t="s">
        <v>78</v>
      </c>
      <c r="I9"/>
    </row>
    <row r="10" spans="1:9" ht="18">
      <c r="A10" s="63" t="s">
        <v>28</v>
      </c>
      <c r="B10" s="63" t="s">
        <v>80</v>
      </c>
      <c r="C10" s="63" t="s">
        <v>67</v>
      </c>
      <c r="D10" s="63"/>
      <c r="E10" s="63" t="b">
        <v>0</v>
      </c>
      <c r="F10" s="63" t="s">
        <v>28</v>
      </c>
      <c r="G10" s="65">
        <v>0</v>
      </c>
      <c r="H10" s="63" t="s">
        <v>28</v>
      </c>
      <c r="I10"/>
    </row>
    <row r="11" spans="1:9" ht="18">
      <c r="A11" s="63" t="s">
        <v>29</v>
      </c>
      <c r="B11" s="63" t="s">
        <v>81</v>
      </c>
      <c r="C11" s="63" t="s">
        <v>58</v>
      </c>
      <c r="D11" s="63" t="s">
        <v>82</v>
      </c>
      <c r="E11" s="63" t="b">
        <v>0</v>
      </c>
      <c r="F11" s="63" t="s">
        <v>29</v>
      </c>
      <c r="G11" s="65">
        <v>0</v>
      </c>
      <c r="H11" s="63" t="s">
        <v>29</v>
      </c>
      <c r="I11"/>
    </row>
    <row r="12" spans="1:9" ht="18">
      <c r="A12" s="63" t="s">
        <v>30</v>
      </c>
      <c r="B12" s="63" t="s">
        <v>83</v>
      </c>
      <c r="C12" s="63" t="s">
        <v>54</v>
      </c>
      <c r="D12" s="63" t="s">
        <v>160</v>
      </c>
      <c r="E12" s="63" t="b">
        <v>0</v>
      </c>
      <c r="F12" s="63" t="s">
        <v>84</v>
      </c>
      <c r="G12" s="65">
        <v>0</v>
      </c>
      <c r="H12" s="63" t="s">
        <v>30</v>
      </c>
      <c r="I12"/>
    </row>
    <row r="13" spans="1:9" ht="18">
      <c r="A13" s="63" t="s">
        <v>85</v>
      </c>
      <c r="B13" s="63" t="s">
        <v>86</v>
      </c>
      <c r="C13" s="63" t="s">
        <v>87</v>
      </c>
      <c r="D13" s="63"/>
      <c r="E13" s="63" t="b">
        <v>0</v>
      </c>
      <c r="F13" s="63" t="s">
        <v>88</v>
      </c>
      <c r="G13" s="65">
        <v>0</v>
      </c>
      <c r="H13" s="63" t="s">
        <v>85</v>
      </c>
      <c r="I13"/>
    </row>
    <row r="14" spans="1:9" ht="18">
      <c r="A14" s="63" t="s">
        <v>31</v>
      </c>
      <c r="B14" s="63" t="s">
        <v>89</v>
      </c>
      <c r="C14" s="63" t="s">
        <v>90</v>
      </c>
      <c r="D14" s="63"/>
      <c r="E14" s="63" t="b">
        <v>0</v>
      </c>
      <c r="F14" s="63" t="s">
        <v>91</v>
      </c>
      <c r="G14" s="65">
        <v>0</v>
      </c>
      <c r="H14" s="63" t="s">
        <v>31</v>
      </c>
      <c r="I14"/>
    </row>
    <row r="15" spans="1:9" ht="18">
      <c r="A15" s="63" t="s">
        <v>92</v>
      </c>
      <c r="B15" s="63" t="s">
        <v>93</v>
      </c>
      <c r="C15" s="63" t="s">
        <v>94</v>
      </c>
      <c r="D15" s="63" t="s">
        <v>161</v>
      </c>
      <c r="E15" s="63" t="b">
        <v>0</v>
      </c>
      <c r="F15" s="63" t="s">
        <v>95</v>
      </c>
      <c r="G15" s="65">
        <v>0</v>
      </c>
      <c r="H15" s="63" t="s">
        <v>92</v>
      </c>
      <c r="I15"/>
    </row>
    <row r="16" spans="1:9" ht="18">
      <c r="A16" s="63" t="s">
        <v>96</v>
      </c>
      <c r="B16" s="63" t="s">
        <v>97</v>
      </c>
      <c r="C16" s="63" t="s">
        <v>98</v>
      </c>
      <c r="D16" s="63"/>
      <c r="E16" s="63" t="b">
        <v>0</v>
      </c>
      <c r="F16" s="63" t="s">
        <v>99</v>
      </c>
      <c r="G16" s="65">
        <v>0</v>
      </c>
      <c r="H16" s="63" t="s">
        <v>96</v>
      </c>
      <c r="I16"/>
    </row>
    <row r="17" spans="1:9" ht="18">
      <c r="A17" s="63" t="s">
        <v>32</v>
      </c>
      <c r="B17" s="63" t="s">
        <v>100</v>
      </c>
      <c r="C17" s="63" t="s">
        <v>101</v>
      </c>
      <c r="D17" s="63" t="s">
        <v>162</v>
      </c>
      <c r="E17" s="63" t="b">
        <v>0</v>
      </c>
      <c r="F17" s="63" t="s">
        <v>102</v>
      </c>
      <c r="G17" s="65">
        <v>0</v>
      </c>
      <c r="H17" s="63" t="s">
        <v>32</v>
      </c>
      <c r="I17"/>
    </row>
    <row r="18" spans="1:9" ht="18">
      <c r="A18" s="63" t="s">
        <v>47</v>
      </c>
      <c r="B18" s="63" t="s">
        <v>103</v>
      </c>
      <c r="C18" s="63" t="s">
        <v>98</v>
      </c>
      <c r="D18" s="63"/>
      <c r="E18" s="63" t="b">
        <v>0</v>
      </c>
      <c r="F18" s="63" t="s">
        <v>104</v>
      </c>
      <c r="G18" s="65">
        <v>0</v>
      </c>
      <c r="H18" s="63" t="s">
        <v>47</v>
      </c>
      <c r="I18"/>
    </row>
    <row r="19" spans="1:9" ht="18">
      <c r="A19" s="63" t="s">
        <v>105</v>
      </c>
      <c r="B19" s="63" t="s">
        <v>106</v>
      </c>
      <c r="C19" s="63" t="s">
        <v>76</v>
      </c>
      <c r="D19" s="63"/>
      <c r="E19" s="63" t="b">
        <v>1</v>
      </c>
      <c r="F19" s="63" t="s">
        <v>107</v>
      </c>
      <c r="G19" s="65">
        <v>0</v>
      </c>
      <c r="H19" s="63" t="s">
        <v>105</v>
      </c>
      <c r="I19"/>
    </row>
    <row r="20" spans="1:9" ht="18">
      <c r="A20" s="63" t="s">
        <v>108</v>
      </c>
      <c r="B20" s="63" t="s">
        <v>109</v>
      </c>
      <c r="C20" s="63" t="s">
        <v>63</v>
      </c>
      <c r="D20" s="63" t="s">
        <v>110</v>
      </c>
      <c r="E20" s="63" t="b">
        <v>0</v>
      </c>
      <c r="F20" s="63" t="s">
        <v>108</v>
      </c>
      <c r="G20" s="65">
        <v>0</v>
      </c>
      <c r="H20" s="63" t="s">
        <v>108</v>
      </c>
      <c r="I20"/>
    </row>
    <row r="21" spans="1:9" ht="18">
      <c r="A21" s="63" t="s">
        <v>111</v>
      </c>
      <c r="B21" s="63" t="s">
        <v>112</v>
      </c>
      <c r="C21" s="63" t="s">
        <v>76</v>
      </c>
      <c r="D21" s="63"/>
      <c r="E21" s="63" t="b">
        <v>1</v>
      </c>
      <c r="F21" s="63" t="s">
        <v>113</v>
      </c>
      <c r="G21" s="65">
        <v>0</v>
      </c>
      <c r="H21" s="63" t="s">
        <v>111</v>
      </c>
      <c r="I21"/>
    </row>
    <row r="22" spans="1:9" ht="18">
      <c r="A22" s="63" t="s">
        <v>114</v>
      </c>
      <c r="B22" s="63" t="s">
        <v>115</v>
      </c>
      <c r="C22" s="63" t="s">
        <v>116</v>
      </c>
      <c r="D22" s="63" t="s">
        <v>117</v>
      </c>
      <c r="E22" s="63" t="b">
        <v>0</v>
      </c>
      <c r="F22" s="63" t="s">
        <v>118</v>
      </c>
      <c r="G22" s="65">
        <v>0</v>
      </c>
      <c r="H22" s="63" t="s">
        <v>114</v>
      </c>
      <c r="I22"/>
    </row>
    <row r="23" spans="1:9" ht="18">
      <c r="A23" s="63" t="s">
        <v>119</v>
      </c>
      <c r="B23" s="63" t="s">
        <v>120</v>
      </c>
      <c r="C23" s="63" t="s">
        <v>76</v>
      </c>
      <c r="D23" s="63"/>
      <c r="E23" s="63" t="b">
        <v>1</v>
      </c>
      <c r="F23" s="63" t="s">
        <v>121</v>
      </c>
      <c r="G23" s="65">
        <v>0</v>
      </c>
      <c r="H23" s="63" t="s">
        <v>119</v>
      </c>
      <c r="I23"/>
    </row>
    <row r="24" spans="1:9" ht="18">
      <c r="A24" s="63" t="s">
        <v>51</v>
      </c>
      <c r="B24" s="63" t="s">
        <v>122</v>
      </c>
      <c r="C24" s="63" t="s">
        <v>122</v>
      </c>
      <c r="D24" s="63"/>
      <c r="E24" s="63" t="b">
        <v>1</v>
      </c>
      <c r="F24" s="63" t="s">
        <v>123</v>
      </c>
      <c r="G24" s="65">
        <v>0</v>
      </c>
      <c r="H24" s="63" t="s">
        <v>51</v>
      </c>
      <c r="I24"/>
    </row>
    <row r="25" spans="1:9" ht="18">
      <c r="A25" s="63" t="s">
        <v>124</v>
      </c>
      <c r="B25" s="63" t="s">
        <v>125</v>
      </c>
      <c r="C25" s="63" t="s">
        <v>126</v>
      </c>
      <c r="D25" s="63"/>
      <c r="E25" s="63" t="b">
        <v>0</v>
      </c>
      <c r="F25" s="63" t="s">
        <v>127</v>
      </c>
      <c r="G25" s="65">
        <v>0</v>
      </c>
      <c r="H25" s="63" t="s">
        <v>124</v>
      </c>
      <c r="I25"/>
    </row>
    <row r="26" spans="1:9" ht="18">
      <c r="A26" s="63" t="s">
        <v>128</v>
      </c>
      <c r="B26" s="63" t="s">
        <v>129</v>
      </c>
      <c r="C26" s="63" t="s">
        <v>94</v>
      </c>
      <c r="D26" s="63" t="s">
        <v>163</v>
      </c>
      <c r="E26" s="63" t="b">
        <v>0</v>
      </c>
      <c r="F26" s="63" t="s">
        <v>128</v>
      </c>
      <c r="G26" s="65">
        <v>0</v>
      </c>
      <c r="H26" s="63" t="s">
        <v>128</v>
      </c>
      <c r="I26"/>
    </row>
    <row r="27" spans="1:9" ht="18">
      <c r="A27" s="63" t="s">
        <v>130</v>
      </c>
      <c r="B27" s="63" t="s">
        <v>131</v>
      </c>
      <c r="C27" s="63" t="s">
        <v>132</v>
      </c>
      <c r="D27" s="63"/>
      <c r="E27" s="63" t="b">
        <v>0</v>
      </c>
      <c r="F27" s="63" t="s">
        <v>133</v>
      </c>
      <c r="G27" s="65">
        <v>0</v>
      </c>
      <c r="H27" s="63" t="s">
        <v>130</v>
      </c>
      <c r="I27"/>
    </row>
    <row r="28" spans="1:9" ht="18">
      <c r="A28" s="63" t="s">
        <v>134</v>
      </c>
      <c r="B28" s="63" t="s">
        <v>135</v>
      </c>
      <c r="C28" s="63" t="s">
        <v>58</v>
      </c>
      <c r="D28" s="63" t="s">
        <v>136</v>
      </c>
      <c r="E28" s="63" t="b">
        <v>0</v>
      </c>
      <c r="F28" s="63" t="s">
        <v>137</v>
      </c>
      <c r="G28" s="65">
        <v>1</v>
      </c>
      <c r="H28" s="63" t="s">
        <v>4</v>
      </c>
      <c r="I28"/>
    </row>
    <row r="29" spans="1:9" ht="18">
      <c r="A29" s="63" t="s">
        <v>138</v>
      </c>
      <c r="B29" s="63" t="s">
        <v>139</v>
      </c>
      <c r="C29" s="63" t="s">
        <v>94</v>
      </c>
      <c r="D29" s="63" t="s">
        <v>164</v>
      </c>
      <c r="E29" s="63" t="b">
        <v>0</v>
      </c>
      <c r="F29" s="63" t="s">
        <v>140</v>
      </c>
      <c r="G29" s="65">
        <v>1</v>
      </c>
      <c r="H29" s="63" t="s">
        <v>92</v>
      </c>
      <c r="I29"/>
    </row>
    <row r="30" spans="1:9" ht="18">
      <c r="A30" s="63" t="s">
        <v>141</v>
      </c>
      <c r="B30" s="63" t="s">
        <v>142</v>
      </c>
      <c r="C30" s="63" t="s">
        <v>94</v>
      </c>
      <c r="D30" s="63" t="s">
        <v>165</v>
      </c>
      <c r="E30" s="63" t="b">
        <v>0</v>
      </c>
      <c r="F30" s="63" t="s">
        <v>143</v>
      </c>
      <c r="G30" s="65">
        <v>1</v>
      </c>
      <c r="H30" s="63" t="s">
        <v>92</v>
      </c>
      <c r="I30"/>
    </row>
    <row r="31" spans="1:9" ht="18">
      <c r="A31" s="64" t="s">
        <v>144</v>
      </c>
      <c r="B31" s="64" t="s">
        <v>145</v>
      </c>
      <c r="C31" s="64" t="s">
        <v>79</v>
      </c>
      <c r="D31" s="64"/>
      <c r="E31" s="64" t="b">
        <v>1</v>
      </c>
      <c r="F31" s="64" t="s">
        <v>144</v>
      </c>
      <c r="G31" s="66">
        <v>1</v>
      </c>
      <c r="H31" s="64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tabSelected="1" workbookViewId="0">
      <pane ySplit="1" topLeftCell="A2" activePane="bottomLeft" state="frozen"/>
      <selection pane="bottomLeft" activeCell="B5" sqref="B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3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0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1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1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1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1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1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1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1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1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1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1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1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1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1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1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1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1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1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1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1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1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1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1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1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1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1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1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1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1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1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1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1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1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1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1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1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1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1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1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1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1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1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1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1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1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1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1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1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1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1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1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1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1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1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1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1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1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1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1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1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1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1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1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1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1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1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1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1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1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1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1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1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1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1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1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1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1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1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1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1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1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1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1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1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1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1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1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1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1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1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1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1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1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1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1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1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1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1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1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2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58" priority="4" operator="equal">
      <formula>1</formula>
    </cfRule>
  </conditionalFormatting>
  <conditionalFormatting sqref="D2:E101">
    <cfRule type="expression" dxfId="157" priority="3">
      <formula>$J2</formula>
    </cfRule>
  </conditionalFormatting>
  <conditionalFormatting sqref="F2:F101">
    <cfRule type="cellIs" dxfId="15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88DAEC91-A81E-4DA0-BC13-2116EC420179}"/>
    <hyperlink ref="C3" location="'受注'!A1" display="受注" xr:uid="{8718B85C-3797-4EC1-BCAB-62CD3AB88F8F}"/>
    <hyperlink ref="C4" location="'受注明細'!A1" display="受注明細" xr:uid="{A1160231-3313-462D-9286-C02941F1D240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4"/>
      <c r="E2" s="88" t="s">
        <v>158</v>
      </c>
      <c r="F2" s="89" t="s">
        <v>159</v>
      </c>
      <c r="G2" s="40"/>
      <c r="AF2" s="7" t="s">
        <v>17</v>
      </c>
      <c r="AG2" s="7" t="b">
        <f ca="1">OR(ISERROR(TABLE_JP),ISERROR(TABLE_EN))</f>
        <v>1</v>
      </c>
    </row>
    <row r="3" spans="1:43">
      <c r="B3" s="68" t="str">
        <f>AQ3</f>
        <v>フィールドの設定が１つもありません。</v>
      </c>
      <c r="AE3" s="7" t="s">
        <v>8</v>
      </c>
      <c r="AF3" s="7" t="s">
        <v>25</v>
      </c>
      <c r="AG3" s="7" t="b">
        <f>AI6="N/A"</f>
        <v>1</v>
      </c>
      <c r="AH3" s="7" t="s">
        <v>222</v>
      </c>
      <c r="AI3" s="7" t="s">
        <v>180</v>
      </c>
      <c r="AQ3" s="117" t="str">
        <f>IF(AG3,AH3,AQ4)</f>
        <v>フィールドの設定が１つもありません。</v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>$AQ$7</f>
        <v>PKの指定がありません。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1</v>
      </c>
      <c r="AJ5" s="69">
        <f>COUNTA(AJ6:AJ105)</f>
        <v>1</v>
      </c>
      <c r="AK5" s="98">
        <f>COUNTA(AK6:AK105)</f>
        <v>1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L6" s="115" t="s">
        <v>203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33</v>
      </c>
      <c r="AJ6" s="69" t="s">
        <v>33</v>
      </c>
      <c r="AK6" s="98" t="s">
        <v>180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H7" s="7" t="s">
        <v>212</v>
      </c>
      <c r="AI7" s="59"/>
      <c r="AJ7" s="69"/>
      <c r="AK7" s="98"/>
      <c r="AL7" s="86"/>
      <c r="AM7" s="86"/>
      <c r="AN7" s="86"/>
      <c r="AO7" s="86"/>
      <c r="AP7" s="86"/>
      <c r="AQ7" s="117" t="str">
        <f>IF(AG7,AH7,AQ8)</f>
        <v>PKの指定がありません。</v>
      </c>
    </row>
    <row r="8" spans="1:43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0" t="s">
        <v>14</v>
      </c>
      <c r="L8" s="71"/>
      <c r="M8" s="72"/>
      <c r="N8" s="72"/>
      <c r="O8" s="72"/>
      <c r="P8" s="73"/>
      <c r="R8" s="86" t="str">
        <f>_xlfn.CONCAT(L8:P8)</f>
        <v/>
      </c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/>
      <c r="AJ8" s="69"/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/>
      <c r="AJ9" s="69"/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8" t="str">
        <f ca="1">$AQ$10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2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/>
      <c r="AJ10" s="69"/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2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2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2"/>
        <v>0</v>
      </c>
      <c r="X13" s="7" t="s">
        <v>155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8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2"/>
        <v>0</v>
      </c>
      <c r="X14" s="7" t="s">
        <v>156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8"/>
        <v/>
      </c>
      <c r="T15" s="19" t="b">
        <f t="shared" ca="1" si="0"/>
        <v>0</v>
      </c>
      <c r="U15" s="19" t="b">
        <f t="shared" si="1"/>
        <v>0</v>
      </c>
      <c r="V15" s="19" t="b">
        <f t="shared" ca="1" si="2"/>
        <v>0</v>
      </c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8"/>
        <v/>
      </c>
      <c r="T16" s="19" t="b">
        <f t="shared" ca="1" si="0"/>
        <v>0</v>
      </c>
      <c r="U16" s="19" t="b">
        <f t="shared" si="1"/>
        <v>0</v>
      </c>
      <c r="V16" s="19" t="b">
        <f t="shared" ca="1" si="2"/>
        <v>0</v>
      </c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8"/>
        <v/>
      </c>
      <c r="T17" s="19" t="b">
        <f t="shared" ca="1" si="0"/>
        <v>0</v>
      </c>
      <c r="U17" s="19" t="b">
        <f t="shared" si="1"/>
        <v>0</v>
      </c>
      <c r="V17" s="19" t="b">
        <f t="shared" ca="1" si="2"/>
        <v>0</v>
      </c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8"/>
        <v/>
      </c>
      <c r="T18" s="19" t="b">
        <f t="shared" ca="1" si="0"/>
        <v>0</v>
      </c>
      <c r="U18" s="19" t="b">
        <f t="shared" si="1"/>
        <v>0</v>
      </c>
      <c r="V18" s="19" t="b">
        <f t="shared" ca="1" si="2"/>
        <v>0</v>
      </c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8"/>
        <v/>
      </c>
      <c r="T19" s="19" t="b">
        <f t="shared" ca="1" si="0"/>
        <v>0</v>
      </c>
      <c r="U19" s="19" t="b">
        <f t="shared" si="1"/>
        <v>0</v>
      </c>
      <c r="V19" s="19" t="b">
        <f t="shared" ca="1" si="2"/>
        <v>0</v>
      </c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8"/>
        <v/>
      </c>
      <c r="T20" s="19" t="b">
        <f t="shared" ca="1" si="0"/>
        <v>0</v>
      </c>
      <c r="U20" s="19" t="b">
        <f t="shared" si="1"/>
        <v>0</v>
      </c>
      <c r="V20" s="19" t="b">
        <f t="shared" ca="1" si="2"/>
        <v>0</v>
      </c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8"/>
        <v/>
      </c>
      <c r="T21" s="19" t="b">
        <f t="shared" ca="1" si="0"/>
        <v>0</v>
      </c>
      <c r="U21" s="19" t="b">
        <f t="shared" si="1"/>
        <v>0</v>
      </c>
      <c r="V21" s="19" t="b">
        <f t="shared" ca="1" si="2"/>
        <v>0</v>
      </c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8"/>
        <v/>
      </c>
      <c r="T22" s="19" t="b">
        <f t="shared" ca="1" si="0"/>
        <v>0</v>
      </c>
      <c r="U22" s="19" t="b">
        <f t="shared" si="1"/>
        <v>0</v>
      </c>
      <c r="V22" s="19" t="b">
        <f t="shared" ca="1" si="2"/>
        <v>0</v>
      </c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2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2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1"/>
        <v>0</v>
      </c>
      <c r="V25" s="19" t="b">
        <f t="shared" ca="1" si="2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1"/>
        <v>0</v>
      </c>
      <c r="V26" s="19" t="b">
        <f t="shared" ca="1" si="2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2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1"/>
        <v>0</v>
      </c>
      <c r="V28" s="19" t="b">
        <f t="shared" ca="1" si="2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0">_xlfn.CONCAT(L29:P29)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2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2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1"/>
        <v>0</v>
      </c>
      <c r="V31" s="19" t="b">
        <f t="shared" ca="1" si="2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2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1"/>
        <v>0</v>
      </c>
      <c r="V33" s="19" t="b">
        <f t="shared" ca="1" si="2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1">_xlfn.CONCAT(L34:P34)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2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2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1"/>
        <v>0</v>
      </c>
      <c r="V36" s="19" t="b">
        <f t="shared" ca="1" si="2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2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ref="T38:T69" ca="1" si="12">AND(B38&lt;&gt;"",ISNA(MATCH(B38,項目リスト,0)))</f>
        <v>0</v>
      </c>
      <c r="U38" s="19" t="b">
        <f t="shared" ref="U38:U69" si="13">COUNTIF(FIELD_NAME,B38)&gt;1</f>
        <v>0</v>
      </c>
      <c r="V38" s="19" t="b">
        <f t="shared" ca="1" si="2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12"/>
        <v>0</v>
      </c>
      <c r="U39" s="19" t="b">
        <f t="shared" si="13"/>
        <v>0</v>
      </c>
      <c r="V39" s="19" t="b">
        <f t="shared" ca="1" si="2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2"/>
        <v>0</v>
      </c>
      <c r="U40" s="19" t="b">
        <f t="shared" si="13"/>
        <v>0</v>
      </c>
      <c r="V40" s="19" t="b">
        <f t="shared" ca="1" si="2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12"/>
        <v>0</v>
      </c>
      <c r="U41" s="19" t="b">
        <f t="shared" si="13"/>
        <v>0</v>
      </c>
      <c r="V41" s="19" t="b">
        <f t="shared" ca="1" si="2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12"/>
        <v>0</v>
      </c>
      <c r="U42" s="19" t="b">
        <f t="shared" si="13"/>
        <v>0</v>
      </c>
      <c r="V42" s="19" t="b">
        <f t="shared" ca="1" si="2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12"/>
        <v>0</v>
      </c>
      <c r="U43" s="19" t="b">
        <f t="shared" si="13"/>
        <v>0</v>
      </c>
      <c r="V43" s="19" t="b">
        <f t="shared" ca="1" si="2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12"/>
        <v>0</v>
      </c>
      <c r="U44" s="19" t="b">
        <f t="shared" si="13"/>
        <v>0</v>
      </c>
      <c r="V44" s="19" t="b">
        <f t="shared" ca="1" si="2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2"/>
        <v>0</v>
      </c>
      <c r="U45" s="19" t="b">
        <f t="shared" si="13"/>
        <v>0</v>
      </c>
      <c r="V45" s="19" t="b">
        <f t="shared" ca="1" si="2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12"/>
        <v>0</v>
      </c>
      <c r="U46" s="19" t="b">
        <f t="shared" si="13"/>
        <v>0</v>
      </c>
      <c r="V46" s="19" t="b">
        <f t="shared" ca="1" si="2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12"/>
        <v>0</v>
      </c>
      <c r="U47" s="19" t="b">
        <f t="shared" si="13"/>
        <v>0</v>
      </c>
      <c r="V47" s="19" t="b">
        <f t="shared" ca="1" si="2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12"/>
        <v>0</v>
      </c>
      <c r="U48" s="19" t="b">
        <f t="shared" si="13"/>
        <v>0</v>
      </c>
      <c r="V48" s="19" t="b">
        <f t="shared" ca="1" si="2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12"/>
        <v>0</v>
      </c>
      <c r="U49" s="19" t="b">
        <f t="shared" si="13"/>
        <v>0</v>
      </c>
      <c r="V49" s="19" t="b">
        <f t="shared" ca="1" si="2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2"/>
        <v>0</v>
      </c>
      <c r="U50" s="19" t="b">
        <f t="shared" si="13"/>
        <v>0</v>
      </c>
      <c r="V50" s="19" t="b">
        <f t="shared" ca="1" si="2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12"/>
        <v>0</v>
      </c>
      <c r="U51" s="19" t="b">
        <f t="shared" si="13"/>
        <v>0</v>
      </c>
      <c r="V51" s="19" t="b">
        <f t="shared" ca="1" si="2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12"/>
        <v>0</v>
      </c>
      <c r="U52" s="19" t="b">
        <f t="shared" si="13"/>
        <v>0</v>
      </c>
      <c r="V52" s="19" t="b">
        <f t="shared" ca="1" si="2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12"/>
        <v>0</v>
      </c>
      <c r="U53" s="19" t="b">
        <f t="shared" si="13"/>
        <v>0</v>
      </c>
      <c r="V53" s="19" t="b">
        <f t="shared" ca="1" si="2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2"/>
        <v>0</v>
      </c>
      <c r="U54" s="19" t="b">
        <f t="shared" si="13"/>
        <v>0</v>
      </c>
      <c r="V54" s="19" t="b">
        <f t="shared" ca="1" si="2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/>
      <c r="M55" s="110"/>
      <c r="N55" s="110"/>
      <c r="O55" s="110"/>
      <c r="P55" s="111"/>
      <c r="R55" s="86" t="str">
        <f t="shared" ref="R55:R63" si="17">_xlfn.CONCAT(L55:P55)</f>
        <v/>
      </c>
      <c r="T55" s="19" t="b">
        <f t="shared" ca="1" si="12"/>
        <v>0</v>
      </c>
      <c r="U55" s="19" t="b">
        <f t="shared" si="13"/>
        <v>0</v>
      </c>
      <c r="V55" s="19" t="b">
        <f t="shared" ca="1" si="2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12"/>
        <v>0</v>
      </c>
      <c r="U56" s="19" t="b">
        <f t="shared" si="13"/>
        <v>0</v>
      </c>
      <c r="V56" s="19" t="b">
        <f t="shared" ca="1" si="2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12"/>
        <v>0</v>
      </c>
      <c r="U57" s="19" t="b">
        <f t="shared" si="13"/>
        <v>0</v>
      </c>
      <c r="V57" s="19" t="b">
        <f t="shared" ca="1" si="2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12"/>
        <v>0</v>
      </c>
      <c r="U58" s="19" t="b">
        <f t="shared" si="13"/>
        <v>0</v>
      </c>
      <c r="V58" s="19" t="b">
        <f t="shared" ca="1" si="2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12"/>
        <v>0</v>
      </c>
      <c r="U59" s="19" t="b">
        <f t="shared" si="13"/>
        <v>0</v>
      </c>
      <c r="V59" s="19" t="b">
        <f t="shared" ca="1" si="2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12"/>
        <v>0</v>
      </c>
      <c r="U60" s="19" t="b">
        <f t="shared" si="13"/>
        <v>0</v>
      </c>
      <c r="V60" s="19" t="b">
        <f t="shared" ca="1" si="2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12"/>
        <v>0</v>
      </c>
      <c r="U61" s="19" t="b">
        <f t="shared" si="13"/>
        <v>0</v>
      </c>
      <c r="V61" s="19" t="b">
        <f t="shared" ca="1" si="2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12"/>
        <v>0</v>
      </c>
      <c r="U62" s="19" t="b">
        <f t="shared" si="13"/>
        <v>0</v>
      </c>
      <c r="V62" s="19" t="b">
        <f t="shared" ca="1" si="2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12"/>
        <v>0</v>
      </c>
      <c r="U63" s="19" t="b">
        <f t="shared" si="13"/>
        <v>0</v>
      </c>
      <c r="V63" s="19" t="b">
        <f t="shared" ca="1" si="2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12"/>
        <v>0</v>
      </c>
      <c r="U64" s="19" t="b">
        <f t="shared" si="13"/>
        <v>0</v>
      </c>
      <c r="V64" s="19" t="b">
        <f t="shared" ca="1" si="2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2"/>
        <v>0</v>
      </c>
      <c r="U65" s="19" t="b">
        <f t="shared" si="13"/>
        <v>0</v>
      </c>
      <c r="V65" s="19" t="b">
        <f t="shared" ca="1" si="2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2"/>
        <v>0</v>
      </c>
      <c r="U66" s="19" t="b">
        <f t="shared" si="13"/>
        <v>0</v>
      </c>
      <c r="V66" s="19" t="b">
        <f t="shared" ca="1" si="2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2"/>
        <v>0</v>
      </c>
      <c r="U67" s="19" t="b">
        <f t="shared" si="13"/>
        <v>0</v>
      </c>
      <c r="V67" s="19" t="b">
        <f t="shared" ca="1" si="2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2"/>
        <v>0</v>
      </c>
      <c r="U68" s="19" t="b">
        <f t="shared" si="13"/>
        <v>0</v>
      </c>
      <c r="V68" s="19" t="b">
        <f t="shared" ca="1" si="2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2"/>
        <v>0</v>
      </c>
      <c r="U69" s="19" t="b">
        <f t="shared" si="13"/>
        <v>0</v>
      </c>
      <c r="V69" s="19" t="b">
        <f t="shared" ca="1" si="2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2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2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2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55" priority="147">
      <formula>ISERROR(B2)</formula>
    </cfRule>
  </conditionalFormatting>
  <conditionalFormatting sqref="B6:B105">
    <cfRule type="expression" dxfId="154" priority="144">
      <formula>COUNTIF(FIELD_NAME,B6)&gt;1</formula>
    </cfRule>
    <cfRule type="expression" dxfId="153" priority="145">
      <formula>AND($B6&lt;&gt;"",ISNA(MATCH($B6,項目リスト,0)))</formula>
    </cfRule>
  </conditionalFormatting>
  <conditionalFormatting sqref="B6">
    <cfRule type="expression" dxfId="152" priority="139">
      <formula>$AI$6="N/A"</formula>
    </cfRule>
  </conditionalFormatting>
  <conditionalFormatting sqref="D1">
    <cfRule type="cellIs" dxfId="151" priority="128" operator="greaterThan">
      <formula>0</formula>
    </cfRule>
  </conditionalFormatting>
  <conditionalFormatting sqref="L8:P8">
    <cfRule type="expression" dxfId="150" priority="159">
      <formula>Y8</formula>
    </cfRule>
    <cfRule type="expression" dxfId="149" priority="160">
      <formula>Y7</formula>
    </cfRule>
  </conditionalFormatting>
  <conditionalFormatting sqref="L13:P22">
    <cfRule type="expression" dxfId="148" priority="91">
      <formula>Y13</formula>
    </cfRule>
    <cfRule type="expression" dxfId="147" priority="92">
      <formula>$AD13</formula>
    </cfRule>
  </conditionalFormatting>
  <conditionalFormatting sqref="L8">
    <cfRule type="expression" dxfId="146" priority="158">
      <formula>$AG$7</formula>
    </cfRule>
  </conditionalFormatting>
  <conditionalFormatting sqref="L55:P64">
    <cfRule type="expression" dxfId="145" priority="24">
      <formula>Y55</formula>
    </cfRule>
    <cfRule type="expression" dxfId="144" priority="25">
      <formula>$AD55</formula>
    </cfRule>
  </conditionalFormatting>
  <conditionalFormatting sqref="L43:P44">
    <cfRule type="expression" dxfId="143" priority="15">
      <formula>Y42</formula>
    </cfRule>
  </conditionalFormatting>
  <conditionalFormatting sqref="L43:P43">
    <cfRule type="expression" dxfId="142" priority="13">
      <formula>$AD42</formula>
    </cfRule>
    <cfRule type="expression" dxfId="141" priority="162">
      <formula>Y41</formula>
    </cfRule>
  </conditionalFormatting>
  <conditionalFormatting sqref="L43">
    <cfRule type="expression" dxfId="140" priority="14">
      <formula>$AD41</formula>
    </cfRule>
  </conditionalFormatting>
  <conditionalFormatting sqref="L28:P29 L33:P34 L38:P39 L48:P49 L43:P44">
    <cfRule type="expression" dxfId="139" priority="165">
      <formula>Y27</formula>
    </cfRule>
  </conditionalFormatting>
  <conditionalFormatting sqref="L29:P29 L34:P34 L39:P39 L49:P49">
    <cfRule type="expression" dxfId="138" priority="168">
      <formula>$AD27</formula>
    </cfRule>
    <cfRule type="expression" dxfId="137" priority="169">
      <formula>Y26</formula>
    </cfRule>
  </conditionalFormatting>
  <conditionalFormatting sqref="L28 L33 L38 L48 L43">
    <cfRule type="expression" dxfId="136" priority="170">
      <formula>$AD26</formula>
    </cfRule>
  </conditionalFormatting>
  <conditionalFormatting sqref="L44:P44">
    <cfRule type="expression" dxfId="135" priority="173">
      <formula>$AD42</formula>
    </cfRule>
    <cfRule type="expression" dxfId="134" priority="174">
      <formula>Y41</formula>
    </cfRule>
  </conditionalFormatting>
  <conditionalFormatting sqref="L28:P28 L33:P33 L38:P38 L43:P43 L48:P48">
    <cfRule type="expression" dxfId="133" priority="12">
      <formula>$AD27</formula>
    </cfRule>
    <cfRule type="expression" dxfId="132" priority="161">
      <formula>Y26</formula>
    </cfRule>
  </conditionalFormatting>
  <conditionalFormatting sqref="K56">
    <cfRule type="expression" dxfId="131" priority="10">
      <formula>X56</formula>
    </cfRule>
    <cfRule type="expression" dxfId="130" priority="11">
      <formula>$AD56</formula>
    </cfRule>
  </conditionalFormatting>
  <conditionalFormatting sqref="K58">
    <cfRule type="expression" dxfId="129" priority="8">
      <formula>X58</formula>
    </cfRule>
    <cfRule type="expression" dxfId="128" priority="9">
      <formula>$AD58</formula>
    </cfRule>
  </conditionalFormatting>
  <conditionalFormatting sqref="K60">
    <cfRule type="expression" dxfId="127" priority="6">
      <formula>X60</formula>
    </cfRule>
    <cfRule type="expression" dxfId="126" priority="7">
      <formula>$AD60</formula>
    </cfRule>
  </conditionalFormatting>
  <conditionalFormatting sqref="K62">
    <cfRule type="expression" dxfId="125" priority="4">
      <formula>X62</formula>
    </cfRule>
    <cfRule type="expression" dxfId="124" priority="5">
      <formula>$AD62</formula>
    </cfRule>
  </conditionalFormatting>
  <conditionalFormatting sqref="K64">
    <cfRule type="expression" dxfId="123" priority="2">
      <formula>X64</formula>
    </cfRule>
    <cfRule type="expression" dxfId="122" priority="3">
      <formula>$AD64</formula>
    </cfRule>
  </conditionalFormatting>
  <conditionalFormatting sqref="L29:P29 L34:P34 L39:P39 L44:P44 L49:P49">
    <cfRule type="expression" dxfId="121" priority="1">
      <formula>$AD28</formula>
    </cfRule>
  </conditionalFormatting>
  <dataValidations count="16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68AB-E289-4C0E-AEBB-5C0D81FC2C00}">
  <sheetPr codeName="template1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4">
        <v>1</v>
      </c>
      <c r="E2" s="88" t="s">
        <v>158</v>
      </c>
      <c r="F2" s="89" t="s">
        <v>168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6</v>
      </c>
      <c r="AJ5" s="69">
        <f>COUNTA(AJ6:AJ105)</f>
        <v>5</v>
      </c>
      <c r="AK5" s="98">
        <f>COUNTA(AK6:AK105)</f>
        <v>2</v>
      </c>
      <c r="AL5" s="86" cm="1">
        <f t="array" aca="1" ref="AL5" ca="1">IFERROR(INDIRECT($L$26&amp;"!R5C35",FALSE),1)</f>
        <v>1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171</v>
      </c>
      <c r="AJ6" s="69" t="s">
        <v>171</v>
      </c>
      <c r="AK6" s="98" t="s">
        <v>146</v>
      </c>
      <c r="AL6" s="86" t="str" cm="1">
        <f t="array" aca="1" ref="AL6" ca="1">IFERROR(OFFSET(INDIRECT($L$26&amp;"!R6C35",FALSE),,,AL5,),"N/A")</f>
        <v>N/A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47</v>
      </c>
      <c r="AJ7" s="69" t="s">
        <v>47</v>
      </c>
      <c r="AK7" s="98" t="s">
        <v>175</v>
      </c>
      <c r="AL7" s="86"/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32</v>
      </c>
      <c r="M8" s="72"/>
      <c r="N8" s="72"/>
      <c r="O8" s="72"/>
      <c r="P8" s="73"/>
      <c r="R8" s="86" t="str">
        <f>_xlfn.CONCAT(L8:P8)</f>
        <v>得意先ID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51</v>
      </c>
      <c r="AK8" s="98"/>
      <c r="AL8" s="86"/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51</v>
      </c>
      <c r="AJ9" s="69" t="s">
        <v>21</v>
      </c>
      <c r="AK9" s="98"/>
      <c r="AL9" s="86"/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21</v>
      </c>
      <c r="AJ10" s="69" t="s">
        <v>141</v>
      </c>
      <c r="AK10" s="98"/>
      <c r="AL10" s="86"/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 t="s">
        <v>141</v>
      </c>
      <c r="C11" s="35" t="str">
        <f ca="1">IFERROR(VLOOKUP(B11,項目!DATA_AREA,2,FALSE),"")</f>
        <v>product_pic</v>
      </c>
      <c r="D11" s="35" t="str">
        <f ca="1">IFERROR(VLOOKUP(B11,項目!DATA_AREA,3,FALSE),"")</f>
        <v>varchar(4)</v>
      </c>
      <c r="E11" s="51">
        <v>1</v>
      </c>
      <c r="F11" s="45"/>
      <c r="G11" s="38" t="str">
        <f ca="1">IFERROR(VLOOKUP(B11,項目!DATA_AREA,4,FALSE),"")</f>
        <v>(LENGTH(product_pic) = 4)</v>
      </c>
      <c r="H11" s="12" t="b">
        <f ca="1">IFERROR(VLOOKUP(B11,項目!DATA_AREA,5,FALSE),"")</f>
        <v>0</v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 t="s">
        <v>141</v>
      </c>
      <c r="AJ11" s="69"/>
      <c r="AK11" s="98"/>
      <c r="AL11" s="86"/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 t="s">
        <v>32</v>
      </c>
      <c r="M13" s="76" t="s">
        <v>31</v>
      </c>
      <c r="N13" s="76"/>
      <c r="O13" s="76"/>
      <c r="P13" s="77"/>
      <c r="R13" s="86" t="str">
        <f>_xlfn.CONCAT(L13:P13)</f>
        <v>得意先ID担当者名</v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 t="s">
        <v>21</v>
      </c>
      <c r="M14" s="80"/>
      <c r="N14" s="80"/>
      <c r="O14" s="80"/>
      <c r="P14" s="81"/>
      <c r="R14" s="86" t="str">
        <f t="shared" ref="R14:R22" si="9">_xlfn.CONCAT(L14:P14)</f>
        <v>登録日</v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 t="s">
        <v>141</v>
      </c>
      <c r="M15" s="80"/>
      <c r="N15" s="80"/>
      <c r="O15" s="80"/>
      <c r="P15" s="81"/>
      <c r="R15" s="86" t="str">
        <f t="shared" si="9"/>
        <v>商品担当者ID</v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/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/>
      </c>
      <c r="S27" s="69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/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/>
      <c r="M29" s="84"/>
      <c r="N29" s="84"/>
      <c r="O29" s="84"/>
      <c r="P29" s="85"/>
      <c r="R29" s="86" t="str">
        <f t="shared" ref="R29" si="11">_xlfn.CONCAT(L29:P29)</f>
        <v/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N/A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N/A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/>
      <c r="N55" s="110"/>
      <c r="O55" s="110"/>
      <c r="P55" s="111"/>
      <c r="R55" s="86" t="str">
        <f t="shared" ref="R55:R63" si="17">_xlfn.CONCAT(L55:P55)</f>
        <v>担当者名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 t="s">
        <v>21</v>
      </c>
      <c r="M57" s="110" t="s">
        <v>51</v>
      </c>
      <c r="N57" s="110"/>
      <c r="O57" s="110"/>
      <c r="P57" s="111"/>
      <c r="R57" s="86" t="str">
        <f t="shared" si="17"/>
        <v>登録日取引先区分</v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N/A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" ca="1">IFERROR(OFFSET(INDIRECT($L$26&amp;"!R13C18",FALSE),,,10,),"N/A")</f>
        <v>N/A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/>
      <c r="AM108" s="69"/>
      <c r="AN108" s="69"/>
      <c r="AO108" s="69"/>
      <c r="AP108" s="69"/>
    </row>
    <row r="109" spans="1:42">
      <c r="AL109" s="69"/>
      <c r="AM109" s="69"/>
      <c r="AN109" s="69"/>
      <c r="AO109" s="69"/>
      <c r="AP109" s="69"/>
    </row>
    <row r="110" spans="1:42">
      <c r="AL110" s="69"/>
      <c r="AM110" s="69"/>
      <c r="AN110" s="69"/>
      <c r="AO110" s="69"/>
      <c r="AP110" s="69"/>
    </row>
    <row r="111" spans="1:42">
      <c r="AL111" s="69"/>
      <c r="AM111" s="69"/>
      <c r="AN111" s="69"/>
      <c r="AO111" s="69"/>
      <c r="AP111" s="69"/>
    </row>
    <row r="112" spans="1:42">
      <c r="AL112" s="69"/>
      <c r="AM112" s="69"/>
      <c r="AN112" s="69"/>
      <c r="AO112" s="69"/>
      <c r="AP112" s="69"/>
    </row>
    <row r="113" spans="38:42">
      <c r="AL113" s="69"/>
      <c r="AM113" s="69"/>
      <c r="AN113" s="69"/>
      <c r="AO113" s="69"/>
      <c r="AP113" s="69"/>
    </row>
    <row r="114" spans="38:42">
      <c r="AL114" s="69"/>
      <c r="AM114" s="69"/>
      <c r="AN114" s="69"/>
      <c r="AO114" s="69"/>
      <c r="AP114" s="69"/>
    </row>
    <row r="115" spans="38:42">
      <c r="AL115" s="69"/>
      <c r="AM115" s="69"/>
      <c r="AN115" s="69"/>
      <c r="AO115" s="69"/>
      <c r="AP115" s="69"/>
    </row>
    <row r="116" spans="38:42">
      <c r="AL116" s="69"/>
      <c r="AM116" s="69"/>
      <c r="AN116" s="69"/>
      <c r="AO116" s="69"/>
      <c r="AP116" s="69"/>
    </row>
  </sheetData>
  <phoneticPr fontId="2"/>
  <conditionalFormatting sqref="B2:C2">
    <cfRule type="expression" dxfId="120" priority="24">
      <formula>ISERROR(B2)</formula>
    </cfRule>
  </conditionalFormatting>
  <conditionalFormatting sqref="B6:B105">
    <cfRule type="expression" dxfId="119" priority="22">
      <formula>COUNTIF(FIELD_NAME,B6)&gt;1</formula>
    </cfRule>
    <cfRule type="expression" dxfId="118" priority="23">
      <formula>AND($B6&lt;&gt;"",ISNA(MATCH($B6,項目リスト,0)))</formula>
    </cfRule>
  </conditionalFormatting>
  <conditionalFormatting sqref="B6">
    <cfRule type="expression" dxfId="117" priority="21">
      <formula>$AI$6="N/A"</formula>
    </cfRule>
  </conditionalFormatting>
  <conditionalFormatting sqref="D1">
    <cfRule type="cellIs" dxfId="116" priority="20" operator="greaterThan">
      <formula>0</formula>
    </cfRule>
  </conditionalFormatting>
  <conditionalFormatting sqref="L8:P8">
    <cfRule type="expression" dxfId="115" priority="26">
      <formula>Y8</formula>
    </cfRule>
    <cfRule type="expression" dxfId="114" priority="27">
      <formula>Y7</formula>
    </cfRule>
  </conditionalFormatting>
  <conditionalFormatting sqref="L13:P22">
    <cfRule type="expression" dxfId="113" priority="18">
      <formula>Y13</formula>
    </cfRule>
    <cfRule type="expression" dxfId="112" priority="19">
      <formula>$AD13</formula>
    </cfRule>
  </conditionalFormatting>
  <conditionalFormatting sqref="L8">
    <cfRule type="expression" dxfId="111" priority="25">
      <formula>$AG$7</formula>
    </cfRule>
  </conditionalFormatting>
  <conditionalFormatting sqref="L55:P64">
    <cfRule type="expression" dxfId="110" priority="16">
      <formula>Y55</formula>
    </cfRule>
    <cfRule type="expression" dxfId="109" priority="17">
      <formula>$AD55</formula>
    </cfRule>
  </conditionalFormatting>
  <conditionalFormatting sqref="L43:P44">
    <cfRule type="expression" dxfId="108" priority="15">
      <formula>Y42</formula>
    </cfRule>
  </conditionalFormatting>
  <conditionalFormatting sqref="L43:P43">
    <cfRule type="expression" dxfId="107" priority="13">
      <formula>$AD42</formula>
    </cfRule>
    <cfRule type="expression" dxfId="106" priority="29">
      <formula>Y41</formula>
    </cfRule>
  </conditionalFormatting>
  <conditionalFormatting sqref="L43">
    <cfRule type="expression" dxfId="105" priority="14">
      <formula>$AD41</formula>
    </cfRule>
  </conditionalFormatting>
  <conditionalFormatting sqref="L28:P29 L33:P34 L38:P39 L48:P49 L43:P44">
    <cfRule type="expression" dxfId="104" priority="30">
      <formula>Y27</formula>
    </cfRule>
  </conditionalFormatting>
  <conditionalFormatting sqref="L29:P29 L34:P34 L39:P39 L49:P49">
    <cfRule type="expression" dxfId="103" priority="31">
      <formula>$AD27</formula>
    </cfRule>
    <cfRule type="expression" dxfId="102" priority="32">
      <formula>Y26</formula>
    </cfRule>
  </conditionalFormatting>
  <conditionalFormatting sqref="L28 L33 L38 L48 L43">
    <cfRule type="expression" dxfId="101" priority="33">
      <formula>$AD26</formula>
    </cfRule>
  </conditionalFormatting>
  <conditionalFormatting sqref="L44:P44">
    <cfRule type="expression" dxfId="100" priority="34">
      <formula>$AD42</formula>
    </cfRule>
    <cfRule type="expression" dxfId="99" priority="35">
      <formula>Y41</formula>
    </cfRule>
  </conditionalFormatting>
  <conditionalFormatting sqref="L28:P28 L33:P33 L38:P38 L43:P43 L48:P48">
    <cfRule type="expression" dxfId="98" priority="12">
      <formula>$AD27</formula>
    </cfRule>
    <cfRule type="expression" dxfId="97" priority="28">
      <formula>Y26</formula>
    </cfRule>
  </conditionalFormatting>
  <conditionalFormatting sqref="K56">
    <cfRule type="expression" dxfId="96" priority="10">
      <formula>X56</formula>
    </cfRule>
    <cfRule type="expression" dxfId="95" priority="11">
      <formula>$AD56</formula>
    </cfRule>
  </conditionalFormatting>
  <conditionalFormatting sqref="K58">
    <cfRule type="expression" dxfId="94" priority="8">
      <formula>X58</formula>
    </cfRule>
    <cfRule type="expression" dxfId="93" priority="9">
      <formula>$AD58</formula>
    </cfRule>
  </conditionalFormatting>
  <conditionalFormatting sqref="K60">
    <cfRule type="expression" dxfId="92" priority="6">
      <formula>X60</formula>
    </cfRule>
    <cfRule type="expression" dxfId="91" priority="7">
      <formula>$AD60</formula>
    </cfRule>
  </conditionalFormatting>
  <conditionalFormatting sqref="K62">
    <cfRule type="expression" dxfId="90" priority="4">
      <formula>X62</formula>
    </cfRule>
    <cfRule type="expression" dxfId="89" priority="5">
      <formula>$AD62</formula>
    </cfRule>
  </conditionalFormatting>
  <conditionalFormatting sqref="K64">
    <cfRule type="expression" dxfId="88" priority="2">
      <formula>X64</formula>
    </cfRule>
    <cfRule type="expression" dxfId="87" priority="3">
      <formula>$AD64</formula>
    </cfRule>
  </conditionalFormatting>
  <conditionalFormatting sqref="L29:P29 L34:P34 L39:P39 L44:P44 L49:P49">
    <cfRule type="expression" dxfId="86" priority="1">
      <formula>$AD28</formula>
    </cfRule>
  </conditionalFormatting>
  <conditionalFormatting sqref="E6">
    <cfRule type="expression" dxfId="85" priority="36" stopIfTrue="1">
      <formula>$V6</formula>
    </cfRule>
  </conditionalFormatting>
  <conditionalFormatting sqref="E7">
    <cfRule type="expression" dxfId="84" priority="37" stopIfTrue="1">
      <formula>$V7</formula>
    </cfRule>
  </conditionalFormatting>
  <conditionalFormatting sqref="E8">
    <cfRule type="expression" dxfId="83" priority="38" stopIfTrue="1">
      <formula>$V8</formula>
    </cfRule>
  </conditionalFormatting>
  <conditionalFormatting sqref="E9">
    <cfRule type="expression" dxfId="82" priority="39" stopIfTrue="1">
      <formula>$V9</formula>
    </cfRule>
  </conditionalFormatting>
  <conditionalFormatting sqref="E10">
    <cfRule type="expression" dxfId="81" priority="40" stopIfTrue="1">
      <formula>$V10</formula>
    </cfRule>
  </conditionalFormatting>
  <conditionalFormatting sqref="E11">
    <cfRule type="expression" dxfId="80" priority="41" stopIfTrue="1">
      <formula>$V11</formula>
    </cfRule>
  </conditionalFormatting>
  <dataValidations count="16">
    <dataValidation imeMode="off" allowBlank="1" showInputMessage="1" showErrorMessage="1" sqref="D5:F5 C2" xr:uid="{D66D00E9-8B76-4DC3-AB45-4197260D01D9}"/>
    <dataValidation type="whole" imeMode="off" operator="equal" allowBlank="1" showInputMessage="1" showErrorMessage="1" error="DESC指定の場合に‐1を入力" sqref="L56:P56 L58:P58 L60:P60 L62:P62 L64:P64" xr:uid="{1A6C5333-7B23-49EF-96D0-65AF0300FC74}">
      <formula1>-1</formula1>
    </dataValidation>
    <dataValidation type="whole" imeMode="off" operator="equal" allowBlank="1" showInputMessage="1" showErrorMessage="1" error="Unique indexの場合に1を入力" sqref="K56 K58 K60 K62 K64" xr:uid="{24E47272-E1D1-4EEF-8F0F-AAB284E61BE5}">
      <formula1>1</formula1>
    </dataValidation>
    <dataValidation type="list" allowBlank="1" showInputMessage="1" showErrorMessage="1" sqref="N26 P26 N31 P31 N36 P36 N41 P41 N46 P46" xr:uid="{ED64FE1B-32E4-4ABD-B373-E5DF363E05AD}">
      <formula1>FK_OPTION</formula1>
    </dataValidation>
    <dataValidation type="list" allowBlank="1" showInputMessage="1" showErrorMessage="1" sqref="L49:P49" xr:uid="{F28D1E2B-E4A5-4903-B013-C08DBB9C4342}">
      <formula1>FK_FIELD_5</formula1>
    </dataValidation>
    <dataValidation type="list" allowBlank="1" showInputMessage="1" showErrorMessage="1" sqref="L44:P44" xr:uid="{13337EEB-9BEF-49F7-ABFE-B82303535EA0}">
      <formula1>FK_FIELD_4</formula1>
    </dataValidation>
    <dataValidation type="list" allowBlank="1" showInputMessage="1" showErrorMessage="1" sqref="L39:P39" xr:uid="{24C5CE9F-5773-4D23-BF92-5EC333B862B2}">
      <formula1>FK_FIELD_3</formula1>
    </dataValidation>
    <dataValidation type="list" allowBlank="1" showInputMessage="1" showErrorMessage="1" sqref="L34:P34" xr:uid="{DB6A8E8D-9DFD-4A63-AF19-9900F607B3DA}">
      <formula1>FK_FIELD_2</formula1>
    </dataValidation>
    <dataValidation type="list" allowBlank="1" showInputMessage="1" showErrorMessage="1" sqref="L29:P29" xr:uid="{30636158-1F42-410B-8D37-CFDFD2C1FA92}">
      <formula1>FK_FIELD_1</formula1>
    </dataValidation>
    <dataValidation type="list" allowBlank="1" showInputMessage="1" showErrorMessage="1" sqref="L26 L31 L36 L41 L46" xr:uid="{22AEAECB-15C9-458C-89C5-CCC6EBF0D9DD}">
      <formula1>TABLEリスト</formula1>
    </dataValidation>
    <dataValidation type="list" allowBlank="1" showInputMessage="1" showErrorMessage="1" sqref="F2" xr:uid="{E5D73B2D-71D4-48D7-8C9E-4E7CA7C842A7}">
      <formula1>"○,-"</formula1>
    </dataValidation>
    <dataValidation type="list" allowBlank="1" showInputMessage="1" showErrorMessage="1" sqref="L13:P22 L43:P43 L48:P48 L33:P33 L38:P38 L28:P28 L55:P55 L57:P57 L59:P59 L61:P61 L63:P63" xr:uid="{037331F3-F56A-496A-9222-80D31D093076}">
      <formula1>FIELDリスト</formula1>
    </dataValidation>
    <dataValidation type="list" allowBlank="1" showInputMessage="1" showErrorMessage="1" sqref="L8:P8" xr:uid="{1BA43500-0C25-445A-B367-A55335565037}">
      <formula1>FIELDリストNN</formula1>
    </dataValidation>
    <dataValidation type="whole" imeMode="off" operator="equal" allowBlank="1" showInputMessage="1" showErrorMessage="1" error="NotNullの場合は[1]を入力する。" sqref="E6:E105" xr:uid="{A45A406C-7C30-45B9-9F07-CE2139B9DE7B}">
      <formula1>1</formula1>
    </dataValidation>
    <dataValidation type="list" allowBlank="1" showInputMessage="1" showErrorMessage="1" sqref="B6:B105" xr:uid="{6312E1DB-2E88-4E06-89A8-F81F858F6657}">
      <formula1>項目リスト</formula1>
    </dataValidation>
    <dataValidation imeMode="on" allowBlank="1" showInputMessage="1" showErrorMessage="1" sqref="K12 A5 A1:A2 E2 K7 F6:H105 K54" xr:uid="{4855579E-04F4-48C3-97A4-457270CBF50E}"/>
  </dataValidations>
  <hyperlinks>
    <hyperlink ref="E1" location="一覧!R1C1" display="一覧へ" xr:uid="{49CD74A6-A9C7-4050-A1E3-39F854B28A3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821-D8A8-4EA9-98EA-D4E53568D3EC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4">
        <v>2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3</v>
      </c>
      <c r="AK5" s="98">
        <f>COUNTA(AK6:AK105)</f>
        <v>2</v>
      </c>
      <c r="AL5" s="86" cm="1">
        <f t="array" aca="1" ref="AL5" ca="1">IFERROR(INDIRECT($L$26&amp;"!R5C35",FALSE),1)</f>
        <v>6</v>
      </c>
      <c r="AM5" s="86" cm="1">
        <f t="array" aca="1" ref="AM5" ca="1">IFERROR(INDIRECT($L$31&amp;"!R5C35",FALSE),1)</f>
        <v>1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1" ca="1">IFERROR(OFFSET(INDIRECT($L$26&amp;"!R6C35",FALSE),,,AL5,),"N/A")</f>
        <v>得意先ID</v>
      </c>
      <c r="AM6" s="86" t="str" cm="1">
        <f t="array" aca="1" ref="AM6" ca="1">IFERROR(OFFSET(INDIRECT($L$31&amp;"!R6C35",FALSE),,,AM5,),"N/A")</f>
        <v>N/A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28</v>
      </c>
      <c r="AJ7" s="69" t="s">
        <v>28</v>
      </c>
      <c r="AK7" s="98" t="s">
        <v>175</v>
      </c>
      <c r="AL7" s="86" t="str">
        <f ca="1"/>
        <v>得意先</v>
      </c>
      <c r="AM7" s="86"/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/>
      <c r="N8" s="72"/>
      <c r="O8" s="72"/>
      <c r="P8" s="73"/>
      <c r="R8" s="86" t="str">
        <f>_xlfn.CONCAT(L8:P8)</f>
        <v>受注No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31</v>
      </c>
      <c r="AJ8" s="69" t="s">
        <v>32</v>
      </c>
      <c r="AK8" s="98"/>
      <c r="AL8" s="86" t="str">
        <f ca="1"/>
        <v>担当者名</v>
      </c>
      <c r="AM8" s="86"/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32</v>
      </c>
      <c r="AJ9" s="69"/>
      <c r="AK9" s="98"/>
      <c r="AL9" s="86" t="str">
        <f ca="1"/>
        <v>取引先区分</v>
      </c>
      <c r="AM9" s="86"/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22</v>
      </c>
      <c r="AJ10" s="69"/>
      <c r="AK10" s="98"/>
      <c r="AL10" s="86" t="str">
        <f ca="1"/>
        <v>登録日</v>
      </c>
      <c r="AM10" s="86"/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 t="str">
        <f ca="1"/>
        <v>商品担当者ID</v>
      </c>
      <c r="AM11" s="86"/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47</v>
      </c>
      <c r="M26" s="107" t="s">
        <v>198</v>
      </c>
      <c r="N26" s="103"/>
      <c r="O26" s="107" t="s">
        <v>199</v>
      </c>
      <c r="P26" s="103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得意先ID担当者名</v>
      </c>
      <c r="S27" s="69" t="str">
        <f>_xlfn.CONCAT(L26,R27)</f>
        <v>得意先得意先ID担当者名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32</v>
      </c>
      <c r="M28" s="76" t="s">
        <v>31</v>
      </c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32</v>
      </c>
      <c r="M29" s="84" t="s">
        <v>31</v>
      </c>
      <c r="N29" s="84"/>
      <c r="O29" s="84"/>
      <c r="P29" s="85"/>
      <c r="R29" s="86" t="str">
        <f t="shared" ref="R29" si="11">_xlfn.CONCAT(L29:P29)</f>
        <v>得意先ID担当者名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得意先ID</v>
      </c>
      <c r="Z29" s="86" t="str">
        <f ca="1">IFERROR(VLOOKUP(M28,項目!DATA_AREA,8,FALSE),"N/A")</f>
        <v>担当者名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得意先ID</v>
      </c>
      <c r="Z30" s="86" t="str">
        <f ca="1">IFERROR(VLOOKUP(M29,項目!DATA_AREA,8,FALSE),"N/A")</f>
        <v>担当者名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/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/>
      </c>
      <c r="S32" s="69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/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/>
      <c r="M34" s="84"/>
      <c r="N34" s="84"/>
      <c r="O34" s="84"/>
      <c r="P34" s="85"/>
      <c r="R34" s="86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N/A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N/A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31</v>
      </c>
      <c r="M55" s="110" t="s">
        <v>30</v>
      </c>
      <c r="N55" s="110"/>
      <c r="O55" s="110"/>
      <c r="P55" s="111"/>
      <c r="R55" s="86" t="str">
        <f t="shared" ref="R55:R63" si="17">_xlfn.CONCAT(L55:P55)</f>
        <v>担当者名受注No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>
        <v>1</v>
      </c>
      <c r="L56" s="112"/>
      <c r="M56" s="113"/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得意先ID</v>
      </c>
      <c r="AM106" s="69" t="str" cm="1">
        <f t="array" aca="1" ref="AM106" ca="1">IFERROR(INDIRECT($L$31&amp;"!R8C18",FALSE),"N/A")</f>
        <v>N/A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>得意先ID担当者名</v>
      </c>
      <c r="AM107" s="69" t="str" cm="1">
        <f t="array" aca="1" ref="AM107" ca="1">IFERROR(OFFSET(INDIRECT($L$31&amp;"!R13C18",FALSE),,,10,),"N/A")</f>
        <v>N/A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>登録日</v>
      </c>
      <c r="AM108" s="69"/>
      <c r="AN108" s="69"/>
      <c r="AO108" s="69"/>
      <c r="AP108" s="69"/>
    </row>
    <row r="109" spans="1:42">
      <c r="AL109" s="69" t="str">
        <f ca="1"/>
        <v>商品担当者ID</v>
      </c>
      <c r="AM109" s="69"/>
      <c r="AN109" s="69"/>
      <c r="AO109" s="69"/>
      <c r="AP109" s="69"/>
    </row>
    <row r="110" spans="1:42">
      <c r="AL110" s="69" t="str">
        <f ca="1"/>
        <v/>
      </c>
      <c r="AM110" s="69"/>
      <c r="AN110" s="69"/>
      <c r="AO110" s="69"/>
      <c r="AP110" s="69"/>
    </row>
    <row r="111" spans="1:42">
      <c r="AL111" s="69" t="str">
        <f ca="1"/>
        <v/>
      </c>
      <c r="AM111" s="69"/>
      <c r="AN111" s="69"/>
      <c r="AO111" s="69"/>
      <c r="AP111" s="69"/>
    </row>
    <row r="112" spans="1:42">
      <c r="AL112" s="69" t="str">
        <f ca="1"/>
        <v/>
      </c>
      <c r="AM112" s="69"/>
      <c r="AN112" s="69"/>
      <c r="AO112" s="69"/>
      <c r="AP112" s="69"/>
    </row>
    <row r="113" spans="38:42">
      <c r="AL113" s="69" t="str">
        <f ca="1"/>
        <v/>
      </c>
      <c r="AM113" s="69"/>
      <c r="AN113" s="69"/>
      <c r="AO113" s="69"/>
      <c r="AP113" s="69"/>
    </row>
    <row r="114" spans="38:42">
      <c r="AL114" s="69" t="str">
        <f ca="1"/>
        <v/>
      </c>
      <c r="AM114" s="69"/>
      <c r="AN114" s="69"/>
      <c r="AO114" s="69"/>
      <c r="AP114" s="69"/>
    </row>
    <row r="115" spans="38:42">
      <c r="AL115" s="69" t="str">
        <f ca="1"/>
        <v/>
      </c>
      <c r="AM115" s="69"/>
      <c r="AN115" s="69"/>
      <c r="AO115" s="69"/>
      <c r="AP115" s="69"/>
    </row>
    <row r="116" spans="38:42">
      <c r="AL116" s="69" t="str">
        <f ca="1"/>
        <v/>
      </c>
      <c r="AM116" s="69"/>
      <c r="AN116" s="69"/>
      <c r="AO116" s="69"/>
      <c r="AP116" s="69"/>
    </row>
  </sheetData>
  <phoneticPr fontId="2"/>
  <conditionalFormatting sqref="B2:C2">
    <cfRule type="expression" dxfId="79" priority="24">
      <formula>ISERROR(B2)</formula>
    </cfRule>
  </conditionalFormatting>
  <conditionalFormatting sqref="B6:B105">
    <cfRule type="expression" dxfId="78" priority="22">
      <formula>COUNTIF(FIELD_NAME,B6)&gt;1</formula>
    </cfRule>
    <cfRule type="expression" dxfId="77" priority="23">
      <formula>AND($B6&lt;&gt;"",ISNA(MATCH($B6,項目リスト,0)))</formula>
    </cfRule>
  </conditionalFormatting>
  <conditionalFormatting sqref="B6">
    <cfRule type="expression" dxfId="76" priority="21">
      <formula>$AI$6="N/A"</formula>
    </cfRule>
  </conditionalFormatting>
  <conditionalFormatting sqref="D1">
    <cfRule type="cellIs" dxfId="75" priority="20" operator="greaterThan">
      <formula>0</formula>
    </cfRule>
  </conditionalFormatting>
  <conditionalFormatting sqref="L8:P8">
    <cfRule type="expression" dxfId="74" priority="26">
      <formula>Y8</formula>
    </cfRule>
    <cfRule type="expression" dxfId="73" priority="27">
      <formula>Y7</formula>
    </cfRule>
  </conditionalFormatting>
  <conditionalFormatting sqref="L13:P22">
    <cfRule type="expression" dxfId="72" priority="18">
      <formula>Y13</formula>
    </cfRule>
    <cfRule type="expression" dxfId="71" priority="19">
      <formula>$AD13</formula>
    </cfRule>
  </conditionalFormatting>
  <conditionalFormatting sqref="L8">
    <cfRule type="expression" dxfId="70" priority="25">
      <formula>$AG$7</formula>
    </cfRule>
  </conditionalFormatting>
  <conditionalFormatting sqref="L55:P64">
    <cfRule type="expression" dxfId="69" priority="16">
      <formula>Y55</formula>
    </cfRule>
    <cfRule type="expression" dxfId="68" priority="17">
      <formula>$AD55</formula>
    </cfRule>
  </conditionalFormatting>
  <conditionalFormatting sqref="L43:P44">
    <cfRule type="expression" dxfId="67" priority="15">
      <formula>Y42</formula>
    </cfRule>
  </conditionalFormatting>
  <conditionalFormatting sqref="L43:P43">
    <cfRule type="expression" dxfId="66" priority="13">
      <formula>$AD42</formula>
    </cfRule>
    <cfRule type="expression" dxfId="65" priority="29">
      <formula>Y41</formula>
    </cfRule>
  </conditionalFormatting>
  <conditionalFormatting sqref="L43">
    <cfRule type="expression" dxfId="64" priority="14">
      <formula>$AD41</formula>
    </cfRule>
  </conditionalFormatting>
  <conditionalFormatting sqref="L28:P29 L33:P34 L38:P39 L48:P49 L43:P44">
    <cfRule type="expression" dxfId="63" priority="30">
      <formula>Y27</formula>
    </cfRule>
  </conditionalFormatting>
  <conditionalFormatting sqref="L29:P29 L34:P34 L39:P39 L49:P49">
    <cfRule type="expression" dxfId="62" priority="31">
      <formula>$AD27</formula>
    </cfRule>
    <cfRule type="expression" dxfId="61" priority="32">
      <formula>Y26</formula>
    </cfRule>
  </conditionalFormatting>
  <conditionalFormatting sqref="L28 L33 L38 L48 L43">
    <cfRule type="expression" dxfId="60" priority="33">
      <formula>$AD26</formula>
    </cfRule>
  </conditionalFormatting>
  <conditionalFormatting sqref="L44:P44">
    <cfRule type="expression" dxfId="59" priority="34">
      <formula>$AD42</formula>
    </cfRule>
    <cfRule type="expression" dxfId="58" priority="35">
      <formula>Y41</formula>
    </cfRule>
  </conditionalFormatting>
  <conditionalFormatting sqref="L28:P28 L33:P33 L38:P38 L43:P43 L48:P48">
    <cfRule type="expression" dxfId="57" priority="12">
      <formula>$AD27</formula>
    </cfRule>
    <cfRule type="expression" dxfId="56" priority="28">
      <formula>Y26</formula>
    </cfRule>
  </conditionalFormatting>
  <conditionalFormatting sqref="K56">
    <cfRule type="expression" dxfId="55" priority="10">
      <formula>X56</formula>
    </cfRule>
    <cfRule type="expression" dxfId="54" priority="11">
      <formula>$AD56</formula>
    </cfRule>
  </conditionalFormatting>
  <conditionalFormatting sqref="K58">
    <cfRule type="expression" dxfId="53" priority="8">
      <formula>X58</formula>
    </cfRule>
    <cfRule type="expression" dxfId="52" priority="9">
      <formula>$AD58</formula>
    </cfRule>
  </conditionalFormatting>
  <conditionalFormatting sqref="K60">
    <cfRule type="expression" dxfId="51" priority="6">
      <formula>X60</formula>
    </cfRule>
    <cfRule type="expression" dxfId="50" priority="7">
      <formula>$AD60</formula>
    </cfRule>
  </conditionalFormatting>
  <conditionalFormatting sqref="K62">
    <cfRule type="expression" dxfId="49" priority="4">
      <formula>X62</formula>
    </cfRule>
    <cfRule type="expression" dxfId="48" priority="5">
      <formula>$AD62</formula>
    </cfRule>
  </conditionalFormatting>
  <conditionalFormatting sqref="K64">
    <cfRule type="expression" dxfId="47" priority="2">
      <formula>X64</formula>
    </cfRule>
    <cfRule type="expression" dxfId="46" priority="3">
      <formula>$AD64</formula>
    </cfRule>
  </conditionalFormatting>
  <conditionalFormatting sqref="L29:P29 L34:P34 L39:P39 L44:P44 L49:P49">
    <cfRule type="expression" dxfId="45" priority="1">
      <formula>$AD28</formula>
    </cfRule>
  </conditionalFormatting>
  <conditionalFormatting sqref="E6">
    <cfRule type="expression" dxfId="44" priority="36" stopIfTrue="1">
      <formula>$V6</formula>
    </cfRule>
  </conditionalFormatting>
  <conditionalFormatting sqref="E7">
    <cfRule type="expression" dxfId="43" priority="37" stopIfTrue="1">
      <formula>$V7</formula>
    </cfRule>
  </conditionalFormatting>
  <conditionalFormatting sqref="E8">
    <cfRule type="expression" dxfId="42" priority="38" stopIfTrue="1">
      <formula>$V8</formula>
    </cfRule>
  </conditionalFormatting>
  <conditionalFormatting sqref="E9">
    <cfRule type="expression" dxfId="41" priority="39" stopIfTrue="1">
      <formula>$V9</formula>
    </cfRule>
  </conditionalFormatting>
  <conditionalFormatting sqref="E10">
    <cfRule type="expression" dxfId="40" priority="40" stopIfTrue="1">
      <formula>$V10</formula>
    </cfRule>
  </conditionalFormatting>
  <dataValidations count="16">
    <dataValidation imeMode="off" allowBlank="1" showInputMessage="1" showErrorMessage="1" sqref="D5:F5 C2" xr:uid="{29C74A31-2F9E-45AB-A499-1D5360677A45}"/>
    <dataValidation type="whole" imeMode="off" operator="equal" allowBlank="1" showInputMessage="1" showErrorMessage="1" error="DESC指定の場合に‐1を入力" sqref="L56:P56 L58:P58 L60:P60 L62:P62 L64:P64" xr:uid="{65EB23BB-E7A4-427F-A00F-FC741DB85CB2}">
      <formula1>-1</formula1>
    </dataValidation>
    <dataValidation type="whole" imeMode="off" operator="equal" allowBlank="1" showInputMessage="1" showErrorMessage="1" error="Unique indexの場合に1を入力" sqref="K56 K58 K60 K62 K64" xr:uid="{F62947B9-5478-431B-A819-598BA8DD64D8}">
      <formula1>1</formula1>
    </dataValidation>
    <dataValidation type="list" allowBlank="1" showInputMessage="1" showErrorMessage="1" sqref="N26 P26 N31 P31 N36 P36 N41 P41 N46 P46" xr:uid="{AF24CB1D-3FD7-4D98-9815-C97129E10BF0}">
      <formula1>FK_OPTION</formula1>
    </dataValidation>
    <dataValidation type="list" allowBlank="1" showInputMessage="1" showErrorMessage="1" sqref="L49:P49" xr:uid="{A5FA74A5-B948-4F06-B6A0-2B9B4F9B4BAD}">
      <formula1>FK_FIELD_5</formula1>
    </dataValidation>
    <dataValidation type="list" allowBlank="1" showInputMessage="1" showErrorMessage="1" sqref="L44:P44" xr:uid="{8AF3C210-CC99-4070-A0A3-43614610AB47}">
      <formula1>FK_FIELD_4</formula1>
    </dataValidation>
    <dataValidation type="list" allowBlank="1" showInputMessage="1" showErrorMessage="1" sqref="L39:P39" xr:uid="{2D5D3AFB-0500-4F5A-8C1C-4001AFC2AE79}">
      <formula1>FK_FIELD_3</formula1>
    </dataValidation>
    <dataValidation type="list" allowBlank="1" showInputMessage="1" showErrorMessage="1" sqref="L34:P34" xr:uid="{4EF0D151-8883-4275-ABC1-2A8BFA0A6616}">
      <formula1>FK_FIELD_2</formula1>
    </dataValidation>
    <dataValidation type="list" allowBlank="1" showInputMessage="1" showErrorMessage="1" sqref="L29:P29" xr:uid="{5EB3F402-9972-463E-97F3-651DAB01EE09}">
      <formula1>FK_FIELD_1</formula1>
    </dataValidation>
    <dataValidation type="list" allowBlank="1" showInputMessage="1" showErrorMessage="1" sqref="L26 L31 L36 L41 L46" xr:uid="{5B7CC82E-E33F-4270-85FE-4758857C192B}">
      <formula1>TABLEリスト</formula1>
    </dataValidation>
    <dataValidation type="list" allowBlank="1" showInputMessage="1" showErrorMessage="1" sqref="F2" xr:uid="{E18F42B0-B00E-4EDD-9E75-2AD322FC3A8B}">
      <formula1>"○,-"</formula1>
    </dataValidation>
    <dataValidation type="list" allowBlank="1" showInputMessage="1" showErrorMessage="1" sqref="L13:P22 L43:P43 L48:P48 L33:P33 L38:P38 L28:P28 L55:P55 L57:P57 L59:P59 L61:P61 L63:P63" xr:uid="{19346DE2-828B-4E30-BC29-6FA8D3DF3A0E}">
      <formula1>FIELDリスト</formula1>
    </dataValidation>
    <dataValidation type="list" allowBlank="1" showInputMessage="1" showErrorMessage="1" sqref="L8:P8" xr:uid="{7CAB0B2D-A4FB-40B1-BF9C-EA56A80B16F7}">
      <formula1>FIELDリストNN</formula1>
    </dataValidation>
    <dataValidation type="whole" imeMode="off" operator="equal" allowBlank="1" showInputMessage="1" showErrorMessage="1" error="NotNullの場合は[1]を入力する。" sqref="E6:E105" xr:uid="{E998484A-6089-4D3B-BAA1-7912901E3508}">
      <formula1>1</formula1>
    </dataValidation>
    <dataValidation type="list" allowBlank="1" showInputMessage="1" showErrorMessage="1" sqref="B6:B105" xr:uid="{BEAD0485-64A0-4A1C-BF1A-D6E658A59AC8}">
      <formula1>項目リスト</formula1>
    </dataValidation>
    <dataValidation imeMode="on" allowBlank="1" showInputMessage="1" showErrorMessage="1" sqref="K12 A5 A1:A2 E2 K7 F6:H105 K54" xr:uid="{99E35D49-B2F3-419E-A6DB-A666A362F32C}"/>
  </dataValidations>
  <hyperlinks>
    <hyperlink ref="E1" location="一覧!R1C1" display="一覧へ" xr:uid="{7B5273FD-3607-4BA7-BC0E-A01631E54AD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615D2-4A68-4A8A-8312-1C52E24B739D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4">
        <v>3</v>
      </c>
      <c r="E2" s="88" t="s">
        <v>158</v>
      </c>
      <c r="F2" s="89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8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7" t="str">
        <f ca="1">IF(AG3,AH3,AQ4)</f>
        <v/>
      </c>
    </row>
    <row r="4" spans="1:43" ht="20">
      <c r="A4" s="10" t="s">
        <v>45</v>
      </c>
      <c r="E4" s="115" t="s">
        <v>205</v>
      </c>
      <c r="K4" s="10" t="s">
        <v>46</v>
      </c>
      <c r="T4" s="68" t="s">
        <v>150</v>
      </c>
      <c r="AF4" s="7" t="s">
        <v>19</v>
      </c>
      <c r="AG4" s="7" t="b">
        <f ca="1">OR(T6:T105)</f>
        <v>0</v>
      </c>
      <c r="AH4" s="7" t="s">
        <v>219</v>
      </c>
      <c r="AI4" s="99" t="s">
        <v>186</v>
      </c>
      <c r="AJ4" s="99" t="s">
        <v>187</v>
      </c>
      <c r="AK4" s="99" t="s">
        <v>8</v>
      </c>
      <c r="AL4" s="99" t="s">
        <v>181</v>
      </c>
      <c r="AM4" s="99" t="s">
        <v>182</v>
      </c>
      <c r="AN4" s="99" t="s">
        <v>183</v>
      </c>
      <c r="AO4" s="99" t="s">
        <v>184</v>
      </c>
      <c r="AP4" s="99" t="s">
        <v>185</v>
      </c>
      <c r="AQ4" s="118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8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9">
        <f>COUNTA(AI6:AI105)</f>
        <v>5</v>
      </c>
      <c r="AJ5" s="69">
        <f>COUNTA(AJ6:AJ105)</f>
        <v>2</v>
      </c>
      <c r="AK5" s="98">
        <f>COUNTA(AK6:AK105)</f>
        <v>2</v>
      </c>
      <c r="AL5" s="86" cm="1">
        <f t="array" aca="1" ref="AL5" ca="1">IFERROR(INDIRECT($L$26&amp;"!R5C35",FALSE),1)</f>
        <v>5</v>
      </c>
      <c r="AM5" s="86" cm="1">
        <f t="array" aca="1" ref="AM5" ca="1">IFERROR(INDIRECT($L$31&amp;"!R5C35",FALSE),1)</f>
        <v>6</v>
      </c>
      <c r="AN5" s="86" cm="1">
        <f t="array" aca="1" ref="AN5" ca="1">IFERROR(INDIRECT($L$36&amp;"!R5C35",FALSE),1)</f>
        <v>1</v>
      </c>
      <c r="AO5" s="86" cm="1">
        <f t="array" aca="1" ref="AO5" ca="1">IFERROR(INDIRECT($L$41&amp;"!R5C35",FALSE),1)</f>
        <v>1</v>
      </c>
      <c r="AP5" s="86" cm="1">
        <f t="array" aca="1" ref="AP5" ca="1">IFERROR(INDIRECT($L$46&amp;"!R5C35",FALSE),1)</f>
        <v>1</v>
      </c>
      <c r="AQ5" s="118" t="str">
        <f ca="1">IF(AG5,AH5,AQ6)</f>
        <v/>
      </c>
    </row>
    <row r="6" spans="1:43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L6" s="115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8" t="s">
        <v>151</v>
      </c>
      <c r="AF6" s="7" t="s">
        <v>24</v>
      </c>
      <c r="AG6" s="7" t="b">
        <f ca="1">OR(V6:V105)</f>
        <v>0</v>
      </c>
      <c r="AH6" s="7" t="s">
        <v>221</v>
      </c>
      <c r="AI6" s="59" t="s">
        <v>174</v>
      </c>
      <c r="AJ6" s="69" t="s">
        <v>174</v>
      </c>
      <c r="AK6" s="98" t="s">
        <v>179</v>
      </c>
      <c r="AL6" s="86" t="str" cm="1">
        <f t="array" aca="1" ref="AL6:AL10" ca="1">IFERROR(OFFSET(INDIRECT($L$26&amp;"!R6C35",FALSE),,,AL5,),"N/A")</f>
        <v>受注No</v>
      </c>
      <c r="AM6" s="86" t="str" cm="1">
        <f t="array" aca="1" ref="AM6:AM11" ca="1">IFERROR(OFFSET(INDIRECT($L$31&amp;"!R6C35",FALSE),,,AM5,),"N/A")</f>
        <v>得意先ID</v>
      </c>
      <c r="AN6" s="86" t="str" cm="1">
        <f t="array" aca="1" ref="AN6" ca="1">IFERROR(OFFSET(INDIRECT($L$36&amp;"!R6C35",FALSE),,,AN5,),"N/A")</f>
        <v>N/A</v>
      </c>
      <c r="AO6" s="86" t="str" cm="1">
        <f t="array" aca="1" ref="AO6" ca="1">IFERROR(OFFSET(INDIRECT($L$41&amp;"!R6C35",FALSE),,,AO5,),"N/A")</f>
        <v>N/A</v>
      </c>
      <c r="AP6" s="86" t="str" cm="1">
        <f t="array" aca="1" ref="AP6" ca="1">IFERROR(OFFSET(INDIRECT($L$46&amp;"!R6C35",FALSE),,,AP5,),"N/A")</f>
        <v>N/A</v>
      </c>
      <c r="AQ6" s="116" t="str">
        <f ca="1">IF(AG6,AH6,"")</f>
        <v/>
      </c>
    </row>
    <row r="7" spans="1:43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9" t="s">
        <v>27</v>
      </c>
      <c r="AJ7" s="69" t="s">
        <v>27</v>
      </c>
      <c r="AK7" s="98" t="s">
        <v>166</v>
      </c>
      <c r="AL7" s="86" t="str">
        <f ca="1"/>
        <v>受注日</v>
      </c>
      <c r="AM7" s="86" t="str">
        <f ca="1"/>
        <v>得意先</v>
      </c>
      <c r="AN7" s="86"/>
      <c r="AO7" s="86"/>
      <c r="AP7" s="86"/>
      <c r="AQ7" s="117" t="str">
        <f ca="1">IF(AG7,AH7,AQ8)</f>
        <v/>
      </c>
    </row>
    <row r="8" spans="1:43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0" t="s">
        <v>14</v>
      </c>
      <c r="L8" s="71" t="s">
        <v>30</v>
      </c>
      <c r="M8" s="72" t="s">
        <v>27</v>
      </c>
      <c r="N8" s="72"/>
      <c r="O8" s="72"/>
      <c r="P8" s="73"/>
      <c r="R8" s="86" t="str">
        <f>_xlfn.CONCAT(L8:P8)</f>
        <v>受注No商品No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9" t="s">
        <v>29</v>
      </c>
      <c r="AJ8" s="69"/>
      <c r="AK8" s="98"/>
      <c r="AL8" s="86" t="str">
        <f ca="1"/>
        <v>担当者名</v>
      </c>
      <c r="AM8" s="86" t="str">
        <f ca="1"/>
        <v>担当者名</v>
      </c>
      <c r="AN8" s="86"/>
      <c r="AO8" s="86"/>
      <c r="AP8" s="86"/>
      <c r="AQ8" s="118" t="str">
        <f ca="1">IF(AG8,AH8,AQ9)</f>
        <v/>
      </c>
    </row>
    <row r="9" spans="1:43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9" t="s">
        <v>4</v>
      </c>
      <c r="AJ9" s="69"/>
      <c r="AK9" s="98"/>
      <c r="AL9" s="86" t="str">
        <f ca="1"/>
        <v>得意先ID</v>
      </c>
      <c r="AM9" s="86" t="str">
        <f ca="1"/>
        <v>取引先区分</v>
      </c>
      <c r="AN9" s="86"/>
      <c r="AO9" s="86"/>
      <c r="AP9" s="86"/>
      <c r="AQ9" s="116" t="str">
        <f>IF(AG9,AH9,"")</f>
        <v/>
      </c>
    </row>
    <row r="10" spans="1:43">
      <c r="A10" s="48">
        <v>5</v>
      </c>
      <c r="B10" s="42" t="s">
        <v>138</v>
      </c>
      <c r="C10" s="35" t="str">
        <f ca="1">IFERROR(VLOOKUP(B10,項目!DATA_AREA,2,FALSE),"")</f>
        <v>order_pic</v>
      </c>
      <c r="D10" s="35" t="str">
        <f ca="1">IFERROR(VLOOKUP(B10,項目!DATA_AREA,3,FALSE),"")</f>
        <v>varchar(4)</v>
      </c>
      <c r="E10" s="51"/>
      <c r="F10" s="45"/>
      <c r="G10" s="38" t="str">
        <f ca="1">IFERROR(VLOOKUP(B10,項目!DATA_AREA,4,FALSE),"")</f>
        <v>(LENGTH(order_pic) = 4)</v>
      </c>
      <c r="H10" s="12" t="b">
        <f ca="1">IFERROR(VLOOKUP(B10,項目!DATA_AREA,5,FALSE),"")</f>
        <v>0</v>
      </c>
      <c r="L10" s="68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9" t="s">
        <v>138</v>
      </c>
      <c r="AJ10" s="69"/>
      <c r="AK10" s="98"/>
      <c r="AL10" s="86" t="str">
        <f ca="1"/>
        <v>コメント</v>
      </c>
      <c r="AM10" s="86" t="str">
        <f ca="1"/>
        <v>登録日</v>
      </c>
      <c r="AN10" s="86"/>
      <c r="AO10" s="86"/>
      <c r="AP10" s="86"/>
      <c r="AQ10" s="117" t="str">
        <f ca="1">IF(AG10,AH10,AQ11)</f>
        <v/>
      </c>
    </row>
    <row r="11" spans="1:43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115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9"/>
      <c r="AJ11" s="69"/>
      <c r="AK11" s="98"/>
      <c r="AL11" s="86"/>
      <c r="AM11" s="86" t="str">
        <f ca="1"/>
        <v>商品担当者ID</v>
      </c>
      <c r="AN11" s="86"/>
      <c r="AO11" s="86"/>
      <c r="AP11" s="86"/>
      <c r="AQ11" s="116" t="str">
        <f>IF(AG11,AH11,"")</f>
        <v/>
      </c>
    </row>
    <row r="12" spans="1:43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8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9"/>
      <c r="AJ12" s="69"/>
      <c r="AK12" s="98"/>
      <c r="AL12" s="86"/>
      <c r="AM12" s="86"/>
      <c r="AN12" s="86"/>
      <c r="AO12" s="86"/>
      <c r="AP12" s="86"/>
      <c r="AQ12" s="117" t="str">
        <f ca="1">IF(AG12,AH12,AQ13)</f>
        <v/>
      </c>
    </row>
    <row r="13" spans="1:43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4">
        <v>1</v>
      </c>
      <c r="L13" s="75"/>
      <c r="M13" s="76"/>
      <c r="N13" s="76"/>
      <c r="O13" s="76"/>
      <c r="P13" s="77"/>
      <c r="R13" s="86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9"/>
      <c r="AJ13" s="69"/>
      <c r="AK13" s="98"/>
      <c r="AL13" s="86"/>
      <c r="AM13" s="86"/>
      <c r="AN13" s="86"/>
      <c r="AO13" s="86"/>
      <c r="AP13" s="86"/>
      <c r="AQ13" s="118" t="str">
        <f ca="1">IF(AG13,AH13,AQ14)</f>
        <v/>
      </c>
    </row>
    <row r="14" spans="1:43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8">
        <v>2</v>
      </c>
      <c r="L14" s="79"/>
      <c r="M14" s="80"/>
      <c r="N14" s="80"/>
      <c r="O14" s="80"/>
      <c r="P14" s="81"/>
      <c r="R14" s="86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9"/>
      <c r="AJ14" s="69"/>
      <c r="AK14" s="98"/>
      <c r="AL14" s="86"/>
      <c r="AM14" s="86"/>
      <c r="AN14" s="86"/>
      <c r="AO14" s="86"/>
      <c r="AP14" s="86"/>
      <c r="AQ14" s="118" t="str">
        <f ca="1">IF(AG14,AH14,AQ15)</f>
        <v/>
      </c>
    </row>
    <row r="15" spans="1:43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8">
        <v>3</v>
      </c>
      <c r="L15" s="79"/>
      <c r="M15" s="80"/>
      <c r="N15" s="80"/>
      <c r="O15" s="80"/>
      <c r="P15" s="81"/>
      <c r="R15" s="86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9"/>
      <c r="AJ15" s="69"/>
      <c r="AK15" s="98"/>
      <c r="AL15" s="86"/>
      <c r="AM15" s="86"/>
      <c r="AN15" s="86"/>
      <c r="AO15" s="86"/>
      <c r="AP15" s="86"/>
      <c r="AQ15" s="118" t="str">
        <f ca="1">IF(AG15,AH15,AQ16)</f>
        <v/>
      </c>
    </row>
    <row r="16" spans="1:43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8">
        <v>4</v>
      </c>
      <c r="L16" s="79"/>
      <c r="M16" s="80"/>
      <c r="N16" s="80"/>
      <c r="O16" s="80"/>
      <c r="P16" s="81"/>
      <c r="R16" s="86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9"/>
      <c r="AJ16" s="69"/>
      <c r="AK16" s="98"/>
      <c r="AL16" s="86"/>
      <c r="AM16" s="86"/>
      <c r="AN16" s="86"/>
      <c r="AO16" s="86"/>
      <c r="AP16" s="86"/>
      <c r="AQ16" s="116" t="str">
        <f ca="1">IF(AG16,AH16,"")</f>
        <v/>
      </c>
    </row>
    <row r="17" spans="1:43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8">
        <v>5</v>
      </c>
      <c r="L17" s="79"/>
      <c r="M17" s="80"/>
      <c r="N17" s="80"/>
      <c r="O17" s="80"/>
      <c r="P17" s="81"/>
      <c r="R17" s="86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9"/>
      <c r="AJ17" s="69"/>
      <c r="AK17" s="98"/>
      <c r="AL17" s="86"/>
      <c r="AM17" s="86"/>
      <c r="AN17" s="86"/>
      <c r="AO17" s="86"/>
      <c r="AP17" s="86"/>
      <c r="AQ17" s="117" t="str">
        <f ca="1">IF(AG17,AH17,AQ18)</f>
        <v/>
      </c>
    </row>
    <row r="18" spans="1:43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8">
        <v>6</v>
      </c>
      <c r="L18" s="79"/>
      <c r="M18" s="80"/>
      <c r="N18" s="80"/>
      <c r="O18" s="80"/>
      <c r="P18" s="81"/>
      <c r="R18" s="86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9"/>
      <c r="AJ18" s="69"/>
      <c r="AK18" s="98"/>
      <c r="AL18" s="86"/>
      <c r="AM18" s="86"/>
      <c r="AN18" s="86"/>
      <c r="AO18" s="86"/>
      <c r="AP18" s="86"/>
      <c r="AQ18" s="116" t="str">
        <f>IF(AG18,AH18,"")</f>
        <v/>
      </c>
    </row>
    <row r="19" spans="1:43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8">
        <v>7</v>
      </c>
      <c r="L19" s="79"/>
      <c r="M19" s="80"/>
      <c r="N19" s="80"/>
      <c r="O19" s="80"/>
      <c r="P19" s="81"/>
      <c r="R19" s="86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69"/>
      <c r="AK19" s="98"/>
      <c r="AL19" s="86"/>
      <c r="AM19" s="86"/>
      <c r="AN19" s="86"/>
      <c r="AO19" s="86"/>
      <c r="AP19" s="86"/>
    </row>
    <row r="20" spans="1:43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8">
        <v>8</v>
      </c>
      <c r="L20" s="79"/>
      <c r="M20" s="80"/>
      <c r="N20" s="80"/>
      <c r="O20" s="80"/>
      <c r="P20" s="81"/>
      <c r="R20" s="86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69"/>
      <c r="AK20" s="98"/>
      <c r="AL20" s="86"/>
      <c r="AM20" s="86"/>
      <c r="AN20" s="86"/>
      <c r="AO20" s="86"/>
      <c r="AP20" s="86"/>
    </row>
    <row r="21" spans="1:43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8">
        <v>9</v>
      </c>
      <c r="L21" s="79"/>
      <c r="M21" s="80"/>
      <c r="N21" s="80"/>
      <c r="O21" s="80"/>
      <c r="P21" s="81"/>
      <c r="R21" s="86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69"/>
      <c r="AK21" s="98"/>
      <c r="AL21" s="86"/>
      <c r="AM21" s="86"/>
      <c r="AN21" s="86"/>
      <c r="AO21" s="86"/>
      <c r="AP21" s="86"/>
    </row>
    <row r="22" spans="1:43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2">
        <v>10</v>
      </c>
      <c r="L22" s="83"/>
      <c r="M22" s="84"/>
      <c r="N22" s="84"/>
      <c r="O22" s="84"/>
      <c r="P22" s="85"/>
      <c r="R22" s="86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69"/>
      <c r="AK22" s="98"/>
      <c r="AL22" s="86"/>
      <c r="AM22" s="86"/>
      <c r="AN22" s="86"/>
      <c r="AO22" s="86"/>
      <c r="AP22" s="86"/>
    </row>
    <row r="23" spans="1:43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69"/>
      <c r="AK23" s="98"/>
      <c r="AL23" s="86"/>
      <c r="AM23" s="86"/>
      <c r="AN23" s="86"/>
      <c r="AO23" s="86"/>
      <c r="AP23" s="86"/>
    </row>
    <row r="24" spans="1:43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8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8" t="s">
        <v>192</v>
      </c>
      <c r="AI24" s="59"/>
      <c r="AJ24" s="69"/>
      <c r="AK24" s="98"/>
      <c r="AL24" s="86"/>
      <c r="AM24" s="86"/>
      <c r="AN24" s="86"/>
      <c r="AO24" s="86"/>
      <c r="AP24" s="86"/>
    </row>
    <row r="25" spans="1:43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L25" s="115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69"/>
      <c r="AK25" s="98"/>
      <c r="AL25" s="86"/>
      <c r="AM25" s="86"/>
      <c r="AN25" s="86"/>
      <c r="AO25" s="86"/>
      <c r="AP25" s="86"/>
    </row>
    <row r="26" spans="1:43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6" t="s">
        <v>197</v>
      </c>
      <c r="L26" s="103" t="s">
        <v>166</v>
      </c>
      <c r="M26" s="107" t="s">
        <v>198</v>
      </c>
      <c r="N26" s="103" t="s">
        <v>189</v>
      </c>
      <c r="O26" s="107" t="s">
        <v>199</v>
      </c>
      <c r="P26" s="103" t="s">
        <v>189</v>
      </c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69"/>
      <c r="AK26" s="98"/>
      <c r="AL26" s="86"/>
      <c r="AM26" s="86"/>
      <c r="AN26" s="86"/>
      <c r="AO26" s="86"/>
      <c r="AP26" s="86"/>
    </row>
    <row r="27" spans="1:43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2">
        <v>1</v>
      </c>
      <c r="L27" s="101">
        <v>1</v>
      </c>
      <c r="M27" s="57">
        <v>2</v>
      </c>
      <c r="N27" s="57">
        <v>3</v>
      </c>
      <c r="O27" s="57">
        <v>4</v>
      </c>
      <c r="P27" s="58">
        <v>5</v>
      </c>
      <c r="R27" s="86" t="str">
        <f>_xlfn.CONCAT(L28:P28)</f>
        <v>受注No</v>
      </c>
      <c r="S27" s="69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69"/>
      <c r="AK27" s="98"/>
      <c r="AL27" s="86"/>
      <c r="AM27" s="86"/>
      <c r="AN27" s="86"/>
      <c r="AO27" s="86"/>
      <c r="AP27" s="86"/>
    </row>
    <row r="28" spans="1:43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4" t="s">
        <v>200</v>
      </c>
      <c r="L28" s="95" t="s">
        <v>30</v>
      </c>
      <c r="M28" s="76"/>
      <c r="N28" s="76"/>
      <c r="O28" s="76"/>
      <c r="P28" s="77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9"/>
      <c r="AJ28" s="69"/>
      <c r="AK28" s="98"/>
      <c r="AL28" s="86"/>
      <c r="AM28" s="86"/>
      <c r="AN28" s="86"/>
      <c r="AO28" s="86"/>
      <c r="AP28" s="86"/>
    </row>
    <row r="29" spans="1:43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5" t="s">
        <v>201</v>
      </c>
      <c r="L29" s="96" t="s">
        <v>30</v>
      </c>
      <c r="M29" s="84"/>
      <c r="N29" s="84"/>
      <c r="O29" s="84"/>
      <c r="P29" s="85"/>
      <c r="R29" s="86" t="str">
        <f t="shared" ref="R29" si="11">_xlfn.CONCAT(L29:P29)</f>
        <v>受注No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6" t="str">
        <f ca="1">IFERROR(VLOOKUP(L28,項目!DATA_AREA,8,FALSE),"N/A")</f>
        <v>受注No</v>
      </c>
      <c r="Z29" s="86" t="str">
        <f ca="1">IFERROR(VLOOKUP(M28,項目!DATA_AREA,8,FALSE),"N/A")</f>
        <v>N/A</v>
      </c>
      <c r="AA29" s="86" t="str">
        <f ca="1">IFERROR(VLOOKUP(N28,項目!DATA_AREA,8,FALSE),"N/A")</f>
        <v>N/A</v>
      </c>
      <c r="AB29" s="86" t="str">
        <f ca="1">IFERROR(VLOOKUP(O28,項目!DATA_AREA,8,FALSE),"N/A")</f>
        <v>N/A</v>
      </c>
      <c r="AC29" s="86" t="str">
        <f ca="1">IFERROR(VLOOKUP(P28,項目!DATA_AREA,8,FALSE),"N/A")</f>
        <v>N/A</v>
      </c>
      <c r="AI29" s="59"/>
      <c r="AJ29" s="69"/>
      <c r="AK29" s="98"/>
      <c r="AL29" s="86"/>
      <c r="AM29" s="86"/>
      <c r="AN29" s="86"/>
      <c r="AO29" s="86"/>
      <c r="AP29" s="86"/>
    </row>
    <row r="30" spans="1:43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6" t="str">
        <f ca="1">IFERROR(VLOOKUP(L29,項目!DATA_AREA,8,FALSE),"N/A")</f>
        <v>受注No</v>
      </c>
      <c r="Z30" s="86" t="str">
        <f ca="1">IFERROR(VLOOKUP(M29,項目!DATA_AREA,8,FALSE),"N/A")</f>
        <v>N/A</v>
      </c>
      <c r="AA30" s="86" t="str">
        <f ca="1">IFERROR(VLOOKUP(N29,項目!DATA_AREA,8,FALSE),"N/A")</f>
        <v>N/A</v>
      </c>
      <c r="AB30" s="86" t="str">
        <f ca="1">IFERROR(VLOOKUP(O29,項目!DATA_AREA,8,FALSE),"N/A")</f>
        <v>N/A</v>
      </c>
      <c r="AC30" s="86" t="str">
        <f ca="1">IFERROR(VLOOKUP(P29,項目!DATA_AREA,8,FALSE),"N/A")</f>
        <v>N/A</v>
      </c>
      <c r="AI30" s="59"/>
      <c r="AJ30" s="69"/>
      <c r="AK30" s="98"/>
      <c r="AL30" s="86"/>
      <c r="AM30" s="86"/>
      <c r="AN30" s="86"/>
      <c r="AO30" s="86"/>
      <c r="AP30" s="86"/>
    </row>
    <row r="31" spans="1:43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6" t="s">
        <v>197</v>
      </c>
      <c r="L31" s="103" t="s">
        <v>47</v>
      </c>
      <c r="M31" s="107" t="s">
        <v>198</v>
      </c>
      <c r="N31" s="103"/>
      <c r="O31" s="107" t="s">
        <v>199</v>
      </c>
      <c r="P31" s="103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69"/>
      <c r="AK31" s="98"/>
      <c r="AL31" s="86"/>
      <c r="AM31" s="86"/>
      <c r="AN31" s="86"/>
      <c r="AO31" s="86"/>
      <c r="AP31" s="86"/>
    </row>
    <row r="32" spans="1:43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2">
        <v>2</v>
      </c>
      <c r="L32" s="101">
        <v>1</v>
      </c>
      <c r="M32" s="57">
        <v>2</v>
      </c>
      <c r="N32" s="57">
        <v>3</v>
      </c>
      <c r="O32" s="57">
        <v>4</v>
      </c>
      <c r="P32" s="58">
        <v>5</v>
      </c>
      <c r="R32" s="86" t="str">
        <f>_xlfn.CONCAT(L33:P33)</f>
        <v>受注担当者ID</v>
      </c>
      <c r="S32" s="69" t="str">
        <f>_xlfn.CONCAT(L31,R32)</f>
        <v>得意先受注担当者ID</v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69"/>
      <c r="AK32" s="98"/>
      <c r="AL32" s="86"/>
      <c r="AM32" s="86"/>
      <c r="AN32" s="86"/>
      <c r="AO32" s="86"/>
      <c r="AP32" s="86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4" t="s">
        <v>200</v>
      </c>
      <c r="L33" s="95" t="s">
        <v>138</v>
      </c>
      <c r="M33" s="76"/>
      <c r="N33" s="76"/>
      <c r="O33" s="76"/>
      <c r="P33" s="77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9"/>
      <c r="AJ33" s="69"/>
      <c r="AK33" s="98"/>
      <c r="AL33" s="86"/>
      <c r="AM33" s="86"/>
      <c r="AN33" s="86"/>
      <c r="AO33" s="86"/>
      <c r="AP33" s="86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5" t="s">
        <v>201</v>
      </c>
      <c r="L34" s="96" t="s">
        <v>141</v>
      </c>
      <c r="M34" s="84"/>
      <c r="N34" s="84"/>
      <c r="O34" s="84"/>
      <c r="P34" s="85"/>
      <c r="R34" s="86" t="str">
        <f t="shared" ref="R34" si="12">_xlfn.CONCAT(L34:P34)</f>
        <v>商品担当者ID</v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6" t="str">
        <f ca="1">IFERROR(VLOOKUP(L33,項目!DATA_AREA,8,FALSE),"N/A")</f>
        <v>ユーザーID</v>
      </c>
      <c r="Z34" s="86" t="str">
        <f ca="1">IFERROR(VLOOKUP(M33,項目!DATA_AREA,8,FALSE),"N/A")</f>
        <v>N/A</v>
      </c>
      <c r="AA34" s="86" t="str">
        <f ca="1">IFERROR(VLOOKUP(N33,項目!DATA_AREA,8,FALSE),"N/A")</f>
        <v>N/A</v>
      </c>
      <c r="AB34" s="86" t="str">
        <f ca="1">IFERROR(VLOOKUP(O33,項目!DATA_AREA,8,FALSE),"N/A")</f>
        <v>N/A</v>
      </c>
      <c r="AC34" s="86" t="str">
        <f ca="1">IFERROR(VLOOKUP(P33,項目!DATA_AREA,8,FALSE),"N/A")</f>
        <v>N/A</v>
      </c>
      <c r="AI34" s="59"/>
      <c r="AJ34" s="69"/>
      <c r="AK34" s="98"/>
      <c r="AL34" s="86"/>
      <c r="AM34" s="86"/>
      <c r="AN34" s="86"/>
      <c r="AO34" s="86"/>
      <c r="AP34" s="86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6" t="str">
        <f ca="1">IFERROR(VLOOKUP(L34,項目!DATA_AREA,8,FALSE),"N/A")</f>
        <v>ユーザーID</v>
      </c>
      <c r="Z35" s="86" t="str">
        <f ca="1">IFERROR(VLOOKUP(M34,項目!DATA_AREA,8,FALSE),"N/A")</f>
        <v>N/A</v>
      </c>
      <c r="AA35" s="86" t="str">
        <f ca="1">IFERROR(VLOOKUP(N34,項目!DATA_AREA,8,FALSE),"N/A")</f>
        <v>N/A</v>
      </c>
      <c r="AB35" s="86" t="str">
        <f ca="1">IFERROR(VLOOKUP(O34,項目!DATA_AREA,8,FALSE),"N/A")</f>
        <v>N/A</v>
      </c>
      <c r="AC35" s="86" t="str">
        <f ca="1">IFERROR(VLOOKUP(P34,項目!DATA_AREA,8,FALSE),"N/A")</f>
        <v>N/A</v>
      </c>
      <c r="AI35" s="59"/>
      <c r="AJ35" s="69"/>
      <c r="AK35" s="98"/>
      <c r="AL35" s="86"/>
      <c r="AM35" s="86"/>
      <c r="AN35" s="86"/>
      <c r="AO35" s="86"/>
      <c r="AP35" s="86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6" t="s">
        <v>197</v>
      </c>
      <c r="L36" s="103"/>
      <c r="M36" s="107" t="s">
        <v>198</v>
      </c>
      <c r="N36" s="103"/>
      <c r="O36" s="107" t="s">
        <v>199</v>
      </c>
      <c r="P36" s="103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69"/>
      <c r="AK36" s="98"/>
      <c r="AL36" s="86"/>
      <c r="AM36" s="86"/>
      <c r="AN36" s="86"/>
      <c r="AO36" s="86"/>
      <c r="AP36" s="86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2">
        <v>3</v>
      </c>
      <c r="L37" s="101">
        <v>1</v>
      </c>
      <c r="M37" s="57">
        <v>2</v>
      </c>
      <c r="N37" s="57">
        <v>3</v>
      </c>
      <c r="O37" s="57">
        <v>4</v>
      </c>
      <c r="P37" s="58">
        <v>5</v>
      </c>
      <c r="R37" s="86" t="str">
        <f>_xlfn.CONCAT(L38:P38)</f>
        <v/>
      </c>
      <c r="S37" s="69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69"/>
      <c r="AK37" s="98"/>
      <c r="AL37" s="86"/>
      <c r="AM37" s="86"/>
      <c r="AN37" s="86"/>
      <c r="AO37" s="86"/>
      <c r="AP37" s="86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4" t="s">
        <v>200</v>
      </c>
      <c r="L38" s="95"/>
      <c r="M38" s="76"/>
      <c r="N38" s="76"/>
      <c r="O38" s="76"/>
      <c r="P38" s="77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9"/>
      <c r="AJ38" s="69"/>
      <c r="AK38" s="98"/>
      <c r="AL38" s="86"/>
      <c r="AM38" s="86"/>
      <c r="AN38" s="86"/>
      <c r="AO38" s="86"/>
      <c r="AP38" s="86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5" t="s">
        <v>201</v>
      </c>
      <c r="L39" s="96"/>
      <c r="M39" s="84"/>
      <c r="N39" s="84"/>
      <c r="O39" s="84"/>
      <c r="P39" s="85"/>
      <c r="R39" s="86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6" t="str">
        <f ca="1">IFERROR(VLOOKUP(L38,項目!DATA_AREA,8,FALSE),"N/A")</f>
        <v>N/A</v>
      </c>
      <c r="Z39" s="86" t="str">
        <f ca="1">IFERROR(VLOOKUP(M38,項目!DATA_AREA,8,FALSE),"N/A")</f>
        <v>N/A</v>
      </c>
      <c r="AA39" s="86" t="str">
        <f ca="1">IFERROR(VLOOKUP(N38,項目!DATA_AREA,8,FALSE),"N/A")</f>
        <v>N/A</v>
      </c>
      <c r="AB39" s="86" t="str">
        <f ca="1">IFERROR(VLOOKUP(O38,項目!DATA_AREA,8,FALSE),"N/A")</f>
        <v>N/A</v>
      </c>
      <c r="AC39" s="86" t="str">
        <f ca="1">IFERROR(VLOOKUP(P38,項目!DATA_AREA,8,FALSE),"N/A")</f>
        <v>N/A</v>
      </c>
      <c r="AI39" s="59"/>
      <c r="AJ39" s="69"/>
      <c r="AK39" s="98"/>
      <c r="AL39" s="86"/>
      <c r="AM39" s="86"/>
      <c r="AN39" s="86"/>
      <c r="AO39" s="86"/>
      <c r="AP39" s="86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6" t="str">
        <f ca="1">IFERROR(VLOOKUP(L39,項目!DATA_AREA,8,FALSE),"N/A")</f>
        <v>N/A</v>
      </c>
      <c r="Z40" s="86" t="str">
        <f ca="1">IFERROR(VLOOKUP(M39,項目!DATA_AREA,8,FALSE),"N/A")</f>
        <v>N/A</v>
      </c>
      <c r="AA40" s="86" t="str">
        <f ca="1">IFERROR(VLOOKUP(N39,項目!DATA_AREA,8,FALSE),"N/A")</f>
        <v>N/A</v>
      </c>
      <c r="AB40" s="86" t="str">
        <f ca="1">IFERROR(VLOOKUP(O39,項目!DATA_AREA,8,FALSE),"N/A")</f>
        <v>N/A</v>
      </c>
      <c r="AC40" s="86" t="str">
        <f ca="1">IFERROR(VLOOKUP(P39,項目!DATA_AREA,8,FALSE),"N/A")</f>
        <v>N/A</v>
      </c>
      <c r="AI40" s="59"/>
      <c r="AJ40" s="69"/>
      <c r="AK40" s="98"/>
      <c r="AL40" s="86"/>
      <c r="AM40" s="86"/>
      <c r="AN40" s="86"/>
      <c r="AO40" s="86"/>
      <c r="AP40" s="86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6" t="s">
        <v>197</v>
      </c>
      <c r="L41" s="103"/>
      <c r="M41" s="107" t="s">
        <v>198</v>
      </c>
      <c r="N41" s="103"/>
      <c r="O41" s="107" t="s">
        <v>199</v>
      </c>
      <c r="P41" s="103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69"/>
      <c r="AK41" s="98"/>
      <c r="AL41" s="86"/>
      <c r="AM41" s="86"/>
      <c r="AN41" s="86"/>
      <c r="AO41" s="86"/>
      <c r="AP41" s="86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2">
        <v>4</v>
      </c>
      <c r="L42" s="101">
        <v>1</v>
      </c>
      <c r="M42" s="57">
        <v>2</v>
      </c>
      <c r="N42" s="57">
        <v>3</v>
      </c>
      <c r="O42" s="57">
        <v>4</v>
      </c>
      <c r="P42" s="58">
        <v>5</v>
      </c>
      <c r="R42" s="86" t="str">
        <f>_xlfn.CONCAT(L43:P43)</f>
        <v/>
      </c>
      <c r="S42" s="69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69"/>
      <c r="AK42" s="98"/>
      <c r="AL42" s="86"/>
      <c r="AM42" s="86"/>
      <c r="AN42" s="86"/>
      <c r="AO42" s="86"/>
      <c r="AP42" s="86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4" t="s">
        <v>200</v>
      </c>
      <c r="L43" s="95"/>
      <c r="M43" s="76"/>
      <c r="N43" s="76"/>
      <c r="O43" s="76"/>
      <c r="P43" s="77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9"/>
      <c r="AJ43" s="69"/>
      <c r="AK43" s="98"/>
      <c r="AL43" s="86"/>
      <c r="AM43" s="86"/>
      <c r="AN43" s="86"/>
      <c r="AO43" s="86"/>
      <c r="AP43" s="86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5" t="s">
        <v>201</v>
      </c>
      <c r="L44" s="96"/>
      <c r="M44" s="84"/>
      <c r="N44" s="84"/>
      <c r="O44" s="84"/>
      <c r="P44" s="85"/>
      <c r="R44" s="86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6" t="str">
        <f ca="1">IFERROR(VLOOKUP(L43,項目!DATA_AREA,8,FALSE),"N/A")</f>
        <v>N/A</v>
      </c>
      <c r="Z44" s="86" t="str">
        <f ca="1">IFERROR(VLOOKUP(M43,項目!DATA_AREA,8,FALSE),"N/A")</f>
        <v>N/A</v>
      </c>
      <c r="AA44" s="86" t="str">
        <f ca="1">IFERROR(VLOOKUP(N43,項目!DATA_AREA,8,FALSE),"N/A")</f>
        <v>N/A</v>
      </c>
      <c r="AB44" s="86" t="str">
        <f ca="1">IFERROR(VLOOKUP(O43,項目!DATA_AREA,8,FALSE),"N/A")</f>
        <v>N/A</v>
      </c>
      <c r="AC44" s="86" t="str">
        <f ca="1">IFERROR(VLOOKUP(P43,項目!DATA_AREA,8,FALSE),"N/A")</f>
        <v>N/A</v>
      </c>
      <c r="AI44" s="59"/>
      <c r="AJ44" s="69"/>
      <c r="AK44" s="98"/>
      <c r="AL44" s="86"/>
      <c r="AM44" s="86"/>
      <c r="AN44" s="86"/>
      <c r="AO44" s="86"/>
      <c r="AP44" s="86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6" t="str">
        <f ca="1">IFERROR(VLOOKUP(L44,項目!DATA_AREA,8,FALSE),"N/A")</f>
        <v>N/A</v>
      </c>
      <c r="Z45" s="86" t="str">
        <f ca="1">IFERROR(VLOOKUP(M44,項目!DATA_AREA,8,FALSE),"N/A")</f>
        <v>N/A</v>
      </c>
      <c r="AA45" s="86" t="str">
        <f ca="1">IFERROR(VLOOKUP(N44,項目!DATA_AREA,8,FALSE),"N/A")</f>
        <v>N/A</v>
      </c>
      <c r="AB45" s="86" t="str">
        <f ca="1">IFERROR(VLOOKUP(O44,項目!DATA_AREA,8,FALSE),"N/A")</f>
        <v>N/A</v>
      </c>
      <c r="AC45" s="86" t="str">
        <f ca="1">IFERROR(VLOOKUP(P44,項目!DATA_AREA,8,FALSE),"N/A")</f>
        <v>N/A</v>
      </c>
      <c r="AI45" s="59"/>
      <c r="AJ45" s="69"/>
      <c r="AK45" s="98"/>
      <c r="AL45" s="86"/>
      <c r="AM45" s="86"/>
      <c r="AN45" s="86"/>
      <c r="AO45" s="86"/>
      <c r="AP45" s="86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6" t="s">
        <v>197</v>
      </c>
      <c r="L46" s="103"/>
      <c r="M46" s="107" t="s">
        <v>198</v>
      </c>
      <c r="N46" s="103"/>
      <c r="O46" s="107" t="s">
        <v>199</v>
      </c>
      <c r="P46" s="103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69"/>
      <c r="AK46" s="98"/>
      <c r="AL46" s="86"/>
      <c r="AM46" s="86"/>
      <c r="AN46" s="86"/>
      <c r="AO46" s="86"/>
      <c r="AP46" s="86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2">
        <v>5</v>
      </c>
      <c r="L47" s="101">
        <v>1</v>
      </c>
      <c r="M47" s="57">
        <v>2</v>
      </c>
      <c r="N47" s="57">
        <v>3</v>
      </c>
      <c r="O47" s="57">
        <v>4</v>
      </c>
      <c r="P47" s="58">
        <v>5</v>
      </c>
      <c r="R47" s="86" t="str">
        <f>_xlfn.CONCAT(L48:P48)</f>
        <v/>
      </c>
      <c r="S47" s="69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69"/>
      <c r="AK47" s="98"/>
      <c r="AL47" s="86"/>
      <c r="AM47" s="86"/>
      <c r="AN47" s="86"/>
      <c r="AO47" s="86"/>
      <c r="AP47" s="86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4" t="s">
        <v>200</v>
      </c>
      <c r="L48" s="95"/>
      <c r="M48" s="76"/>
      <c r="N48" s="76"/>
      <c r="O48" s="76"/>
      <c r="P48" s="77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9"/>
      <c r="AJ48" s="69"/>
      <c r="AK48" s="98"/>
      <c r="AL48" s="86"/>
      <c r="AM48" s="86"/>
      <c r="AN48" s="86"/>
      <c r="AO48" s="86"/>
      <c r="AP48" s="86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5" t="s">
        <v>201</v>
      </c>
      <c r="L49" s="96"/>
      <c r="M49" s="84"/>
      <c r="N49" s="84"/>
      <c r="O49" s="84"/>
      <c r="P49" s="85"/>
      <c r="R49" s="86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6" t="str">
        <f ca="1">IFERROR(VLOOKUP(L48,項目!DATA_AREA,8,FALSE),"N/A")</f>
        <v>N/A</v>
      </c>
      <c r="Z49" s="86" t="str">
        <f ca="1">IFERROR(VLOOKUP(M48,項目!DATA_AREA,8,FALSE),"N/A")</f>
        <v>N/A</v>
      </c>
      <c r="AA49" s="86" t="str">
        <f ca="1">IFERROR(VLOOKUP(N48,項目!DATA_AREA,8,FALSE),"N/A")</f>
        <v>N/A</v>
      </c>
      <c r="AB49" s="86" t="str">
        <f ca="1">IFERROR(VLOOKUP(O48,項目!DATA_AREA,8,FALSE),"N/A")</f>
        <v>N/A</v>
      </c>
      <c r="AC49" s="86" t="str">
        <f ca="1">IFERROR(VLOOKUP(P48,項目!DATA_AREA,8,FALSE),"N/A")</f>
        <v>N/A</v>
      </c>
      <c r="AI49" s="59"/>
      <c r="AJ49" s="69"/>
      <c r="AK49" s="98"/>
      <c r="AL49" s="86"/>
      <c r="AM49" s="86"/>
      <c r="AN49" s="86"/>
      <c r="AO49" s="86"/>
      <c r="AP49" s="86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6" t="str">
        <f ca="1">IFERROR(VLOOKUP(L49,項目!DATA_AREA,8,FALSE),"N/A")</f>
        <v>N/A</v>
      </c>
      <c r="Z50" s="86" t="str">
        <f ca="1">IFERROR(VLOOKUP(M49,項目!DATA_AREA,8,FALSE),"N/A")</f>
        <v>N/A</v>
      </c>
      <c r="AA50" s="86" t="str">
        <f ca="1">IFERROR(VLOOKUP(N49,項目!DATA_AREA,8,FALSE),"N/A")</f>
        <v>N/A</v>
      </c>
      <c r="AB50" s="86" t="str">
        <f ca="1">IFERROR(VLOOKUP(O49,項目!DATA_AREA,8,FALSE),"N/A")</f>
        <v>N/A</v>
      </c>
      <c r="AC50" s="86" t="str">
        <f ca="1">IFERROR(VLOOKUP(P49,項目!DATA_AREA,8,FALSE),"N/A")</f>
        <v>N/A</v>
      </c>
      <c r="AI50" s="59"/>
      <c r="AJ50" s="69"/>
      <c r="AK50" s="98"/>
      <c r="AL50" s="86"/>
      <c r="AM50" s="86"/>
      <c r="AN50" s="86"/>
      <c r="AO50" s="86"/>
      <c r="AP50" s="86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7"/>
      <c r="L51" s="97"/>
      <c r="M51" s="97"/>
      <c r="N51" s="97"/>
      <c r="O51" s="97"/>
      <c r="P51" s="97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9"/>
      <c r="AJ51" s="69"/>
      <c r="AK51" s="98"/>
      <c r="AL51" s="86"/>
      <c r="AM51" s="86"/>
      <c r="AN51" s="86"/>
      <c r="AO51" s="86"/>
      <c r="AP51" s="86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8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9"/>
      <c r="AJ52" s="69"/>
      <c r="AK52" s="98"/>
      <c r="AL52" s="86"/>
      <c r="AM52" s="86"/>
      <c r="AN52" s="86"/>
      <c r="AO52" s="86"/>
      <c r="AP52" s="86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5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9"/>
      <c r="AJ53" s="69"/>
      <c r="AK53" s="98"/>
      <c r="AL53" s="86"/>
      <c r="AM53" s="86"/>
      <c r="AN53" s="86"/>
      <c r="AO53" s="86"/>
      <c r="AP53" s="86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8" t="s">
        <v>196</v>
      </c>
      <c r="AD54" s="7" t="s">
        <v>153</v>
      </c>
      <c r="AI54" s="59"/>
      <c r="AJ54" s="69"/>
      <c r="AK54" s="98"/>
      <c r="AL54" s="86"/>
      <c r="AM54" s="86"/>
      <c r="AN54" s="86"/>
      <c r="AO54" s="86"/>
      <c r="AP54" s="86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4">
        <v>1</v>
      </c>
      <c r="L55" s="109" t="s">
        <v>27</v>
      </c>
      <c r="M55" s="110" t="s">
        <v>29</v>
      </c>
      <c r="N55" s="110"/>
      <c r="O55" s="110"/>
      <c r="P55" s="111"/>
      <c r="R55" s="86" t="str">
        <f t="shared" ref="R55:R63" si="17">_xlfn.CONCAT(L55:P55)</f>
        <v>商品No数量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9"/>
      <c r="AJ55" s="69"/>
      <c r="AK55" s="98"/>
      <c r="AL55" s="86"/>
      <c r="AM55" s="86"/>
      <c r="AN55" s="86"/>
      <c r="AO55" s="86"/>
      <c r="AP55" s="86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8"/>
      <c r="L56" s="112"/>
      <c r="M56" s="113">
        <v>-1</v>
      </c>
      <c r="N56" s="113"/>
      <c r="O56" s="113"/>
      <c r="P56" s="114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9"/>
      <c r="AJ56" s="69"/>
      <c r="AK56" s="98"/>
      <c r="AL56" s="86"/>
      <c r="AM56" s="86"/>
      <c r="AN56" s="86"/>
      <c r="AO56" s="86"/>
      <c r="AP56" s="86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4">
        <v>2</v>
      </c>
      <c r="L57" s="109"/>
      <c r="M57" s="110"/>
      <c r="N57" s="110"/>
      <c r="O57" s="110"/>
      <c r="P57" s="111"/>
      <c r="R57" s="86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9"/>
      <c r="AJ57" s="69"/>
      <c r="AK57" s="98"/>
      <c r="AL57" s="86"/>
      <c r="AM57" s="86"/>
      <c r="AN57" s="86"/>
      <c r="AO57" s="86"/>
      <c r="AP57" s="86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8"/>
      <c r="L58" s="112"/>
      <c r="M58" s="113"/>
      <c r="N58" s="113"/>
      <c r="O58" s="113"/>
      <c r="P58" s="114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9"/>
      <c r="AJ58" s="69"/>
      <c r="AK58" s="98"/>
      <c r="AL58" s="86"/>
      <c r="AM58" s="86"/>
      <c r="AN58" s="86"/>
      <c r="AO58" s="86"/>
      <c r="AP58" s="86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4">
        <v>3</v>
      </c>
      <c r="L59" s="109"/>
      <c r="M59" s="110"/>
      <c r="N59" s="110"/>
      <c r="O59" s="110"/>
      <c r="P59" s="111"/>
      <c r="R59" s="86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9"/>
      <c r="AJ59" s="69"/>
      <c r="AK59" s="98"/>
      <c r="AL59" s="86"/>
      <c r="AM59" s="86"/>
      <c r="AN59" s="86"/>
      <c r="AO59" s="86"/>
      <c r="AP59" s="86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8"/>
      <c r="L60" s="112"/>
      <c r="M60" s="113"/>
      <c r="N60" s="113"/>
      <c r="O60" s="113"/>
      <c r="P60" s="114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9"/>
      <c r="AJ60" s="69"/>
      <c r="AK60" s="98"/>
      <c r="AL60" s="86"/>
      <c r="AM60" s="86"/>
      <c r="AN60" s="86"/>
      <c r="AO60" s="86"/>
      <c r="AP60" s="86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4">
        <v>4</v>
      </c>
      <c r="L61" s="109"/>
      <c r="M61" s="110"/>
      <c r="N61" s="110"/>
      <c r="O61" s="110"/>
      <c r="P61" s="111"/>
      <c r="R61" s="86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9"/>
      <c r="AJ61" s="69"/>
      <c r="AK61" s="98"/>
      <c r="AL61" s="86"/>
      <c r="AM61" s="86"/>
      <c r="AN61" s="86"/>
      <c r="AO61" s="86"/>
      <c r="AP61" s="86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8"/>
      <c r="L62" s="112"/>
      <c r="M62" s="113"/>
      <c r="N62" s="113"/>
      <c r="O62" s="113"/>
      <c r="P62" s="114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9"/>
      <c r="AJ62" s="69"/>
      <c r="AK62" s="98"/>
      <c r="AL62" s="86"/>
      <c r="AM62" s="86"/>
      <c r="AN62" s="86"/>
      <c r="AO62" s="86"/>
      <c r="AP62" s="86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4">
        <v>5</v>
      </c>
      <c r="L63" s="109"/>
      <c r="M63" s="110"/>
      <c r="N63" s="110"/>
      <c r="O63" s="110"/>
      <c r="P63" s="111"/>
      <c r="R63" s="86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9"/>
      <c r="AJ63" s="69"/>
      <c r="AK63" s="98"/>
      <c r="AL63" s="86"/>
      <c r="AM63" s="86"/>
      <c r="AN63" s="86"/>
      <c r="AO63" s="86"/>
      <c r="AP63" s="86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8"/>
      <c r="L64" s="112"/>
      <c r="M64" s="113"/>
      <c r="N64" s="113"/>
      <c r="O64" s="113"/>
      <c r="P64" s="114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9"/>
      <c r="AJ64" s="69"/>
      <c r="AK64" s="98"/>
      <c r="AL64" s="86"/>
      <c r="AM64" s="86"/>
      <c r="AN64" s="86"/>
      <c r="AO64" s="86"/>
      <c r="AP64" s="86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9"/>
      <c r="AJ65" s="69"/>
      <c r="AK65" s="98"/>
      <c r="AL65" s="86"/>
      <c r="AM65" s="86"/>
      <c r="AN65" s="86"/>
      <c r="AO65" s="86"/>
      <c r="AP65" s="86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9"/>
      <c r="AJ66" s="69"/>
      <c r="AK66" s="98"/>
      <c r="AL66" s="86"/>
      <c r="AM66" s="86"/>
      <c r="AN66" s="86"/>
      <c r="AO66" s="86"/>
      <c r="AP66" s="86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9"/>
      <c r="AJ67" s="69"/>
      <c r="AK67" s="98"/>
      <c r="AL67" s="86"/>
      <c r="AM67" s="86"/>
      <c r="AN67" s="86"/>
      <c r="AO67" s="86"/>
      <c r="AP67" s="86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9"/>
      <c r="AJ68" s="69"/>
      <c r="AK68" s="98"/>
      <c r="AL68" s="86"/>
      <c r="AM68" s="86"/>
      <c r="AN68" s="86"/>
      <c r="AO68" s="86"/>
      <c r="AP68" s="86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9"/>
      <c r="AJ69" s="69"/>
      <c r="AK69" s="98"/>
      <c r="AL69" s="86"/>
      <c r="AM69" s="86"/>
      <c r="AN69" s="86"/>
      <c r="AO69" s="86"/>
      <c r="AP69" s="86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9"/>
      <c r="AJ70" s="69"/>
      <c r="AK70" s="98"/>
      <c r="AL70" s="86"/>
      <c r="AM70" s="86"/>
      <c r="AN70" s="86"/>
      <c r="AO70" s="86"/>
      <c r="AP70" s="86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9"/>
      <c r="AJ71" s="69"/>
      <c r="AK71" s="98"/>
      <c r="AL71" s="86"/>
      <c r="AM71" s="86"/>
      <c r="AN71" s="86"/>
      <c r="AO71" s="86"/>
      <c r="AP71" s="86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9"/>
      <c r="AJ72" s="69"/>
      <c r="AK72" s="98"/>
      <c r="AL72" s="86"/>
      <c r="AM72" s="86"/>
      <c r="AN72" s="86"/>
      <c r="AO72" s="86"/>
      <c r="AP72" s="86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9"/>
      <c r="AJ73" s="69"/>
      <c r="AK73" s="98"/>
      <c r="AL73" s="86"/>
      <c r="AM73" s="86"/>
      <c r="AN73" s="86"/>
      <c r="AO73" s="86"/>
      <c r="AP73" s="86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9"/>
      <c r="AJ74" s="69"/>
      <c r="AK74" s="98"/>
      <c r="AL74" s="86"/>
      <c r="AM74" s="86"/>
      <c r="AN74" s="86"/>
      <c r="AO74" s="86"/>
      <c r="AP74" s="86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9"/>
      <c r="AJ75" s="69"/>
      <c r="AK75" s="98"/>
      <c r="AL75" s="86"/>
      <c r="AM75" s="86"/>
      <c r="AN75" s="86"/>
      <c r="AO75" s="86"/>
      <c r="AP75" s="86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9"/>
      <c r="AJ76" s="69"/>
      <c r="AK76" s="98"/>
      <c r="AL76" s="86"/>
      <c r="AM76" s="86"/>
      <c r="AN76" s="86"/>
      <c r="AO76" s="86"/>
      <c r="AP76" s="86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9"/>
      <c r="AJ77" s="69"/>
      <c r="AK77" s="98"/>
      <c r="AL77" s="86"/>
      <c r="AM77" s="86"/>
      <c r="AN77" s="86"/>
      <c r="AO77" s="86"/>
      <c r="AP77" s="86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9"/>
      <c r="AJ78" s="69"/>
      <c r="AK78" s="98"/>
      <c r="AL78" s="86"/>
      <c r="AM78" s="86"/>
      <c r="AN78" s="86"/>
      <c r="AO78" s="86"/>
      <c r="AP78" s="86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9"/>
      <c r="AJ79" s="69"/>
      <c r="AK79" s="98"/>
      <c r="AL79" s="86"/>
      <c r="AM79" s="86"/>
      <c r="AN79" s="86"/>
      <c r="AO79" s="86"/>
      <c r="AP79" s="86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9"/>
      <c r="AJ80" s="69"/>
      <c r="AK80" s="98"/>
      <c r="AL80" s="86"/>
      <c r="AM80" s="86"/>
      <c r="AN80" s="86"/>
      <c r="AO80" s="86"/>
      <c r="AP80" s="86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9"/>
      <c r="AJ81" s="69"/>
      <c r="AK81" s="98"/>
      <c r="AL81" s="86"/>
      <c r="AM81" s="86"/>
      <c r="AN81" s="86"/>
      <c r="AO81" s="86"/>
      <c r="AP81" s="86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9"/>
      <c r="AJ82" s="69"/>
      <c r="AK82" s="98"/>
      <c r="AL82" s="86"/>
      <c r="AM82" s="86"/>
      <c r="AN82" s="86"/>
      <c r="AO82" s="86"/>
      <c r="AP82" s="86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9"/>
      <c r="AJ83" s="69"/>
      <c r="AK83" s="98"/>
      <c r="AL83" s="86"/>
      <c r="AM83" s="86"/>
      <c r="AN83" s="86"/>
      <c r="AO83" s="86"/>
      <c r="AP83" s="86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9"/>
      <c r="AJ84" s="69"/>
      <c r="AK84" s="98"/>
      <c r="AL84" s="86"/>
      <c r="AM84" s="86"/>
      <c r="AN84" s="86"/>
      <c r="AO84" s="86"/>
      <c r="AP84" s="86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9"/>
      <c r="AJ85" s="69"/>
      <c r="AK85" s="98"/>
      <c r="AL85" s="86"/>
      <c r="AM85" s="86"/>
      <c r="AN85" s="86"/>
      <c r="AO85" s="86"/>
      <c r="AP85" s="86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9"/>
      <c r="AJ86" s="69"/>
      <c r="AK86" s="98"/>
      <c r="AL86" s="86"/>
      <c r="AM86" s="86"/>
      <c r="AN86" s="86"/>
      <c r="AO86" s="86"/>
      <c r="AP86" s="86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9"/>
      <c r="AJ87" s="69"/>
      <c r="AK87" s="98"/>
      <c r="AL87" s="86"/>
      <c r="AM87" s="86"/>
      <c r="AN87" s="86"/>
      <c r="AO87" s="86"/>
      <c r="AP87" s="86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9"/>
      <c r="AJ88" s="69"/>
      <c r="AK88" s="98"/>
      <c r="AL88" s="86"/>
      <c r="AM88" s="86"/>
      <c r="AN88" s="86"/>
      <c r="AO88" s="86"/>
      <c r="AP88" s="86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9"/>
      <c r="AJ89" s="69"/>
      <c r="AK89" s="98"/>
      <c r="AL89" s="86"/>
      <c r="AM89" s="86"/>
      <c r="AN89" s="86"/>
      <c r="AO89" s="86"/>
      <c r="AP89" s="86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9"/>
      <c r="AJ90" s="69"/>
      <c r="AK90" s="98"/>
      <c r="AL90" s="86"/>
      <c r="AM90" s="86"/>
      <c r="AN90" s="86"/>
      <c r="AO90" s="86"/>
      <c r="AP90" s="86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9"/>
      <c r="AJ91" s="69"/>
      <c r="AK91" s="98"/>
      <c r="AL91" s="86"/>
      <c r="AM91" s="86"/>
      <c r="AN91" s="86"/>
      <c r="AO91" s="86"/>
      <c r="AP91" s="86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9"/>
      <c r="AJ92" s="69"/>
      <c r="AK92" s="98"/>
      <c r="AL92" s="86"/>
      <c r="AM92" s="86"/>
      <c r="AN92" s="86"/>
      <c r="AO92" s="86"/>
      <c r="AP92" s="86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9"/>
      <c r="AJ93" s="69"/>
      <c r="AK93" s="98"/>
      <c r="AL93" s="86"/>
      <c r="AM93" s="86"/>
      <c r="AN93" s="86"/>
      <c r="AO93" s="86"/>
      <c r="AP93" s="86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9"/>
      <c r="AJ94" s="69"/>
      <c r="AK94" s="98"/>
      <c r="AL94" s="86"/>
      <c r="AM94" s="86"/>
      <c r="AN94" s="86"/>
      <c r="AO94" s="86"/>
      <c r="AP94" s="86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9"/>
      <c r="AJ95" s="69"/>
      <c r="AK95" s="98"/>
      <c r="AL95" s="86"/>
      <c r="AM95" s="86"/>
      <c r="AN95" s="86"/>
      <c r="AO95" s="86"/>
      <c r="AP95" s="86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9"/>
      <c r="AJ96" s="69"/>
      <c r="AK96" s="98"/>
      <c r="AL96" s="86"/>
      <c r="AM96" s="86"/>
      <c r="AN96" s="86"/>
      <c r="AO96" s="86"/>
      <c r="AP96" s="86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9"/>
      <c r="AJ97" s="69"/>
      <c r="AK97" s="98"/>
      <c r="AL97" s="86"/>
      <c r="AM97" s="86"/>
      <c r="AN97" s="86"/>
      <c r="AO97" s="86"/>
      <c r="AP97" s="86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9"/>
      <c r="AJ98" s="69"/>
      <c r="AK98" s="98"/>
      <c r="AL98" s="86"/>
      <c r="AM98" s="86"/>
      <c r="AN98" s="86"/>
      <c r="AO98" s="86"/>
      <c r="AP98" s="86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9"/>
      <c r="AJ99" s="69"/>
      <c r="AK99" s="98"/>
      <c r="AL99" s="86"/>
      <c r="AM99" s="86"/>
      <c r="AN99" s="86"/>
      <c r="AO99" s="86"/>
      <c r="AP99" s="86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9"/>
      <c r="AJ100" s="69"/>
      <c r="AK100" s="98"/>
      <c r="AL100" s="86"/>
      <c r="AM100" s="86"/>
      <c r="AN100" s="86"/>
      <c r="AO100" s="86"/>
      <c r="AP100" s="86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9"/>
      <c r="AJ101" s="69"/>
      <c r="AK101" s="98"/>
      <c r="AL101" s="86"/>
      <c r="AM101" s="86"/>
      <c r="AN101" s="86"/>
      <c r="AO101" s="86"/>
      <c r="AP101" s="86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9"/>
      <c r="AJ102" s="69"/>
      <c r="AK102" s="98"/>
      <c r="AL102" s="86"/>
      <c r="AM102" s="86"/>
      <c r="AN102" s="86"/>
      <c r="AO102" s="86"/>
      <c r="AP102" s="86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9"/>
      <c r="AJ103" s="69"/>
      <c r="AK103" s="98"/>
      <c r="AL103" s="86"/>
      <c r="AM103" s="86"/>
      <c r="AN103" s="86"/>
      <c r="AO103" s="86"/>
      <c r="AP103" s="86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9"/>
      <c r="AJ104" s="69"/>
      <c r="AK104" s="98"/>
      <c r="AL104" s="86"/>
      <c r="AM104" s="86"/>
      <c r="AN104" s="86"/>
      <c r="AO104" s="86"/>
      <c r="AP104" s="86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9"/>
      <c r="AJ105" s="69"/>
      <c r="AK105" s="98"/>
      <c r="AL105" s="86"/>
      <c r="AM105" s="86"/>
      <c r="AN105" s="86"/>
      <c r="AO105" s="86"/>
      <c r="AP105" s="86"/>
    </row>
    <row r="106" spans="1:42">
      <c r="AL106" s="69" t="str" cm="1">
        <f t="array" aca="1" ref="AL106" ca="1">IFERROR(INDIRECT($L$26&amp;"!R8C18",FALSE),"N/A")</f>
        <v>受注No</v>
      </c>
      <c r="AM106" s="69" t="str" cm="1">
        <f t="array" aca="1" ref="AM106" ca="1">IFERROR(INDIRECT($L$31&amp;"!R8C18",FALSE),"N/A")</f>
        <v>得意先ID</v>
      </c>
      <c r="AN106" s="69" t="str" cm="1">
        <f t="array" aca="1" ref="AN106" ca="1">IFERROR(INDIRECT($L$36&amp;"!R8C18",FALSE),"N/A")</f>
        <v>N/A</v>
      </c>
      <c r="AO106" s="69" t="str" cm="1">
        <f t="array" aca="1" ref="AO106" ca="1">IFERROR(INDIRECT($L$41&amp;"!R8C18",FALSE),"N/A")</f>
        <v>N/A</v>
      </c>
      <c r="AP106" s="69" t="str" cm="1">
        <f t="array" aca="1" ref="AP106" ca="1">IFERROR(INDIRECT($L$46&amp;"!R8C18",FALSE),"N/A")</f>
        <v>N/A</v>
      </c>
    </row>
    <row r="107" spans="1:42">
      <c r="AL107" s="69" t="str" cm="1">
        <f t="array" aca="1" ref="AL107:AL116" ca="1">IFERROR(OFFSET(INDIRECT($L$26&amp;"!R13C18",FALSE),,,10,),"N/A")</f>
        <v/>
      </c>
      <c r="AM107" s="69" t="str" cm="1">
        <f t="array" aca="1" ref="AM107:AM116" ca="1">IFERROR(OFFSET(INDIRECT($L$31&amp;"!R13C18",FALSE),,,10,),"N/A")</f>
        <v>得意先ID担当者名</v>
      </c>
      <c r="AN107" s="69" t="str" cm="1">
        <f t="array" aca="1" ref="AN107" ca="1">IFERROR(OFFSET(INDIRECT($L$36&amp;"!R13C18",FALSE),,,10,),"N/A")</f>
        <v>N/A</v>
      </c>
      <c r="AO107" s="69" t="str" cm="1">
        <f t="array" aca="1" ref="AO107" ca="1">IFERROR(OFFSET(INDIRECT($L$41&amp;"!R13C18",FALSE),,,10,),"N/A")</f>
        <v>N/A</v>
      </c>
      <c r="AP107" s="69" t="str" cm="1">
        <f t="array" aca="1" ref="AP107" ca="1">IFERROR(OFFSET(INDIRECT($L$46&amp;"!R13C18",FALSE),,,10,),"N/A")</f>
        <v>N/A</v>
      </c>
    </row>
    <row r="108" spans="1:42">
      <c r="AL108" s="69" t="str">
        <f ca="1"/>
        <v/>
      </c>
      <c r="AM108" s="69" t="str">
        <f ca="1"/>
        <v>登録日</v>
      </c>
      <c r="AN108" s="69"/>
      <c r="AO108" s="69"/>
      <c r="AP108" s="69"/>
    </row>
    <row r="109" spans="1:42">
      <c r="AL109" s="69" t="str">
        <f ca="1"/>
        <v/>
      </c>
      <c r="AM109" s="69" t="str">
        <f ca="1"/>
        <v>商品担当者ID</v>
      </c>
      <c r="AN109" s="69"/>
      <c r="AO109" s="69"/>
      <c r="AP109" s="69"/>
    </row>
    <row r="110" spans="1:42">
      <c r="AL110" s="69" t="str">
        <f ca="1"/>
        <v/>
      </c>
      <c r="AM110" s="69" t="str">
        <f ca="1"/>
        <v/>
      </c>
      <c r="AN110" s="69"/>
      <c r="AO110" s="69"/>
      <c r="AP110" s="69"/>
    </row>
    <row r="111" spans="1:42">
      <c r="AL111" s="69" t="str">
        <f ca="1"/>
        <v/>
      </c>
      <c r="AM111" s="69" t="str">
        <f ca="1"/>
        <v/>
      </c>
      <c r="AN111" s="69"/>
      <c r="AO111" s="69"/>
      <c r="AP111" s="69"/>
    </row>
    <row r="112" spans="1:42">
      <c r="AL112" s="69" t="str">
        <f ca="1"/>
        <v/>
      </c>
      <c r="AM112" s="69" t="str">
        <f ca="1"/>
        <v/>
      </c>
      <c r="AN112" s="69"/>
      <c r="AO112" s="69"/>
      <c r="AP112" s="69"/>
    </row>
    <row r="113" spans="38:42">
      <c r="AL113" s="69" t="str">
        <f ca="1"/>
        <v/>
      </c>
      <c r="AM113" s="69" t="str">
        <f ca="1"/>
        <v/>
      </c>
      <c r="AN113" s="69"/>
      <c r="AO113" s="69"/>
      <c r="AP113" s="69"/>
    </row>
    <row r="114" spans="38:42">
      <c r="AL114" s="69" t="str">
        <f ca="1"/>
        <v/>
      </c>
      <c r="AM114" s="69" t="str">
        <f ca="1"/>
        <v/>
      </c>
      <c r="AN114" s="69"/>
      <c r="AO114" s="69"/>
      <c r="AP114" s="69"/>
    </row>
    <row r="115" spans="38:42">
      <c r="AL115" s="69" t="str">
        <f ca="1"/>
        <v/>
      </c>
      <c r="AM115" s="69" t="str">
        <f ca="1"/>
        <v/>
      </c>
      <c r="AN115" s="69"/>
      <c r="AO115" s="69"/>
      <c r="AP115" s="69"/>
    </row>
    <row r="116" spans="38:42">
      <c r="AL116" s="69" t="str">
        <f ca="1"/>
        <v/>
      </c>
      <c r="AM116" s="69" t="str">
        <f ca="1"/>
        <v/>
      </c>
      <c r="AN116" s="69"/>
      <c r="AO116" s="69"/>
      <c r="AP116" s="69"/>
    </row>
  </sheetData>
  <phoneticPr fontId="2"/>
  <conditionalFormatting sqref="B2:C2">
    <cfRule type="expression" dxfId="39" priority="24">
      <formula>ISERROR(B2)</formula>
    </cfRule>
  </conditionalFormatting>
  <conditionalFormatting sqref="B6:B105">
    <cfRule type="expression" dxfId="38" priority="22">
      <formula>COUNTIF(FIELD_NAME,B6)&gt;1</formula>
    </cfRule>
    <cfRule type="expression" dxfId="37" priority="23">
      <formula>AND($B6&lt;&gt;"",ISNA(MATCH($B6,項目リスト,0)))</formula>
    </cfRule>
  </conditionalFormatting>
  <conditionalFormatting sqref="B6">
    <cfRule type="expression" dxfId="36" priority="21">
      <formula>$AI$6="N/A"</formula>
    </cfRule>
  </conditionalFormatting>
  <conditionalFormatting sqref="D1">
    <cfRule type="cellIs" dxfId="35" priority="20" operator="greaterThan">
      <formula>0</formula>
    </cfRule>
  </conditionalFormatting>
  <conditionalFormatting sqref="L8:P8">
    <cfRule type="expression" dxfId="34" priority="26">
      <formula>Y8</formula>
    </cfRule>
    <cfRule type="expression" dxfId="33" priority="27">
      <formula>Y7</formula>
    </cfRule>
  </conditionalFormatting>
  <conditionalFormatting sqref="L13:P22">
    <cfRule type="expression" dxfId="32" priority="18">
      <formula>Y13</formula>
    </cfRule>
    <cfRule type="expression" dxfId="31" priority="19">
      <formula>$AD13</formula>
    </cfRule>
  </conditionalFormatting>
  <conditionalFormatting sqref="L8">
    <cfRule type="expression" dxfId="30" priority="25">
      <formula>$AG$7</formula>
    </cfRule>
  </conditionalFormatting>
  <conditionalFormatting sqref="L55:P64">
    <cfRule type="expression" dxfId="29" priority="16">
      <formula>Y55</formula>
    </cfRule>
    <cfRule type="expression" dxfId="28" priority="17">
      <formula>$AD55</formula>
    </cfRule>
  </conditionalFormatting>
  <conditionalFormatting sqref="L43:P44">
    <cfRule type="expression" dxfId="27" priority="15">
      <formula>Y42</formula>
    </cfRule>
  </conditionalFormatting>
  <conditionalFormatting sqref="L43:P43">
    <cfRule type="expression" dxfId="26" priority="13">
      <formula>$AD42</formula>
    </cfRule>
    <cfRule type="expression" dxfId="25" priority="29">
      <formula>Y41</formula>
    </cfRule>
  </conditionalFormatting>
  <conditionalFormatting sqref="L43">
    <cfRule type="expression" dxfId="24" priority="14">
      <formula>$AD41</formula>
    </cfRule>
  </conditionalFormatting>
  <conditionalFormatting sqref="L28:P29 L33:P34 L38:P39 L48:P49 L43:P44">
    <cfRule type="expression" dxfId="23" priority="30">
      <formula>Y27</formula>
    </cfRule>
  </conditionalFormatting>
  <conditionalFormatting sqref="L29:P29 L34:P34 L39:P39 L49:P49">
    <cfRule type="expression" dxfId="22" priority="31">
      <formula>$AD27</formula>
    </cfRule>
    <cfRule type="expression" dxfId="21" priority="32">
      <formula>Y26</formula>
    </cfRule>
  </conditionalFormatting>
  <conditionalFormatting sqref="L28 L33 L38 L48 L43">
    <cfRule type="expression" dxfId="20" priority="33">
      <formula>$AD26</formula>
    </cfRule>
  </conditionalFormatting>
  <conditionalFormatting sqref="L44:P44">
    <cfRule type="expression" dxfId="19" priority="34">
      <formula>$AD42</formula>
    </cfRule>
    <cfRule type="expression" dxfId="18" priority="35">
      <formula>Y41</formula>
    </cfRule>
  </conditionalFormatting>
  <conditionalFormatting sqref="L28:P28 L33:P33 L38:P38 L43:P43 L48:P48">
    <cfRule type="expression" dxfId="17" priority="12">
      <formula>$AD27</formula>
    </cfRule>
    <cfRule type="expression" dxfId="16" priority="28">
      <formula>Y26</formula>
    </cfRule>
  </conditionalFormatting>
  <conditionalFormatting sqref="K56">
    <cfRule type="expression" dxfId="15" priority="10">
      <formula>X56</formula>
    </cfRule>
    <cfRule type="expression" dxfId="14" priority="11">
      <formula>$AD56</formula>
    </cfRule>
  </conditionalFormatting>
  <conditionalFormatting sqref="K58">
    <cfRule type="expression" dxfId="13" priority="8">
      <formula>X58</formula>
    </cfRule>
    <cfRule type="expression" dxfId="12" priority="9">
      <formula>$AD58</formula>
    </cfRule>
  </conditionalFormatting>
  <conditionalFormatting sqref="K60">
    <cfRule type="expression" dxfId="11" priority="6">
      <formula>X60</formula>
    </cfRule>
    <cfRule type="expression" dxfId="10" priority="7">
      <formula>$AD60</formula>
    </cfRule>
  </conditionalFormatting>
  <conditionalFormatting sqref="K62">
    <cfRule type="expression" dxfId="9" priority="4">
      <formula>X62</formula>
    </cfRule>
    <cfRule type="expression" dxfId="8" priority="5">
      <formula>$AD62</formula>
    </cfRule>
  </conditionalFormatting>
  <conditionalFormatting sqref="K64">
    <cfRule type="expression" dxfId="7" priority="2">
      <formula>X64</formula>
    </cfRule>
    <cfRule type="expression" dxfId="6" priority="3">
      <formula>$AD64</formula>
    </cfRule>
  </conditionalFormatting>
  <conditionalFormatting sqref="L29:P29 L34:P34 L39:P39 L44:P44 L49:P49">
    <cfRule type="expression" dxfId="5" priority="1">
      <formula>$AD28</formula>
    </cfRule>
  </conditionalFormatting>
  <conditionalFormatting sqref="E6">
    <cfRule type="expression" dxfId="4" priority="36" stopIfTrue="1">
      <formula>$V6</formula>
    </cfRule>
  </conditionalFormatting>
  <conditionalFormatting sqref="E7">
    <cfRule type="expression" dxfId="3" priority="37" stopIfTrue="1">
      <formula>$V7</formula>
    </cfRule>
  </conditionalFormatting>
  <conditionalFormatting sqref="E8">
    <cfRule type="expression" dxfId="2" priority="38" stopIfTrue="1">
      <formula>$V8</formula>
    </cfRule>
  </conditionalFormatting>
  <conditionalFormatting sqref="E9">
    <cfRule type="expression" dxfId="1" priority="39" stopIfTrue="1">
      <formula>$V9</formula>
    </cfRule>
  </conditionalFormatting>
  <conditionalFormatting sqref="E10">
    <cfRule type="expression" dxfId="0" priority="40" stopIfTrue="1">
      <formula>$V10</formula>
    </cfRule>
  </conditionalFormatting>
  <dataValidations count="16">
    <dataValidation imeMode="off" allowBlank="1" showInputMessage="1" showErrorMessage="1" sqref="D5:F5 C2" xr:uid="{E24CAC12-D939-491C-9368-68A33FEAD6E3}"/>
    <dataValidation type="whole" imeMode="off" operator="equal" allowBlank="1" showInputMessage="1" showErrorMessage="1" error="DESC指定の場合に‐1を入力" sqref="L56:P56 L58:P58 L60:P60 L62:P62 L64:P64" xr:uid="{9450C36D-0FA7-4212-AE99-53918DCC14C8}">
      <formula1>-1</formula1>
    </dataValidation>
    <dataValidation type="whole" imeMode="off" operator="equal" allowBlank="1" showInputMessage="1" showErrorMessage="1" error="Unique indexの場合に1を入力" sqref="K56 K58 K60 K62 K64" xr:uid="{543272F8-6018-4FE1-A98D-E1458E201FF5}">
      <formula1>1</formula1>
    </dataValidation>
    <dataValidation type="list" allowBlank="1" showInputMessage="1" showErrorMessage="1" sqref="N26 P26 N31 P31 N36 P36 N41 P41 N46 P46" xr:uid="{0999814F-99B5-420B-816F-E63F1E3E7AA2}">
      <formula1>FK_OPTION</formula1>
    </dataValidation>
    <dataValidation type="list" allowBlank="1" showInputMessage="1" showErrorMessage="1" sqref="L49:P49" xr:uid="{0D40D688-CF54-41C9-923C-BB596D045530}">
      <formula1>FK_FIELD_5</formula1>
    </dataValidation>
    <dataValidation type="list" allowBlank="1" showInputMessage="1" showErrorMessage="1" sqref="L44:P44" xr:uid="{B3D5C638-08CD-45A3-8CF7-4F3C5AF298A3}">
      <formula1>FK_FIELD_4</formula1>
    </dataValidation>
    <dataValidation type="list" allowBlank="1" showInputMessage="1" showErrorMessage="1" sqref="L39:P39" xr:uid="{568D14B1-012B-4853-BC6C-E3F831295A73}">
      <formula1>FK_FIELD_3</formula1>
    </dataValidation>
    <dataValidation type="list" allowBlank="1" showInputMessage="1" showErrorMessage="1" sqref="L34:P34" xr:uid="{AF4EDEDE-C429-4D12-A52F-025EB86C08A1}">
      <formula1>FK_FIELD_2</formula1>
    </dataValidation>
    <dataValidation type="list" allowBlank="1" showInputMessage="1" showErrorMessage="1" sqref="L29:P29" xr:uid="{F5A03E15-A746-4262-800C-19E2C2B351AE}">
      <formula1>FK_FIELD_1</formula1>
    </dataValidation>
    <dataValidation type="list" allowBlank="1" showInputMessage="1" showErrorMessage="1" sqref="L26 L31 L36 L41 L46" xr:uid="{2B1B91DC-31A1-4E8C-8299-5F2B42D2C497}">
      <formula1>TABLEリスト</formula1>
    </dataValidation>
    <dataValidation type="list" allowBlank="1" showInputMessage="1" showErrorMessage="1" sqref="F2" xr:uid="{11E3073F-CFDA-4563-BE0B-EFF031A7F44A}">
      <formula1>"○,-"</formula1>
    </dataValidation>
    <dataValidation type="list" allowBlank="1" showInputMessage="1" showErrorMessage="1" sqref="L13:P22 L43:P43 L48:P48 L33:P33 L38:P38 L28:P28 L55:P55 L57:P57 L59:P59 L61:P61 L63:P63" xr:uid="{675B661F-F917-4205-A7B4-59653748E54F}">
      <formula1>FIELDリスト</formula1>
    </dataValidation>
    <dataValidation type="list" allowBlank="1" showInputMessage="1" showErrorMessage="1" sqref="L8:P8" xr:uid="{8596EDC8-A0B8-486A-B334-193E8A7B7DAB}">
      <formula1>FIELDリストNN</formula1>
    </dataValidation>
    <dataValidation type="whole" imeMode="off" operator="equal" allowBlank="1" showInputMessage="1" showErrorMessage="1" error="NotNullの場合は[1]を入力する。" sqref="E6:E105" xr:uid="{433B4583-108A-4EBC-9436-F7E22DC43B65}">
      <formula1>1</formula1>
    </dataValidation>
    <dataValidation type="list" allowBlank="1" showInputMessage="1" showErrorMessage="1" sqref="B6:B105" xr:uid="{5CF0C0E7-D0A3-4EFB-8673-FCD30F96A8C7}">
      <formula1>項目リスト</formula1>
    </dataValidation>
    <dataValidation imeMode="on" allowBlank="1" showInputMessage="1" showErrorMessage="1" sqref="K12 A5 A1:A2 E2 K7 F6:H105 K54" xr:uid="{EE2535C4-7284-42A8-8C27-C1EDA33E88CB}"/>
  </dataValidations>
  <hyperlinks>
    <hyperlink ref="E1" location="一覧!R1C1" display="一覧へ" xr:uid="{4B2EAD38-DE75-4487-ADFC-0D2F814F84F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7" t="s">
        <v>146</v>
      </c>
      <c r="C6" s="87"/>
    </row>
    <row r="7" spans="1:8">
      <c r="E7" s="100" t="s">
        <v>189</v>
      </c>
    </row>
    <row r="8" spans="1:8">
      <c r="A8" t="s">
        <v>149</v>
      </c>
      <c r="E8" s="100" t="s">
        <v>190</v>
      </c>
    </row>
    <row r="9" spans="1:8">
      <c r="A9" s="67" t="s">
        <v>147</v>
      </c>
      <c r="E9" s="100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91</vt:i4>
      </vt:variant>
    </vt:vector>
  </HeadingPairs>
  <TitlesOfParts>
    <vt:vector size="9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テンプレート!FK_ENABLE_1</vt:lpstr>
      <vt:lpstr>受注!FK_ENABLE_1</vt:lpstr>
      <vt:lpstr>受注明細!FK_ENABLE_1</vt:lpstr>
      <vt:lpstr>得意先!FK_ENABLE_1</vt:lpstr>
      <vt:lpstr>テンプレート!FK_ENABLE_2</vt:lpstr>
      <vt:lpstr>受注!FK_ENABLE_2</vt:lpstr>
      <vt:lpstr>受注明細!FK_ENABLE_2</vt:lpstr>
      <vt:lpstr>得意先!FK_ENABLE_2</vt:lpstr>
      <vt:lpstr>テンプレート!FK_ENABLE_3</vt:lpstr>
      <vt:lpstr>受注!FK_ENABLE_3</vt:lpstr>
      <vt:lpstr>受注明細!FK_ENABLE_3</vt:lpstr>
      <vt:lpstr>得意先!FK_ENABLE_3</vt:lpstr>
      <vt:lpstr>テンプレート!FK_ENABLE_4</vt:lpstr>
      <vt:lpstr>受注!FK_ENABLE_4</vt:lpstr>
      <vt:lpstr>受注明細!FK_ENABLE_4</vt:lpstr>
      <vt:lpstr>得意先!FK_ENABLE_4</vt:lpstr>
      <vt:lpstr>テンプレート!FK_ENABLE_5</vt:lpstr>
      <vt:lpstr>受注!FK_ENABLE_5</vt:lpstr>
      <vt:lpstr>受注明細!FK_ENABLE_5</vt:lpstr>
      <vt:lpstr>得意先!FK_ENABLE_5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2024-02-26T11:51:55Z</dcterms:modified>
</cp:coreProperties>
</file>