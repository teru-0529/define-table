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7980E92-8EB6-491D-A2B9-D49B54EF1F22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61" r:id="rId4"/>
    <sheet name="受注" sheetId="62" r:id="rId5"/>
    <sheet name="受注明細" sheetId="63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7" i="4" l="1"/>
  <c r="Y55" i="4"/>
  <c r="AD64" i="4"/>
  <c r="AC64" i="4"/>
  <c r="AB64" i="4"/>
  <c r="AA64" i="4"/>
  <c r="Z64" i="4"/>
  <c r="Y64" i="4"/>
  <c r="AD63" i="4"/>
  <c r="AC63" i="4"/>
  <c r="AB63" i="4"/>
  <c r="AA63" i="4"/>
  <c r="Z63" i="4"/>
  <c r="Y63" i="4"/>
  <c r="AD62" i="4"/>
  <c r="AC62" i="4"/>
  <c r="AB62" i="4"/>
  <c r="AA62" i="4"/>
  <c r="Z62" i="4"/>
  <c r="Y62" i="4"/>
  <c r="AD61" i="4"/>
  <c r="AC61" i="4"/>
  <c r="AB61" i="4"/>
  <c r="AA61" i="4"/>
  <c r="Z61" i="4"/>
  <c r="Y61" i="4"/>
  <c r="AD60" i="4"/>
  <c r="AC60" i="4"/>
  <c r="AB60" i="4"/>
  <c r="AA60" i="4"/>
  <c r="Z60" i="4"/>
  <c r="Y60" i="4"/>
  <c r="AD59" i="4"/>
  <c r="AC59" i="4"/>
  <c r="AB59" i="4"/>
  <c r="AA59" i="4"/>
  <c r="Z59" i="4"/>
  <c r="Y59" i="4"/>
  <c r="AD58" i="4"/>
  <c r="AC58" i="4"/>
  <c r="AB58" i="4"/>
  <c r="AA58" i="4"/>
  <c r="Z58" i="4"/>
  <c r="Y58" i="4"/>
  <c r="AD57" i="4"/>
  <c r="AC57" i="4"/>
  <c r="AB57" i="4"/>
  <c r="AA57" i="4"/>
  <c r="Z57" i="4"/>
  <c r="Y57" i="4"/>
  <c r="AD56" i="4"/>
  <c r="AC56" i="4"/>
  <c r="AB56" i="4"/>
  <c r="AA56" i="4"/>
  <c r="Z56" i="4"/>
  <c r="Y56" i="4"/>
  <c r="AD55" i="4"/>
  <c r="AC55" i="4"/>
  <c r="AB55" i="4"/>
  <c r="AA55" i="4"/>
  <c r="Z55" i="4"/>
  <c r="R64" i="4"/>
  <c r="R63" i="4"/>
  <c r="R62" i="4"/>
  <c r="R61" i="4"/>
  <c r="R60" i="4"/>
  <c r="R59" i="4"/>
  <c r="R58" i="4"/>
  <c r="R57" i="4"/>
  <c r="R56" i="4"/>
  <c r="R55" i="4"/>
  <c r="AD26" i="62"/>
  <c r="AD46" i="62"/>
  <c r="AD47" i="62"/>
  <c r="U105" i="63"/>
  <c r="T105" i="63"/>
  <c r="H105" i="63"/>
  <c r="V105" i="63" s="1"/>
  <c r="G105" i="63"/>
  <c r="D105" i="63"/>
  <c r="C105" i="63"/>
  <c r="U104" i="63"/>
  <c r="T104" i="63"/>
  <c r="H104" i="63"/>
  <c r="V104" i="63" s="1"/>
  <c r="G104" i="63"/>
  <c r="D104" i="63"/>
  <c r="C104" i="63"/>
  <c r="U103" i="63"/>
  <c r="T103" i="63"/>
  <c r="H103" i="63"/>
  <c r="V103" i="63" s="1"/>
  <c r="G103" i="63"/>
  <c r="D103" i="63"/>
  <c r="C103" i="63"/>
  <c r="U102" i="63"/>
  <c r="T102" i="63"/>
  <c r="H102" i="63"/>
  <c r="V102" i="63" s="1"/>
  <c r="G102" i="63"/>
  <c r="D102" i="63"/>
  <c r="C102" i="63"/>
  <c r="U101" i="63"/>
  <c r="T101" i="63"/>
  <c r="H101" i="63"/>
  <c r="V101" i="63" s="1"/>
  <c r="G101" i="63"/>
  <c r="D101" i="63"/>
  <c r="C101" i="63"/>
  <c r="U100" i="63"/>
  <c r="T100" i="63"/>
  <c r="H100" i="63"/>
  <c r="V100" i="63" s="1"/>
  <c r="G100" i="63"/>
  <c r="D100" i="63"/>
  <c r="C100" i="63"/>
  <c r="U99" i="63"/>
  <c r="T99" i="63"/>
  <c r="H99" i="63"/>
  <c r="V99" i="63" s="1"/>
  <c r="G99" i="63"/>
  <c r="D99" i="63"/>
  <c r="C99" i="63"/>
  <c r="U98" i="63"/>
  <c r="T98" i="63"/>
  <c r="H98" i="63"/>
  <c r="V98" i="63" s="1"/>
  <c r="G98" i="63"/>
  <c r="D98" i="63"/>
  <c r="C98" i="63"/>
  <c r="U97" i="63"/>
  <c r="T97" i="63"/>
  <c r="H97" i="63"/>
  <c r="V97" i="63" s="1"/>
  <c r="G97" i="63"/>
  <c r="D97" i="63"/>
  <c r="C97" i="63"/>
  <c r="U96" i="63"/>
  <c r="T96" i="63"/>
  <c r="H96" i="63"/>
  <c r="V96" i="63" s="1"/>
  <c r="G96" i="63"/>
  <c r="D96" i="63"/>
  <c r="C96" i="63"/>
  <c r="U95" i="63"/>
  <c r="T95" i="63"/>
  <c r="H95" i="63"/>
  <c r="V95" i="63" s="1"/>
  <c r="G95" i="63"/>
  <c r="D95" i="63"/>
  <c r="C95" i="63"/>
  <c r="U94" i="63"/>
  <c r="T94" i="63"/>
  <c r="H94" i="63"/>
  <c r="V94" i="63" s="1"/>
  <c r="G94" i="63"/>
  <c r="D94" i="63"/>
  <c r="C94" i="63"/>
  <c r="U93" i="63"/>
  <c r="T93" i="63"/>
  <c r="H93" i="63"/>
  <c r="V93" i="63" s="1"/>
  <c r="G93" i="63"/>
  <c r="D93" i="63"/>
  <c r="C93" i="63"/>
  <c r="U92" i="63"/>
  <c r="T92" i="63"/>
  <c r="H92" i="63"/>
  <c r="V92" i="63" s="1"/>
  <c r="G92" i="63"/>
  <c r="D92" i="63"/>
  <c r="C92" i="63"/>
  <c r="U91" i="63"/>
  <c r="T91" i="63"/>
  <c r="H91" i="63"/>
  <c r="V91" i="63" s="1"/>
  <c r="G91" i="63"/>
  <c r="D91" i="63"/>
  <c r="C91" i="63"/>
  <c r="U90" i="63"/>
  <c r="T90" i="63"/>
  <c r="H90" i="63"/>
  <c r="V90" i="63" s="1"/>
  <c r="G90" i="63"/>
  <c r="D90" i="63"/>
  <c r="C90" i="63"/>
  <c r="U89" i="63"/>
  <c r="T89" i="63"/>
  <c r="H89" i="63"/>
  <c r="V89" i="63" s="1"/>
  <c r="G89" i="63"/>
  <c r="D89" i="63"/>
  <c r="C89" i="63"/>
  <c r="U88" i="63"/>
  <c r="T88" i="63"/>
  <c r="H88" i="63"/>
  <c r="V88" i="63" s="1"/>
  <c r="G88" i="63"/>
  <c r="D88" i="63"/>
  <c r="C88" i="63"/>
  <c r="U87" i="63"/>
  <c r="T87" i="63"/>
  <c r="H87" i="63"/>
  <c r="V87" i="63" s="1"/>
  <c r="G87" i="63"/>
  <c r="D87" i="63"/>
  <c r="C87" i="63"/>
  <c r="U86" i="63"/>
  <c r="T86" i="63"/>
  <c r="H86" i="63"/>
  <c r="V86" i="63" s="1"/>
  <c r="G86" i="63"/>
  <c r="D86" i="63"/>
  <c r="C86" i="63"/>
  <c r="U85" i="63"/>
  <c r="T85" i="63"/>
  <c r="H85" i="63"/>
  <c r="V85" i="63" s="1"/>
  <c r="G85" i="63"/>
  <c r="D85" i="63"/>
  <c r="C85" i="63"/>
  <c r="U84" i="63"/>
  <c r="T84" i="63"/>
  <c r="H84" i="63"/>
  <c r="V84" i="63" s="1"/>
  <c r="G84" i="63"/>
  <c r="D84" i="63"/>
  <c r="C84" i="63"/>
  <c r="U83" i="63"/>
  <c r="T83" i="63"/>
  <c r="H83" i="63"/>
  <c r="V83" i="63" s="1"/>
  <c r="G83" i="63"/>
  <c r="D83" i="63"/>
  <c r="C83" i="63"/>
  <c r="U82" i="63"/>
  <c r="T82" i="63"/>
  <c r="H82" i="63"/>
  <c r="V82" i="63" s="1"/>
  <c r="G82" i="63"/>
  <c r="D82" i="63"/>
  <c r="C82" i="63"/>
  <c r="U81" i="63"/>
  <c r="T81" i="63"/>
  <c r="H81" i="63"/>
  <c r="V81" i="63" s="1"/>
  <c r="G81" i="63"/>
  <c r="D81" i="63"/>
  <c r="C81" i="63"/>
  <c r="U80" i="63"/>
  <c r="T80" i="63"/>
  <c r="H80" i="63"/>
  <c r="V80" i="63" s="1"/>
  <c r="G80" i="63"/>
  <c r="D80" i="63"/>
  <c r="C80" i="63"/>
  <c r="U79" i="63"/>
  <c r="T79" i="63"/>
  <c r="H79" i="63"/>
  <c r="V79" i="63" s="1"/>
  <c r="G79" i="63"/>
  <c r="D79" i="63"/>
  <c r="C79" i="63"/>
  <c r="U78" i="63"/>
  <c r="T78" i="63"/>
  <c r="H78" i="63"/>
  <c r="V78" i="63" s="1"/>
  <c r="G78" i="63"/>
  <c r="D78" i="63"/>
  <c r="C78" i="63"/>
  <c r="U77" i="63"/>
  <c r="T77" i="63"/>
  <c r="H77" i="63"/>
  <c r="V77" i="63" s="1"/>
  <c r="G77" i="63"/>
  <c r="D77" i="63"/>
  <c r="C77" i="63"/>
  <c r="U76" i="63"/>
  <c r="T76" i="63"/>
  <c r="H76" i="63"/>
  <c r="V76" i="63" s="1"/>
  <c r="G76" i="63"/>
  <c r="D76" i="63"/>
  <c r="C76" i="63"/>
  <c r="U75" i="63"/>
  <c r="T75" i="63"/>
  <c r="H75" i="63"/>
  <c r="V75" i="63" s="1"/>
  <c r="G75" i="63"/>
  <c r="D75" i="63"/>
  <c r="C75" i="63"/>
  <c r="U74" i="63"/>
  <c r="T74" i="63"/>
  <c r="H74" i="63"/>
  <c r="V74" i="63" s="1"/>
  <c r="G74" i="63"/>
  <c r="D74" i="63"/>
  <c r="C74" i="63"/>
  <c r="U73" i="63"/>
  <c r="T73" i="63"/>
  <c r="H73" i="63"/>
  <c r="V73" i="63" s="1"/>
  <c r="G73" i="63"/>
  <c r="D73" i="63"/>
  <c r="C73" i="63"/>
  <c r="U72" i="63"/>
  <c r="T72" i="63"/>
  <c r="H72" i="63"/>
  <c r="V72" i="63" s="1"/>
  <c r="G72" i="63"/>
  <c r="D72" i="63"/>
  <c r="C72" i="63"/>
  <c r="U71" i="63"/>
  <c r="T71" i="63"/>
  <c r="H71" i="63"/>
  <c r="V71" i="63" s="1"/>
  <c r="G71" i="63"/>
  <c r="D71" i="63"/>
  <c r="C71" i="63"/>
  <c r="U70" i="63"/>
  <c r="T70" i="63"/>
  <c r="H70" i="63"/>
  <c r="V70" i="63" s="1"/>
  <c r="G70" i="63"/>
  <c r="D70" i="63"/>
  <c r="C70" i="63"/>
  <c r="U69" i="63"/>
  <c r="T69" i="63"/>
  <c r="H69" i="63"/>
  <c r="V69" i="63" s="1"/>
  <c r="G69" i="63"/>
  <c r="D69" i="63"/>
  <c r="C69" i="63"/>
  <c r="U68" i="63"/>
  <c r="T68" i="63"/>
  <c r="H68" i="63"/>
  <c r="V68" i="63" s="1"/>
  <c r="G68" i="63"/>
  <c r="D68" i="63"/>
  <c r="C68" i="63"/>
  <c r="U67" i="63"/>
  <c r="T67" i="63"/>
  <c r="H67" i="63"/>
  <c r="V67" i="63" s="1"/>
  <c r="G67" i="63"/>
  <c r="D67" i="63"/>
  <c r="C67" i="63"/>
  <c r="U66" i="63"/>
  <c r="T66" i="63"/>
  <c r="H66" i="63"/>
  <c r="V66" i="63" s="1"/>
  <c r="G66" i="63"/>
  <c r="D66" i="63"/>
  <c r="C66" i="63"/>
  <c r="U65" i="63"/>
  <c r="T65" i="63"/>
  <c r="H65" i="63"/>
  <c r="V65" i="63" s="1"/>
  <c r="G65" i="63"/>
  <c r="D65" i="63"/>
  <c r="C65" i="63"/>
  <c r="U64" i="63"/>
  <c r="T64" i="63"/>
  <c r="H64" i="63"/>
  <c r="V64" i="63" s="1"/>
  <c r="G64" i="63"/>
  <c r="D64" i="63"/>
  <c r="C64" i="63"/>
  <c r="U63" i="63"/>
  <c r="T63" i="63"/>
  <c r="H63" i="63"/>
  <c r="V63" i="63" s="1"/>
  <c r="G63" i="63"/>
  <c r="D63" i="63"/>
  <c r="C63" i="63"/>
  <c r="U62" i="63"/>
  <c r="T62" i="63"/>
  <c r="H62" i="63"/>
  <c r="V62" i="63" s="1"/>
  <c r="G62" i="63"/>
  <c r="D62" i="63"/>
  <c r="C62" i="63"/>
  <c r="U61" i="63"/>
  <c r="T61" i="63"/>
  <c r="H61" i="63"/>
  <c r="V61" i="63" s="1"/>
  <c r="G61" i="63"/>
  <c r="D61" i="63"/>
  <c r="C61" i="63"/>
  <c r="U60" i="63"/>
  <c r="T60" i="63"/>
  <c r="H60" i="63"/>
  <c r="V60" i="63" s="1"/>
  <c r="G60" i="63"/>
  <c r="D60" i="63"/>
  <c r="C60" i="63"/>
  <c r="U59" i="63"/>
  <c r="T59" i="63"/>
  <c r="H59" i="63"/>
  <c r="V59" i="63" s="1"/>
  <c r="G59" i="63"/>
  <c r="D59" i="63"/>
  <c r="C59" i="63"/>
  <c r="U58" i="63"/>
  <c r="T58" i="63"/>
  <c r="H58" i="63"/>
  <c r="V58" i="63" s="1"/>
  <c r="G58" i="63"/>
  <c r="D58" i="63"/>
  <c r="C58" i="63"/>
  <c r="U57" i="63"/>
  <c r="T57" i="63"/>
  <c r="H57" i="63"/>
  <c r="V57" i="63" s="1"/>
  <c r="G57" i="63"/>
  <c r="D57" i="63"/>
  <c r="C57" i="63"/>
  <c r="U56" i="63"/>
  <c r="T56" i="63"/>
  <c r="H56" i="63"/>
  <c r="V56" i="63" s="1"/>
  <c r="G56" i="63"/>
  <c r="D56" i="63"/>
  <c r="C56" i="63"/>
  <c r="U55" i="63"/>
  <c r="T55" i="63"/>
  <c r="H55" i="63"/>
  <c r="V55" i="63" s="1"/>
  <c r="G55" i="63"/>
  <c r="D55" i="63"/>
  <c r="C55" i="63"/>
  <c r="U54" i="63"/>
  <c r="T54" i="63"/>
  <c r="H54" i="63"/>
  <c r="V54" i="63" s="1"/>
  <c r="G54" i="63"/>
  <c r="D54" i="63"/>
  <c r="C54" i="63"/>
  <c r="U53" i="63"/>
  <c r="T53" i="63"/>
  <c r="H53" i="63"/>
  <c r="V53" i="63" s="1"/>
  <c r="G53" i="63"/>
  <c r="D53" i="63"/>
  <c r="C53" i="63"/>
  <c r="U52" i="63"/>
  <c r="T52" i="63"/>
  <c r="H52" i="63"/>
  <c r="V52" i="63" s="1"/>
  <c r="G52" i="63"/>
  <c r="D52" i="63"/>
  <c r="C52" i="63"/>
  <c r="U51" i="63"/>
  <c r="T51" i="63"/>
  <c r="H51" i="63"/>
  <c r="V51" i="63" s="1"/>
  <c r="G51" i="63"/>
  <c r="D51" i="63"/>
  <c r="C51" i="63"/>
  <c r="AC50" i="63"/>
  <c r="AB50" i="63"/>
  <c r="AA50" i="63"/>
  <c r="Z50" i="63"/>
  <c r="Y50" i="63"/>
  <c r="U50" i="63"/>
  <c r="T50" i="63"/>
  <c r="H50" i="63"/>
  <c r="V50" i="63" s="1"/>
  <c r="G50" i="63"/>
  <c r="D50" i="63"/>
  <c r="C50" i="63"/>
  <c r="AC49" i="63"/>
  <c r="AB49" i="63"/>
  <c r="AA49" i="63"/>
  <c r="Z49" i="63"/>
  <c r="Y49" i="63"/>
  <c r="U49" i="63"/>
  <c r="T49" i="63"/>
  <c r="H49" i="63"/>
  <c r="V49" i="63" s="1"/>
  <c r="G49" i="63"/>
  <c r="D49" i="63"/>
  <c r="C49" i="63"/>
  <c r="U48" i="63"/>
  <c r="T48" i="63"/>
  <c r="R48" i="63"/>
  <c r="H48" i="63"/>
  <c r="V48" i="63" s="1"/>
  <c r="G48" i="63"/>
  <c r="D48" i="63"/>
  <c r="C48" i="63"/>
  <c r="U47" i="63"/>
  <c r="T47" i="63"/>
  <c r="S47" i="63"/>
  <c r="R47" i="63"/>
  <c r="AD46" i="63" s="1"/>
  <c r="H47" i="63"/>
  <c r="V47" i="63" s="1"/>
  <c r="G47" i="63"/>
  <c r="D47" i="63"/>
  <c r="C47" i="63"/>
  <c r="U46" i="63"/>
  <c r="T46" i="63"/>
  <c r="H46" i="63"/>
  <c r="V46" i="63" s="1"/>
  <c r="G46" i="63"/>
  <c r="D46" i="63"/>
  <c r="C46" i="63"/>
  <c r="AC45" i="63"/>
  <c r="AB45" i="63"/>
  <c r="AA45" i="63"/>
  <c r="Z45" i="63"/>
  <c r="Y45" i="63"/>
  <c r="U45" i="63"/>
  <c r="T45" i="63"/>
  <c r="H45" i="63"/>
  <c r="V45" i="63" s="1"/>
  <c r="G45" i="63"/>
  <c r="D45" i="63"/>
  <c r="C45" i="63"/>
  <c r="AC44" i="63"/>
  <c r="AB44" i="63"/>
  <c r="AA44" i="63"/>
  <c r="Z44" i="63"/>
  <c r="Y44" i="63"/>
  <c r="U44" i="63"/>
  <c r="T44" i="63"/>
  <c r="H44" i="63"/>
  <c r="V44" i="63" s="1"/>
  <c r="G44" i="63"/>
  <c r="D44" i="63"/>
  <c r="C44" i="63"/>
  <c r="U43" i="63"/>
  <c r="T43" i="63"/>
  <c r="R43" i="63"/>
  <c r="H43" i="63"/>
  <c r="V43" i="63" s="1"/>
  <c r="G43" i="63"/>
  <c r="D43" i="63"/>
  <c r="C43" i="63"/>
  <c r="U42" i="63"/>
  <c r="T42" i="63"/>
  <c r="S42" i="63"/>
  <c r="R42" i="63"/>
  <c r="H42" i="63"/>
  <c r="V42" i="63" s="1"/>
  <c r="G42" i="63"/>
  <c r="D42" i="63"/>
  <c r="C42" i="63"/>
  <c r="AD41" i="63"/>
  <c r="U41" i="63"/>
  <c r="T41" i="63"/>
  <c r="H41" i="63"/>
  <c r="V41" i="63" s="1"/>
  <c r="G41" i="63"/>
  <c r="D41" i="63"/>
  <c r="C41" i="63"/>
  <c r="AC40" i="63"/>
  <c r="AB40" i="63"/>
  <c r="AA40" i="63"/>
  <c r="Z40" i="63"/>
  <c r="Y40" i="63"/>
  <c r="U40" i="63"/>
  <c r="T40" i="63"/>
  <c r="H40" i="63"/>
  <c r="V40" i="63" s="1"/>
  <c r="G40" i="63"/>
  <c r="D40" i="63"/>
  <c r="C40" i="63"/>
  <c r="AC39" i="63"/>
  <c r="AB39" i="63"/>
  <c r="AA39" i="63"/>
  <c r="Z39" i="63"/>
  <c r="Y39" i="63"/>
  <c r="U39" i="63"/>
  <c r="T39" i="63"/>
  <c r="H39" i="63"/>
  <c r="V39" i="63" s="1"/>
  <c r="G39" i="63"/>
  <c r="D39" i="63"/>
  <c r="C39" i="63"/>
  <c r="U38" i="63"/>
  <c r="T38" i="63"/>
  <c r="R38" i="63"/>
  <c r="H38" i="63"/>
  <c r="V38" i="63" s="1"/>
  <c r="G38" i="63"/>
  <c r="D38" i="63"/>
  <c r="C38" i="63"/>
  <c r="U37" i="63"/>
  <c r="T37" i="63"/>
  <c r="S37" i="63"/>
  <c r="R37" i="63"/>
  <c r="H37" i="63"/>
  <c r="V37" i="63" s="1"/>
  <c r="G37" i="63"/>
  <c r="D37" i="63"/>
  <c r="C37" i="63"/>
  <c r="AD36" i="63"/>
  <c r="U36" i="63"/>
  <c r="T36" i="63"/>
  <c r="H36" i="63"/>
  <c r="V36" i="63" s="1"/>
  <c r="G36" i="63"/>
  <c r="D36" i="63"/>
  <c r="C36" i="63"/>
  <c r="AC35" i="63"/>
  <c r="AB35" i="63"/>
  <c r="AA35" i="63"/>
  <c r="Z35" i="63"/>
  <c r="Y35" i="63"/>
  <c r="U35" i="63"/>
  <c r="T35" i="63"/>
  <c r="H35" i="63"/>
  <c r="V35" i="63" s="1"/>
  <c r="G35" i="63"/>
  <c r="D35" i="63"/>
  <c r="C35" i="63"/>
  <c r="AC34" i="63"/>
  <c r="AB34" i="63"/>
  <c r="AA34" i="63"/>
  <c r="Z34" i="63"/>
  <c r="Y34" i="63"/>
  <c r="U34" i="63"/>
  <c r="T34" i="63"/>
  <c r="H34" i="63"/>
  <c r="V34" i="63" s="1"/>
  <c r="G34" i="63"/>
  <c r="D34" i="63"/>
  <c r="C34" i="63"/>
  <c r="U33" i="63"/>
  <c r="T33" i="63"/>
  <c r="R33" i="63"/>
  <c r="H33" i="63"/>
  <c r="V33" i="63" s="1"/>
  <c r="G33" i="63"/>
  <c r="D33" i="63"/>
  <c r="C33" i="63"/>
  <c r="U32" i="63"/>
  <c r="T32" i="63"/>
  <c r="R32" i="63"/>
  <c r="S32" i="63" s="1"/>
  <c r="H32" i="63"/>
  <c r="V32" i="63" s="1"/>
  <c r="G32" i="63"/>
  <c r="D32" i="63"/>
  <c r="C32" i="63"/>
  <c r="AD31" i="63"/>
  <c r="U31" i="63"/>
  <c r="T31" i="63"/>
  <c r="H31" i="63"/>
  <c r="V31" i="63" s="1"/>
  <c r="G31" i="63"/>
  <c r="D31" i="63"/>
  <c r="C31" i="63"/>
  <c r="AC30" i="63"/>
  <c r="AB30" i="63"/>
  <c r="AA30" i="63"/>
  <c r="Z30" i="63"/>
  <c r="Y30" i="63"/>
  <c r="U30" i="63"/>
  <c r="T30" i="63"/>
  <c r="H30" i="63"/>
  <c r="V30" i="63" s="1"/>
  <c r="G30" i="63"/>
  <c r="D30" i="63"/>
  <c r="C30" i="63"/>
  <c r="AC29" i="63"/>
  <c r="AB29" i="63"/>
  <c r="AA29" i="63"/>
  <c r="Z29" i="63"/>
  <c r="Y29" i="63"/>
  <c r="U29" i="63"/>
  <c r="T29" i="63"/>
  <c r="H29" i="63"/>
  <c r="V29" i="63" s="1"/>
  <c r="G29" i="63"/>
  <c r="D29" i="63"/>
  <c r="C29" i="63"/>
  <c r="U28" i="63"/>
  <c r="T28" i="63"/>
  <c r="R28" i="63"/>
  <c r="H28" i="63"/>
  <c r="V28" i="63" s="1"/>
  <c r="G28" i="63"/>
  <c r="D28" i="63"/>
  <c r="C28" i="63"/>
  <c r="U27" i="63"/>
  <c r="T27" i="63"/>
  <c r="R27" i="63"/>
  <c r="AD26" i="63" s="1"/>
  <c r="AG14" i="63" s="1"/>
  <c r="H27" i="63"/>
  <c r="V27" i="63" s="1"/>
  <c r="G27" i="63"/>
  <c r="D27" i="63"/>
  <c r="C27" i="63"/>
  <c r="U26" i="63"/>
  <c r="T26" i="63"/>
  <c r="H26" i="63"/>
  <c r="V26" i="63" s="1"/>
  <c r="G26" i="63"/>
  <c r="D26" i="63"/>
  <c r="C26" i="63"/>
  <c r="U25" i="63"/>
  <c r="T25" i="63"/>
  <c r="H25" i="63"/>
  <c r="V25" i="63" s="1"/>
  <c r="G25" i="63"/>
  <c r="D25" i="63"/>
  <c r="C25" i="63"/>
  <c r="U24" i="63"/>
  <c r="T24" i="63"/>
  <c r="H24" i="63"/>
  <c r="V24" i="63" s="1"/>
  <c r="G24" i="63"/>
  <c r="D24" i="63"/>
  <c r="C24" i="63"/>
  <c r="U23" i="63"/>
  <c r="T23" i="63"/>
  <c r="H23" i="63"/>
  <c r="V23" i="63" s="1"/>
  <c r="G23" i="63"/>
  <c r="D23" i="63"/>
  <c r="C23" i="63"/>
  <c r="U22" i="63"/>
  <c r="T22" i="63"/>
  <c r="R22" i="63"/>
  <c r="AD22" i="63" s="1"/>
  <c r="H22" i="63"/>
  <c r="V22" i="63" s="1"/>
  <c r="G22" i="63"/>
  <c r="D22" i="63"/>
  <c r="C22" i="63"/>
  <c r="U21" i="63"/>
  <c r="T21" i="63"/>
  <c r="R21" i="63"/>
  <c r="H21" i="63"/>
  <c r="V21" i="63" s="1"/>
  <c r="G21" i="63"/>
  <c r="D21" i="63"/>
  <c r="C21" i="63"/>
  <c r="U20" i="63"/>
  <c r="T20" i="63"/>
  <c r="R20" i="63"/>
  <c r="AD20" i="63" s="1"/>
  <c r="H20" i="63"/>
  <c r="V20" i="63" s="1"/>
  <c r="G20" i="63"/>
  <c r="D20" i="63"/>
  <c r="C20" i="63"/>
  <c r="U19" i="63"/>
  <c r="T19" i="63"/>
  <c r="R19" i="63"/>
  <c r="H19" i="63"/>
  <c r="V19" i="63" s="1"/>
  <c r="G19" i="63"/>
  <c r="D19" i="63"/>
  <c r="C19" i="63"/>
  <c r="U18" i="63"/>
  <c r="T18" i="63"/>
  <c r="R18" i="63"/>
  <c r="AD18" i="63" s="1"/>
  <c r="H18" i="63"/>
  <c r="V18" i="63" s="1"/>
  <c r="G18" i="63"/>
  <c r="D18" i="63"/>
  <c r="C18" i="63"/>
  <c r="U17" i="63"/>
  <c r="T17" i="63"/>
  <c r="R17" i="63"/>
  <c r="H17" i="63"/>
  <c r="V17" i="63" s="1"/>
  <c r="G17" i="63"/>
  <c r="D17" i="63"/>
  <c r="C17" i="63"/>
  <c r="U16" i="63"/>
  <c r="T16" i="63"/>
  <c r="R16" i="63"/>
  <c r="AD16" i="63" s="1"/>
  <c r="H16" i="63"/>
  <c r="V16" i="63" s="1"/>
  <c r="G16" i="63"/>
  <c r="D16" i="63"/>
  <c r="C16" i="63"/>
  <c r="U15" i="63"/>
  <c r="T15" i="63"/>
  <c r="R15" i="63"/>
  <c r="H15" i="63"/>
  <c r="V15" i="63" s="1"/>
  <c r="G15" i="63"/>
  <c r="D15" i="63"/>
  <c r="C15" i="63"/>
  <c r="U14" i="63"/>
  <c r="T14" i="63"/>
  <c r="R14" i="63"/>
  <c r="H14" i="63"/>
  <c r="V14" i="63" s="1"/>
  <c r="G14" i="63"/>
  <c r="D14" i="63"/>
  <c r="C14" i="63"/>
  <c r="U13" i="63"/>
  <c r="T13" i="63"/>
  <c r="R13" i="63"/>
  <c r="AD21" i="63" s="1"/>
  <c r="H13" i="63"/>
  <c r="V13" i="63" s="1"/>
  <c r="G13" i="63"/>
  <c r="D13" i="63"/>
  <c r="C13" i="63"/>
  <c r="U12" i="63"/>
  <c r="T12" i="63"/>
  <c r="H12" i="63"/>
  <c r="V12" i="63" s="1"/>
  <c r="G12" i="63"/>
  <c r="D12" i="63"/>
  <c r="C12" i="63"/>
  <c r="U11" i="63"/>
  <c r="T11" i="63"/>
  <c r="H11" i="63"/>
  <c r="V11" i="63" s="1"/>
  <c r="G11" i="63"/>
  <c r="D11" i="63"/>
  <c r="C11" i="63"/>
  <c r="U10" i="63"/>
  <c r="T10" i="63"/>
  <c r="H10" i="63"/>
  <c r="V10" i="63" s="1"/>
  <c r="G10" i="63"/>
  <c r="D10" i="63"/>
  <c r="C10" i="63"/>
  <c r="U9" i="63"/>
  <c r="T9" i="63"/>
  <c r="H9" i="63"/>
  <c r="V9" i="63" s="1"/>
  <c r="G9" i="63"/>
  <c r="D9" i="63"/>
  <c r="C9" i="63"/>
  <c r="AC8" i="63"/>
  <c r="AB8" i="63"/>
  <c r="AA8" i="63"/>
  <c r="Z8" i="63"/>
  <c r="Y8" i="63"/>
  <c r="U8" i="63"/>
  <c r="T8" i="63"/>
  <c r="H8" i="63"/>
  <c r="V8" i="63" s="1"/>
  <c r="G8" i="63"/>
  <c r="D8" i="63"/>
  <c r="C8" i="63"/>
  <c r="AG7" i="63"/>
  <c r="U7" i="63"/>
  <c r="T7" i="63"/>
  <c r="H7" i="63"/>
  <c r="V7" i="63" s="1"/>
  <c r="G7" i="63"/>
  <c r="D7" i="63"/>
  <c r="C7" i="63"/>
  <c r="U6" i="63"/>
  <c r="T6" i="63"/>
  <c r="H6" i="63"/>
  <c r="V6" i="63" s="1"/>
  <c r="G6" i="63"/>
  <c r="D6" i="63"/>
  <c r="C6" i="63"/>
  <c r="AK5" i="63"/>
  <c r="AJ5" i="63"/>
  <c r="AB7" i="63" s="1"/>
  <c r="AI5" i="63"/>
  <c r="AA47" i="63" s="1"/>
  <c r="AG3" i="63"/>
  <c r="C2" i="63" a="1"/>
  <c r="C2" i="63" s="1"/>
  <c r="B2" i="63" a="1"/>
  <c r="B2" i="63" s="1"/>
  <c r="AG2" i="63" s="1"/>
  <c r="C1" i="63"/>
  <c r="B1" i="63"/>
  <c r="U105" i="62"/>
  <c r="T105" i="62"/>
  <c r="H105" i="62"/>
  <c r="V105" i="62" s="1"/>
  <c r="G105" i="62"/>
  <c r="D105" i="62"/>
  <c r="C105" i="62"/>
  <c r="U104" i="62"/>
  <c r="T104" i="62"/>
  <c r="H104" i="62"/>
  <c r="V104" i="62" s="1"/>
  <c r="G104" i="62"/>
  <c r="D104" i="62"/>
  <c r="C104" i="62"/>
  <c r="U103" i="62"/>
  <c r="T103" i="62"/>
  <c r="H103" i="62"/>
  <c r="V103" i="62" s="1"/>
  <c r="G103" i="62"/>
  <c r="D103" i="62"/>
  <c r="C103" i="62"/>
  <c r="U102" i="62"/>
  <c r="T102" i="62"/>
  <c r="H102" i="62"/>
  <c r="V102" i="62" s="1"/>
  <c r="G102" i="62"/>
  <c r="D102" i="62"/>
  <c r="C102" i="62"/>
  <c r="U101" i="62"/>
  <c r="T101" i="62"/>
  <c r="H101" i="62"/>
  <c r="V101" i="62" s="1"/>
  <c r="G101" i="62"/>
  <c r="D101" i="62"/>
  <c r="C101" i="62"/>
  <c r="U100" i="62"/>
  <c r="T100" i="62"/>
  <c r="H100" i="62"/>
  <c r="V100" i="62" s="1"/>
  <c r="G100" i="62"/>
  <c r="D100" i="62"/>
  <c r="C100" i="62"/>
  <c r="U99" i="62"/>
  <c r="T99" i="62"/>
  <c r="H99" i="62"/>
  <c r="V99" i="62" s="1"/>
  <c r="G99" i="62"/>
  <c r="D99" i="62"/>
  <c r="C99" i="62"/>
  <c r="U98" i="62"/>
  <c r="T98" i="62"/>
  <c r="H98" i="62"/>
  <c r="V98" i="62" s="1"/>
  <c r="G98" i="62"/>
  <c r="D98" i="62"/>
  <c r="C98" i="62"/>
  <c r="U97" i="62"/>
  <c r="T97" i="62"/>
  <c r="H97" i="62"/>
  <c r="V97" i="62" s="1"/>
  <c r="G97" i="62"/>
  <c r="D97" i="62"/>
  <c r="C97" i="62"/>
  <c r="U96" i="62"/>
  <c r="T96" i="62"/>
  <c r="H96" i="62"/>
  <c r="V96" i="62" s="1"/>
  <c r="G96" i="62"/>
  <c r="D96" i="62"/>
  <c r="C96" i="62"/>
  <c r="U95" i="62"/>
  <c r="T95" i="62"/>
  <c r="H95" i="62"/>
  <c r="V95" i="62" s="1"/>
  <c r="G95" i="62"/>
  <c r="D95" i="62"/>
  <c r="C95" i="62"/>
  <c r="U94" i="62"/>
  <c r="T94" i="62"/>
  <c r="H94" i="62"/>
  <c r="V94" i="62" s="1"/>
  <c r="G94" i="62"/>
  <c r="D94" i="62"/>
  <c r="C94" i="62"/>
  <c r="U93" i="62"/>
  <c r="T93" i="62"/>
  <c r="H93" i="62"/>
  <c r="V93" i="62" s="1"/>
  <c r="G93" i="62"/>
  <c r="D93" i="62"/>
  <c r="C93" i="62"/>
  <c r="U92" i="62"/>
  <c r="T92" i="62"/>
  <c r="H92" i="62"/>
  <c r="V92" i="62" s="1"/>
  <c r="G92" i="62"/>
  <c r="D92" i="62"/>
  <c r="C92" i="62"/>
  <c r="U91" i="62"/>
  <c r="T91" i="62"/>
  <c r="H91" i="62"/>
  <c r="V91" i="62" s="1"/>
  <c r="G91" i="62"/>
  <c r="D91" i="62"/>
  <c r="C91" i="62"/>
  <c r="U90" i="62"/>
  <c r="T90" i="62"/>
  <c r="H90" i="62"/>
  <c r="V90" i="62" s="1"/>
  <c r="G90" i="62"/>
  <c r="D90" i="62"/>
  <c r="C90" i="62"/>
  <c r="U89" i="62"/>
  <c r="T89" i="62"/>
  <c r="H89" i="62"/>
  <c r="V89" i="62" s="1"/>
  <c r="G89" i="62"/>
  <c r="D89" i="62"/>
  <c r="C89" i="62"/>
  <c r="U88" i="62"/>
  <c r="T88" i="62"/>
  <c r="H88" i="62"/>
  <c r="V88" i="62" s="1"/>
  <c r="G88" i="62"/>
  <c r="D88" i="62"/>
  <c r="C88" i="62"/>
  <c r="U87" i="62"/>
  <c r="T87" i="62"/>
  <c r="H87" i="62"/>
  <c r="V87" i="62" s="1"/>
  <c r="G87" i="62"/>
  <c r="D87" i="62"/>
  <c r="C87" i="62"/>
  <c r="U86" i="62"/>
  <c r="T86" i="62"/>
  <c r="H86" i="62"/>
  <c r="V86" i="62" s="1"/>
  <c r="G86" i="62"/>
  <c r="D86" i="62"/>
  <c r="C86" i="62"/>
  <c r="U85" i="62"/>
  <c r="T85" i="62"/>
  <c r="H85" i="62"/>
  <c r="V85" i="62" s="1"/>
  <c r="G85" i="62"/>
  <c r="D85" i="62"/>
  <c r="C85" i="62"/>
  <c r="U84" i="62"/>
  <c r="T84" i="62"/>
  <c r="H84" i="62"/>
  <c r="V84" i="62" s="1"/>
  <c r="G84" i="62"/>
  <c r="D84" i="62"/>
  <c r="C84" i="62"/>
  <c r="U83" i="62"/>
  <c r="T83" i="62"/>
  <c r="H83" i="62"/>
  <c r="V83" i="62" s="1"/>
  <c r="G83" i="62"/>
  <c r="D83" i="62"/>
  <c r="C83" i="62"/>
  <c r="U82" i="62"/>
  <c r="T82" i="62"/>
  <c r="H82" i="62"/>
  <c r="V82" i="62" s="1"/>
  <c r="G82" i="62"/>
  <c r="D82" i="62"/>
  <c r="C82" i="62"/>
  <c r="U81" i="62"/>
  <c r="T81" i="62"/>
  <c r="H81" i="62"/>
  <c r="V81" i="62" s="1"/>
  <c r="G81" i="62"/>
  <c r="D81" i="62"/>
  <c r="C81" i="62"/>
  <c r="U80" i="62"/>
  <c r="T80" i="62"/>
  <c r="H80" i="62"/>
  <c r="V80" i="62" s="1"/>
  <c r="G80" i="62"/>
  <c r="D80" i="62"/>
  <c r="C80" i="62"/>
  <c r="U79" i="62"/>
  <c r="T79" i="62"/>
  <c r="H79" i="62"/>
  <c r="V79" i="62" s="1"/>
  <c r="G79" i="62"/>
  <c r="D79" i="62"/>
  <c r="C79" i="62"/>
  <c r="U78" i="62"/>
  <c r="T78" i="62"/>
  <c r="H78" i="62"/>
  <c r="V78" i="62" s="1"/>
  <c r="G78" i="62"/>
  <c r="D78" i="62"/>
  <c r="C78" i="62"/>
  <c r="U77" i="62"/>
  <c r="T77" i="62"/>
  <c r="H77" i="62"/>
  <c r="V77" i="62" s="1"/>
  <c r="G77" i="62"/>
  <c r="D77" i="62"/>
  <c r="C77" i="62"/>
  <c r="U76" i="62"/>
  <c r="T76" i="62"/>
  <c r="H76" i="62"/>
  <c r="V76" i="62" s="1"/>
  <c r="G76" i="62"/>
  <c r="D76" i="62"/>
  <c r="C76" i="62"/>
  <c r="U75" i="62"/>
  <c r="T75" i="62"/>
  <c r="H75" i="62"/>
  <c r="V75" i="62" s="1"/>
  <c r="G75" i="62"/>
  <c r="D75" i="62"/>
  <c r="C75" i="62"/>
  <c r="U74" i="62"/>
  <c r="T74" i="62"/>
  <c r="H74" i="62"/>
  <c r="V74" i="62" s="1"/>
  <c r="G74" i="62"/>
  <c r="D74" i="62"/>
  <c r="C74" i="62"/>
  <c r="U73" i="62"/>
  <c r="T73" i="62"/>
  <c r="H73" i="62"/>
  <c r="V73" i="62" s="1"/>
  <c r="G73" i="62"/>
  <c r="D73" i="62"/>
  <c r="C73" i="62"/>
  <c r="U72" i="62"/>
  <c r="T72" i="62"/>
  <c r="H72" i="62"/>
  <c r="V72" i="62" s="1"/>
  <c r="G72" i="62"/>
  <c r="D72" i="62"/>
  <c r="C72" i="62"/>
  <c r="U71" i="62"/>
  <c r="T71" i="62"/>
  <c r="H71" i="62"/>
  <c r="V71" i="62" s="1"/>
  <c r="G71" i="62"/>
  <c r="D71" i="62"/>
  <c r="C71" i="62"/>
  <c r="U70" i="62"/>
  <c r="T70" i="62"/>
  <c r="H70" i="62"/>
  <c r="V70" i="62" s="1"/>
  <c r="G70" i="62"/>
  <c r="D70" i="62"/>
  <c r="C70" i="62"/>
  <c r="U69" i="62"/>
  <c r="T69" i="62"/>
  <c r="H69" i="62"/>
  <c r="V69" i="62" s="1"/>
  <c r="G69" i="62"/>
  <c r="D69" i="62"/>
  <c r="C69" i="62"/>
  <c r="U68" i="62"/>
  <c r="T68" i="62"/>
  <c r="H68" i="62"/>
  <c r="V68" i="62" s="1"/>
  <c r="G68" i="62"/>
  <c r="D68" i="62"/>
  <c r="C68" i="62"/>
  <c r="U67" i="62"/>
  <c r="T67" i="62"/>
  <c r="H67" i="62"/>
  <c r="V67" i="62" s="1"/>
  <c r="G67" i="62"/>
  <c r="D67" i="62"/>
  <c r="C67" i="62"/>
  <c r="U66" i="62"/>
  <c r="T66" i="62"/>
  <c r="H66" i="62"/>
  <c r="V66" i="62" s="1"/>
  <c r="G66" i="62"/>
  <c r="D66" i="62"/>
  <c r="C66" i="62"/>
  <c r="U65" i="62"/>
  <c r="T65" i="62"/>
  <c r="H65" i="62"/>
  <c r="V65" i="62" s="1"/>
  <c r="G65" i="62"/>
  <c r="D65" i="62"/>
  <c r="C65" i="62"/>
  <c r="U64" i="62"/>
  <c r="T64" i="62"/>
  <c r="H64" i="62"/>
  <c r="V64" i="62" s="1"/>
  <c r="G64" i="62"/>
  <c r="D64" i="62"/>
  <c r="C64" i="62"/>
  <c r="U63" i="62"/>
  <c r="T63" i="62"/>
  <c r="H63" i="62"/>
  <c r="V63" i="62" s="1"/>
  <c r="G63" i="62"/>
  <c r="D63" i="62"/>
  <c r="C63" i="62"/>
  <c r="U62" i="62"/>
  <c r="T62" i="62"/>
  <c r="H62" i="62"/>
  <c r="V62" i="62" s="1"/>
  <c r="G62" i="62"/>
  <c r="D62" i="62"/>
  <c r="C62" i="62"/>
  <c r="U61" i="62"/>
  <c r="T61" i="62"/>
  <c r="H61" i="62"/>
  <c r="V61" i="62" s="1"/>
  <c r="G61" i="62"/>
  <c r="D61" i="62"/>
  <c r="C61" i="62"/>
  <c r="U60" i="62"/>
  <c r="T60" i="62"/>
  <c r="H60" i="62"/>
  <c r="V60" i="62" s="1"/>
  <c r="G60" i="62"/>
  <c r="D60" i="62"/>
  <c r="C60" i="62"/>
  <c r="U59" i="62"/>
  <c r="T59" i="62"/>
  <c r="H59" i="62"/>
  <c r="V59" i="62" s="1"/>
  <c r="G59" i="62"/>
  <c r="D59" i="62"/>
  <c r="C59" i="62"/>
  <c r="U58" i="62"/>
  <c r="T58" i="62"/>
  <c r="H58" i="62"/>
  <c r="V58" i="62" s="1"/>
  <c r="G58" i="62"/>
  <c r="D58" i="62"/>
  <c r="C58" i="62"/>
  <c r="U57" i="62"/>
  <c r="T57" i="62"/>
  <c r="H57" i="62"/>
  <c r="V57" i="62" s="1"/>
  <c r="G57" i="62"/>
  <c r="D57" i="62"/>
  <c r="C57" i="62"/>
  <c r="U56" i="62"/>
  <c r="T56" i="62"/>
  <c r="H56" i="62"/>
  <c r="V56" i="62" s="1"/>
  <c r="G56" i="62"/>
  <c r="D56" i="62"/>
  <c r="C56" i="62"/>
  <c r="U55" i="62"/>
  <c r="T55" i="62"/>
  <c r="H55" i="62"/>
  <c r="V55" i="62" s="1"/>
  <c r="G55" i="62"/>
  <c r="D55" i="62"/>
  <c r="C55" i="62"/>
  <c r="U54" i="62"/>
  <c r="T54" i="62"/>
  <c r="H54" i="62"/>
  <c r="V54" i="62" s="1"/>
  <c r="G54" i="62"/>
  <c r="D54" i="62"/>
  <c r="C54" i="62"/>
  <c r="U53" i="62"/>
  <c r="T53" i="62"/>
  <c r="H53" i="62"/>
  <c r="V53" i="62" s="1"/>
  <c r="G53" i="62"/>
  <c r="D53" i="62"/>
  <c r="C53" i="62"/>
  <c r="U52" i="62"/>
  <c r="T52" i="62"/>
  <c r="H52" i="62"/>
  <c r="V52" i="62" s="1"/>
  <c r="G52" i="62"/>
  <c r="D52" i="62"/>
  <c r="C52" i="62"/>
  <c r="U51" i="62"/>
  <c r="T51" i="62"/>
  <c r="H51" i="62"/>
  <c r="V51" i="62" s="1"/>
  <c r="G51" i="62"/>
  <c r="D51" i="62"/>
  <c r="C51" i="62"/>
  <c r="AC50" i="62"/>
  <c r="AB50" i="62"/>
  <c r="AA50" i="62"/>
  <c r="Z50" i="62"/>
  <c r="Y50" i="62"/>
  <c r="U50" i="62"/>
  <c r="T50" i="62"/>
  <c r="H50" i="62"/>
  <c r="V50" i="62" s="1"/>
  <c r="G50" i="62"/>
  <c r="D50" i="62"/>
  <c r="C50" i="62"/>
  <c r="AC49" i="62"/>
  <c r="AB49" i="62"/>
  <c r="AA49" i="62"/>
  <c r="Z49" i="62"/>
  <c r="Y49" i="62"/>
  <c r="U49" i="62"/>
  <c r="T49" i="62"/>
  <c r="H49" i="62"/>
  <c r="V49" i="62" s="1"/>
  <c r="G49" i="62"/>
  <c r="D49" i="62"/>
  <c r="C49" i="62"/>
  <c r="U48" i="62"/>
  <c r="T48" i="62"/>
  <c r="R48" i="62"/>
  <c r="H48" i="62"/>
  <c r="V48" i="62" s="1"/>
  <c r="G48" i="62"/>
  <c r="D48" i="62"/>
  <c r="C48" i="62"/>
  <c r="U47" i="62"/>
  <c r="T47" i="62"/>
  <c r="S47" i="62"/>
  <c r="R47" i="62"/>
  <c r="H47" i="62"/>
  <c r="V47" i="62" s="1"/>
  <c r="G47" i="62"/>
  <c r="D47" i="62"/>
  <c r="C47" i="62"/>
  <c r="U46" i="62"/>
  <c r="T46" i="62"/>
  <c r="H46" i="62"/>
  <c r="V46" i="62" s="1"/>
  <c r="G46" i="62"/>
  <c r="D46" i="62"/>
  <c r="C46" i="62"/>
  <c r="AC45" i="62"/>
  <c r="AB45" i="62"/>
  <c r="AA45" i="62"/>
  <c r="Z45" i="62"/>
  <c r="Y45" i="62"/>
  <c r="U45" i="62"/>
  <c r="T45" i="62"/>
  <c r="H45" i="62"/>
  <c r="V45" i="62" s="1"/>
  <c r="G45" i="62"/>
  <c r="D45" i="62"/>
  <c r="C45" i="62"/>
  <c r="AC44" i="62"/>
  <c r="AB44" i="62"/>
  <c r="AA44" i="62"/>
  <c r="Z44" i="62"/>
  <c r="Y44" i="62"/>
  <c r="U44" i="62"/>
  <c r="T44" i="62"/>
  <c r="H44" i="62"/>
  <c r="V44" i="62" s="1"/>
  <c r="G44" i="62"/>
  <c r="D44" i="62"/>
  <c r="C44" i="62"/>
  <c r="U43" i="62"/>
  <c r="T43" i="62"/>
  <c r="R43" i="62"/>
  <c r="H43" i="62"/>
  <c r="V43" i="62" s="1"/>
  <c r="G43" i="62"/>
  <c r="D43" i="62"/>
  <c r="C43" i="62"/>
  <c r="U42" i="62"/>
  <c r="T42" i="62"/>
  <c r="R42" i="62"/>
  <c r="AD41" i="62" s="1"/>
  <c r="H42" i="62"/>
  <c r="V42" i="62" s="1"/>
  <c r="G42" i="62"/>
  <c r="D42" i="62"/>
  <c r="C42" i="62"/>
  <c r="U41" i="62"/>
  <c r="T41" i="62"/>
  <c r="H41" i="62"/>
  <c r="V41" i="62" s="1"/>
  <c r="G41" i="62"/>
  <c r="D41" i="62"/>
  <c r="C41" i="62"/>
  <c r="AC40" i="62"/>
  <c r="AB40" i="62"/>
  <c r="AA40" i="62"/>
  <c r="Z40" i="62"/>
  <c r="Y40" i="62"/>
  <c r="U40" i="62"/>
  <c r="T40" i="62"/>
  <c r="H40" i="62"/>
  <c r="V40" i="62" s="1"/>
  <c r="G40" i="62"/>
  <c r="D40" i="62"/>
  <c r="C40" i="62"/>
  <c r="AC39" i="62"/>
  <c r="AB39" i="62"/>
  <c r="AA39" i="62"/>
  <c r="Z39" i="62"/>
  <c r="Y39" i="62"/>
  <c r="U39" i="62"/>
  <c r="T39" i="62"/>
  <c r="H39" i="62"/>
  <c r="V39" i="62" s="1"/>
  <c r="G39" i="62"/>
  <c r="D39" i="62"/>
  <c r="C39" i="62"/>
  <c r="U38" i="62"/>
  <c r="T38" i="62"/>
  <c r="R38" i="62"/>
  <c r="H38" i="62"/>
  <c r="V38" i="62" s="1"/>
  <c r="G38" i="62"/>
  <c r="D38" i="62"/>
  <c r="C38" i="62"/>
  <c r="U37" i="62"/>
  <c r="T37" i="62"/>
  <c r="R37" i="62"/>
  <c r="S37" i="62" s="1"/>
  <c r="H37" i="62"/>
  <c r="V37" i="62" s="1"/>
  <c r="G37" i="62"/>
  <c r="D37" i="62"/>
  <c r="C37" i="62"/>
  <c r="U36" i="62"/>
  <c r="T36" i="62"/>
  <c r="H36" i="62"/>
  <c r="V36" i="62" s="1"/>
  <c r="G36" i="62"/>
  <c r="D36" i="62"/>
  <c r="C36" i="62"/>
  <c r="AC35" i="62"/>
  <c r="AB35" i="62"/>
  <c r="AA35" i="62"/>
  <c r="Z35" i="62"/>
  <c r="Y35" i="62"/>
  <c r="U35" i="62"/>
  <c r="T35" i="62"/>
  <c r="H35" i="62"/>
  <c r="V35" i="62" s="1"/>
  <c r="G35" i="62"/>
  <c r="D35" i="62"/>
  <c r="C35" i="62"/>
  <c r="AC34" i="62"/>
  <c r="AB34" i="62"/>
  <c r="AA34" i="62"/>
  <c r="Z34" i="62"/>
  <c r="Y34" i="62"/>
  <c r="U34" i="62"/>
  <c r="T34" i="62"/>
  <c r="H34" i="62"/>
  <c r="V34" i="62" s="1"/>
  <c r="G34" i="62"/>
  <c r="D34" i="62"/>
  <c r="C34" i="62"/>
  <c r="U33" i="62"/>
  <c r="T33" i="62"/>
  <c r="R33" i="62"/>
  <c r="H33" i="62"/>
  <c r="V33" i="62" s="1"/>
  <c r="G33" i="62"/>
  <c r="D33" i="62"/>
  <c r="C33" i="62"/>
  <c r="U32" i="62"/>
  <c r="T32" i="62"/>
  <c r="S32" i="62"/>
  <c r="R32" i="62"/>
  <c r="H32" i="62"/>
  <c r="V32" i="62" s="1"/>
  <c r="G32" i="62"/>
  <c r="D32" i="62"/>
  <c r="C32" i="62"/>
  <c r="AD31" i="62"/>
  <c r="U31" i="62"/>
  <c r="T31" i="62"/>
  <c r="H31" i="62"/>
  <c r="V31" i="62" s="1"/>
  <c r="G31" i="62"/>
  <c r="D31" i="62"/>
  <c r="C31" i="62"/>
  <c r="AC30" i="62"/>
  <c r="AB30" i="62"/>
  <c r="AA30" i="62"/>
  <c r="Z30" i="62"/>
  <c r="Y30" i="62"/>
  <c r="U30" i="62"/>
  <c r="T30" i="62"/>
  <c r="H30" i="62"/>
  <c r="V30" i="62" s="1"/>
  <c r="G30" i="62"/>
  <c r="D30" i="62"/>
  <c r="C30" i="62"/>
  <c r="AC29" i="62"/>
  <c r="AB29" i="62"/>
  <c r="AA29" i="62"/>
  <c r="Z29" i="62"/>
  <c r="Y29" i="62"/>
  <c r="U29" i="62"/>
  <c r="T29" i="62"/>
  <c r="H29" i="62"/>
  <c r="V29" i="62" s="1"/>
  <c r="G29" i="62"/>
  <c r="D29" i="62"/>
  <c r="C29" i="62"/>
  <c r="U28" i="62"/>
  <c r="T28" i="62"/>
  <c r="R28" i="62"/>
  <c r="H28" i="62"/>
  <c r="V28" i="62" s="1"/>
  <c r="G28" i="62"/>
  <c r="D28" i="62"/>
  <c r="C28" i="62"/>
  <c r="U27" i="62"/>
  <c r="T27" i="62"/>
  <c r="R27" i="62"/>
  <c r="H27" i="62"/>
  <c r="V27" i="62" s="1"/>
  <c r="G27" i="62"/>
  <c r="D27" i="62"/>
  <c r="C27" i="62"/>
  <c r="U26" i="62"/>
  <c r="T26" i="62"/>
  <c r="H26" i="62"/>
  <c r="V26" i="62" s="1"/>
  <c r="G26" i="62"/>
  <c r="D26" i="62"/>
  <c r="C26" i="62"/>
  <c r="U25" i="62"/>
  <c r="T25" i="62"/>
  <c r="H25" i="62"/>
  <c r="V25" i="62" s="1"/>
  <c r="G25" i="62"/>
  <c r="D25" i="62"/>
  <c r="C25" i="62"/>
  <c r="U24" i="62"/>
  <c r="T24" i="62"/>
  <c r="H24" i="62"/>
  <c r="V24" i="62" s="1"/>
  <c r="G24" i="62"/>
  <c r="D24" i="62"/>
  <c r="C24" i="62"/>
  <c r="U23" i="62"/>
  <c r="T23" i="62"/>
  <c r="H23" i="62"/>
  <c r="V23" i="62" s="1"/>
  <c r="G23" i="62"/>
  <c r="D23" i="62"/>
  <c r="C23" i="62"/>
  <c r="U22" i="62"/>
  <c r="T22" i="62"/>
  <c r="R22" i="62"/>
  <c r="AD22" i="62" s="1"/>
  <c r="H22" i="62"/>
  <c r="V22" i="62" s="1"/>
  <c r="G22" i="62"/>
  <c r="D22" i="62"/>
  <c r="C22" i="62"/>
  <c r="U21" i="62"/>
  <c r="T21" i="62"/>
  <c r="R21" i="62"/>
  <c r="AD21" i="62" s="1"/>
  <c r="H21" i="62"/>
  <c r="V21" i="62" s="1"/>
  <c r="G21" i="62"/>
  <c r="D21" i="62"/>
  <c r="C21" i="62"/>
  <c r="U20" i="62"/>
  <c r="T20" i="62"/>
  <c r="R20" i="62"/>
  <c r="AD20" i="62" s="1"/>
  <c r="H20" i="62"/>
  <c r="V20" i="62" s="1"/>
  <c r="G20" i="62"/>
  <c r="D20" i="62"/>
  <c r="C20" i="62"/>
  <c r="U19" i="62"/>
  <c r="T19" i="62"/>
  <c r="R19" i="62"/>
  <c r="AD19" i="62" s="1"/>
  <c r="H19" i="62"/>
  <c r="V19" i="62" s="1"/>
  <c r="G19" i="62"/>
  <c r="D19" i="62"/>
  <c r="C19" i="62"/>
  <c r="U18" i="62"/>
  <c r="T18" i="62"/>
  <c r="R18" i="62"/>
  <c r="AD18" i="62" s="1"/>
  <c r="H18" i="62"/>
  <c r="V18" i="62" s="1"/>
  <c r="G18" i="62"/>
  <c r="D18" i="62"/>
  <c r="C18" i="62"/>
  <c r="U17" i="62"/>
  <c r="T17" i="62"/>
  <c r="R17" i="62"/>
  <c r="AD17" i="62" s="1"/>
  <c r="H17" i="62"/>
  <c r="V17" i="62" s="1"/>
  <c r="G17" i="62"/>
  <c r="D17" i="62"/>
  <c r="C17" i="62"/>
  <c r="U16" i="62"/>
  <c r="T16" i="62"/>
  <c r="R16" i="62"/>
  <c r="AD16" i="62" s="1"/>
  <c r="H16" i="62"/>
  <c r="V16" i="62" s="1"/>
  <c r="G16" i="62"/>
  <c r="D16" i="62"/>
  <c r="C16" i="62"/>
  <c r="U15" i="62"/>
  <c r="T15" i="62"/>
  <c r="R15" i="62"/>
  <c r="H15" i="62"/>
  <c r="V15" i="62" s="1"/>
  <c r="G15" i="62"/>
  <c r="D15" i="62"/>
  <c r="C15" i="62"/>
  <c r="U14" i="62"/>
  <c r="T14" i="62"/>
  <c r="R14" i="62"/>
  <c r="AD14" i="62" s="1"/>
  <c r="H14" i="62"/>
  <c r="V14" i="62" s="1"/>
  <c r="G14" i="62"/>
  <c r="D14" i="62"/>
  <c r="C14" i="62"/>
  <c r="U13" i="62"/>
  <c r="T13" i="62"/>
  <c r="R13" i="62"/>
  <c r="AD13" i="62" s="1"/>
  <c r="H13" i="62"/>
  <c r="V13" i="62" s="1"/>
  <c r="G13" i="62"/>
  <c r="D13" i="62"/>
  <c r="C13" i="62"/>
  <c r="U12" i="62"/>
  <c r="T12" i="62"/>
  <c r="H12" i="62"/>
  <c r="V12" i="62" s="1"/>
  <c r="G12" i="62"/>
  <c r="D12" i="62"/>
  <c r="C12" i="62"/>
  <c r="U11" i="62"/>
  <c r="T11" i="62"/>
  <c r="H11" i="62"/>
  <c r="V11" i="62" s="1"/>
  <c r="G11" i="62"/>
  <c r="D11" i="62"/>
  <c r="C11" i="62"/>
  <c r="U10" i="62"/>
  <c r="T10" i="62"/>
  <c r="H10" i="62"/>
  <c r="V10" i="62" s="1"/>
  <c r="G10" i="62"/>
  <c r="D10" i="62"/>
  <c r="C10" i="62"/>
  <c r="U9" i="62"/>
  <c r="T9" i="62"/>
  <c r="H9" i="62"/>
  <c r="V9" i="62" s="1"/>
  <c r="G9" i="62"/>
  <c r="D9" i="62"/>
  <c r="C9" i="62"/>
  <c r="AC8" i="62"/>
  <c r="AB8" i="62"/>
  <c r="AA8" i="62"/>
  <c r="Z8" i="62"/>
  <c r="Y8" i="62"/>
  <c r="AG9" i="62" s="1"/>
  <c r="U8" i="62"/>
  <c r="T8" i="62"/>
  <c r="H8" i="62"/>
  <c r="V8" i="62" s="1"/>
  <c r="G8" i="62"/>
  <c r="D8" i="62"/>
  <c r="C8" i="62"/>
  <c r="AG7" i="62"/>
  <c r="U7" i="62"/>
  <c r="T7" i="62"/>
  <c r="H7" i="62"/>
  <c r="V7" i="62" s="1"/>
  <c r="G7" i="62"/>
  <c r="D7" i="62"/>
  <c r="C7" i="62"/>
  <c r="U6" i="62"/>
  <c r="T6" i="62"/>
  <c r="H6" i="62"/>
  <c r="V6" i="62" s="1"/>
  <c r="G6" i="62"/>
  <c r="D6" i="62"/>
  <c r="C6" i="62"/>
  <c r="AK5" i="62"/>
  <c r="AJ5" i="62"/>
  <c r="AB7" i="62" s="1"/>
  <c r="AI5" i="62"/>
  <c r="AB47" i="62" s="1"/>
  <c r="AG3" i="62"/>
  <c r="C2" i="62" a="1"/>
  <c r="C2" i="62" s="1"/>
  <c r="B2" i="62" a="1"/>
  <c r="B2" i="62" s="1"/>
  <c r="C1" i="62"/>
  <c r="B1" i="62"/>
  <c r="U105" i="61"/>
  <c r="T105" i="61"/>
  <c r="H105" i="61"/>
  <c r="V105" i="61" s="1"/>
  <c r="G105" i="61"/>
  <c r="D105" i="61"/>
  <c r="C105" i="61"/>
  <c r="U104" i="61"/>
  <c r="T104" i="61"/>
  <c r="H104" i="61"/>
  <c r="V104" i="61" s="1"/>
  <c r="G104" i="61"/>
  <c r="D104" i="61"/>
  <c r="C104" i="61"/>
  <c r="U103" i="61"/>
  <c r="T103" i="61"/>
  <c r="H103" i="61"/>
  <c r="V103" i="61" s="1"/>
  <c r="G103" i="61"/>
  <c r="D103" i="61"/>
  <c r="C103" i="61"/>
  <c r="U102" i="61"/>
  <c r="T102" i="61"/>
  <c r="H102" i="61"/>
  <c r="V102" i="61" s="1"/>
  <c r="G102" i="61"/>
  <c r="D102" i="61"/>
  <c r="C102" i="61"/>
  <c r="U101" i="61"/>
  <c r="T101" i="61"/>
  <c r="H101" i="61"/>
  <c r="V101" i="61" s="1"/>
  <c r="G101" i="61"/>
  <c r="D101" i="61"/>
  <c r="C101" i="61"/>
  <c r="U100" i="61"/>
  <c r="T100" i="61"/>
  <c r="H100" i="61"/>
  <c r="V100" i="61" s="1"/>
  <c r="G100" i="61"/>
  <c r="D100" i="61"/>
  <c r="C100" i="61"/>
  <c r="U99" i="61"/>
  <c r="T99" i="61"/>
  <c r="H99" i="61"/>
  <c r="V99" i="61" s="1"/>
  <c r="G99" i="61"/>
  <c r="D99" i="61"/>
  <c r="C99" i="61"/>
  <c r="U98" i="61"/>
  <c r="T98" i="61"/>
  <c r="H98" i="61"/>
  <c r="V98" i="61" s="1"/>
  <c r="G98" i="61"/>
  <c r="D98" i="61"/>
  <c r="C98" i="61"/>
  <c r="U97" i="61"/>
  <c r="T97" i="61"/>
  <c r="H97" i="61"/>
  <c r="V97" i="61" s="1"/>
  <c r="G97" i="61"/>
  <c r="D97" i="61"/>
  <c r="C97" i="61"/>
  <c r="U96" i="61"/>
  <c r="T96" i="61"/>
  <c r="H96" i="61"/>
  <c r="V96" i="61" s="1"/>
  <c r="G96" i="61"/>
  <c r="D96" i="61"/>
  <c r="C96" i="61"/>
  <c r="U95" i="61"/>
  <c r="T95" i="61"/>
  <c r="H95" i="61"/>
  <c r="V95" i="61" s="1"/>
  <c r="G95" i="61"/>
  <c r="D95" i="61"/>
  <c r="C95" i="61"/>
  <c r="U94" i="61"/>
  <c r="T94" i="61"/>
  <c r="H94" i="61"/>
  <c r="V94" i="61" s="1"/>
  <c r="G94" i="61"/>
  <c r="D94" i="61"/>
  <c r="C94" i="61"/>
  <c r="U93" i="61"/>
  <c r="T93" i="61"/>
  <c r="H93" i="61"/>
  <c r="V93" i="61" s="1"/>
  <c r="G93" i="61"/>
  <c r="D93" i="61"/>
  <c r="C93" i="61"/>
  <c r="U92" i="61"/>
  <c r="T92" i="61"/>
  <c r="H92" i="61"/>
  <c r="V92" i="61" s="1"/>
  <c r="G92" i="61"/>
  <c r="D92" i="61"/>
  <c r="C92" i="61"/>
  <c r="U91" i="61"/>
  <c r="T91" i="61"/>
  <c r="H91" i="61"/>
  <c r="V91" i="61" s="1"/>
  <c r="G91" i="61"/>
  <c r="D91" i="61"/>
  <c r="C91" i="61"/>
  <c r="U90" i="61"/>
  <c r="T90" i="61"/>
  <c r="H90" i="61"/>
  <c r="V90" i="61" s="1"/>
  <c r="G90" i="61"/>
  <c r="D90" i="61"/>
  <c r="C90" i="61"/>
  <c r="U89" i="61"/>
  <c r="T89" i="61"/>
  <c r="H89" i="61"/>
  <c r="V89" i="61" s="1"/>
  <c r="G89" i="61"/>
  <c r="D89" i="61"/>
  <c r="C89" i="61"/>
  <c r="U88" i="61"/>
  <c r="T88" i="61"/>
  <c r="H88" i="61"/>
  <c r="V88" i="61" s="1"/>
  <c r="G88" i="61"/>
  <c r="D88" i="61"/>
  <c r="C88" i="61"/>
  <c r="U87" i="61"/>
  <c r="T87" i="61"/>
  <c r="H87" i="61"/>
  <c r="V87" i="61" s="1"/>
  <c r="G87" i="61"/>
  <c r="D87" i="61"/>
  <c r="C87" i="61"/>
  <c r="U86" i="61"/>
  <c r="T86" i="61"/>
  <c r="H86" i="61"/>
  <c r="V86" i="61" s="1"/>
  <c r="G86" i="61"/>
  <c r="D86" i="61"/>
  <c r="C86" i="61"/>
  <c r="U85" i="61"/>
  <c r="T85" i="61"/>
  <c r="H85" i="61"/>
  <c r="V85" i="61" s="1"/>
  <c r="G85" i="61"/>
  <c r="D85" i="61"/>
  <c r="C85" i="61"/>
  <c r="U84" i="61"/>
  <c r="T84" i="61"/>
  <c r="H84" i="61"/>
  <c r="V84" i="61" s="1"/>
  <c r="G84" i="61"/>
  <c r="D84" i="61"/>
  <c r="C84" i="61"/>
  <c r="U83" i="61"/>
  <c r="T83" i="61"/>
  <c r="H83" i="61"/>
  <c r="V83" i="61" s="1"/>
  <c r="G83" i="61"/>
  <c r="D83" i="61"/>
  <c r="C83" i="61"/>
  <c r="U82" i="61"/>
  <c r="T82" i="61"/>
  <c r="H82" i="61"/>
  <c r="V82" i="61" s="1"/>
  <c r="G82" i="61"/>
  <c r="D82" i="61"/>
  <c r="C82" i="61"/>
  <c r="U81" i="61"/>
  <c r="T81" i="61"/>
  <c r="H81" i="61"/>
  <c r="V81" i="61" s="1"/>
  <c r="G81" i="61"/>
  <c r="D81" i="61"/>
  <c r="C81" i="61"/>
  <c r="U80" i="61"/>
  <c r="T80" i="61"/>
  <c r="H80" i="61"/>
  <c r="V80" i="61" s="1"/>
  <c r="G80" i="61"/>
  <c r="D80" i="61"/>
  <c r="C80" i="61"/>
  <c r="U79" i="61"/>
  <c r="T79" i="61"/>
  <c r="H79" i="61"/>
  <c r="V79" i="61" s="1"/>
  <c r="G79" i="61"/>
  <c r="D79" i="61"/>
  <c r="C79" i="61"/>
  <c r="U78" i="61"/>
  <c r="T78" i="61"/>
  <c r="H78" i="61"/>
  <c r="V78" i="61" s="1"/>
  <c r="G78" i="61"/>
  <c r="D78" i="61"/>
  <c r="C78" i="61"/>
  <c r="U77" i="61"/>
  <c r="T77" i="61"/>
  <c r="H77" i="61"/>
  <c r="V77" i="61" s="1"/>
  <c r="G77" i="61"/>
  <c r="D77" i="61"/>
  <c r="C77" i="61"/>
  <c r="U76" i="61"/>
  <c r="T76" i="61"/>
  <c r="H76" i="61"/>
  <c r="V76" i="61" s="1"/>
  <c r="G76" i="61"/>
  <c r="D76" i="61"/>
  <c r="C76" i="61"/>
  <c r="U75" i="61"/>
  <c r="T75" i="61"/>
  <c r="H75" i="61"/>
  <c r="V75" i="61" s="1"/>
  <c r="G75" i="61"/>
  <c r="D75" i="61"/>
  <c r="C75" i="61"/>
  <c r="U74" i="61"/>
  <c r="T74" i="61"/>
  <c r="H74" i="61"/>
  <c r="V74" i="61" s="1"/>
  <c r="G74" i="61"/>
  <c r="D74" i="61"/>
  <c r="C74" i="61"/>
  <c r="U73" i="61"/>
  <c r="T73" i="61"/>
  <c r="H73" i="61"/>
  <c r="V73" i="61" s="1"/>
  <c r="G73" i="61"/>
  <c r="D73" i="61"/>
  <c r="C73" i="61"/>
  <c r="U72" i="61"/>
  <c r="T72" i="61"/>
  <c r="H72" i="61"/>
  <c r="V72" i="61" s="1"/>
  <c r="G72" i="61"/>
  <c r="D72" i="61"/>
  <c r="C72" i="61"/>
  <c r="U71" i="61"/>
  <c r="T71" i="61"/>
  <c r="H71" i="61"/>
  <c r="V71" i="61" s="1"/>
  <c r="G71" i="61"/>
  <c r="D71" i="61"/>
  <c r="C71" i="61"/>
  <c r="U70" i="61"/>
  <c r="T70" i="61"/>
  <c r="H70" i="61"/>
  <c r="V70" i="61" s="1"/>
  <c r="G70" i="61"/>
  <c r="D70" i="61"/>
  <c r="C70" i="61"/>
  <c r="U69" i="61"/>
  <c r="T69" i="61"/>
  <c r="H69" i="61"/>
  <c r="V69" i="61" s="1"/>
  <c r="G69" i="61"/>
  <c r="D69" i="61"/>
  <c r="C69" i="61"/>
  <c r="U68" i="61"/>
  <c r="T68" i="61"/>
  <c r="H68" i="61"/>
  <c r="V68" i="61" s="1"/>
  <c r="G68" i="61"/>
  <c r="D68" i="61"/>
  <c r="C68" i="61"/>
  <c r="U67" i="61"/>
  <c r="T67" i="61"/>
  <c r="H67" i="61"/>
  <c r="V67" i="61" s="1"/>
  <c r="G67" i="61"/>
  <c r="D67" i="61"/>
  <c r="C67" i="61"/>
  <c r="U66" i="61"/>
  <c r="T66" i="61"/>
  <c r="H66" i="61"/>
  <c r="V66" i="61" s="1"/>
  <c r="G66" i="61"/>
  <c r="D66" i="61"/>
  <c r="C66" i="61"/>
  <c r="U65" i="61"/>
  <c r="T65" i="61"/>
  <c r="H65" i="61"/>
  <c r="V65" i="61" s="1"/>
  <c r="G65" i="61"/>
  <c r="D65" i="61"/>
  <c r="C65" i="61"/>
  <c r="U64" i="61"/>
  <c r="T64" i="61"/>
  <c r="H64" i="61"/>
  <c r="V64" i="61" s="1"/>
  <c r="G64" i="61"/>
  <c r="D64" i="61"/>
  <c r="C64" i="61"/>
  <c r="U63" i="61"/>
  <c r="T63" i="61"/>
  <c r="H63" i="61"/>
  <c r="V63" i="61" s="1"/>
  <c r="G63" i="61"/>
  <c r="D63" i="61"/>
  <c r="C63" i="61"/>
  <c r="U62" i="61"/>
  <c r="T62" i="61"/>
  <c r="H62" i="61"/>
  <c r="V62" i="61" s="1"/>
  <c r="G62" i="61"/>
  <c r="D62" i="61"/>
  <c r="C62" i="61"/>
  <c r="U61" i="61"/>
  <c r="T61" i="61"/>
  <c r="H61" i="61"/>
  <c r="V61" i="61" s="1"/>
  <c r="G61" i="61"/>
  <c r="D61" i="61"/>
  <c r="C61" i="61"/>
  <c r="U60" i="61"/>
  <c r="T60" i="61"/>
  <c r="H60" i="61"/>
  <c r="V60" i="61" s="1"/>
  <c r="G60" i="61"/>
  <c r="D60" i="61"/>
  <c r="C60" i="61"/>
  <c r="U59" i="61"/>
  <c r="T59" i="61"/>
  <c r="H59" i="61"/>
  <c r="V59" i="61" s="1"/>
  <c r="G59" i="61"/>
  <c r="D59" i="61"/>
  <c r="C59" i="61"/>
  <c r="U58" i="61"/>
  <c r="T58" i="61"/>
  <c r="H58" i="61"/>
  <c r="V58" i="61" s="1"/>
  <c r="G58" i="61"/>
  <c r="D58" i="61"/>
  <c r="C58" i="61"/>
  <c r="U57" i="61"/>
  <c r="T57" i="61"/>
  <c r="H57" i="61"/>
  <c r="V57" i="61" s="1"/>
  <c r="G57" i="61"/>
  <c r="D57" i="61"/>
  <c r="C57" i="61"/>
  <c r="U56" i="61"/>
  <c r="T56" i="61"/>
  <c r="H56" i="61"/>
  <c r="V56" i="61" s="1"/>
  <c r="G56" i="61"/>
  <c r="D56" i="61"/>
  <c r="C56" i="61"/>
  <c r="U55" i="61"/>
  <c r="T55" i="61"/>
  <c r="H55" i="61"/>
  <c r="V55" i="61" s="1"/>
  <c r="G55" i="61"/>
  <c r="D55" i="61"/>
  <c r="C55" i="61"/>
  <c r="U54" i="61"/>
  <c r="T54" i="61"/>
  <c r="H54" i="61"/>
  <c r="V54" i="61" s="1"/>
  <c r="G54" i="61"/>
  <c r="D54" i="61"/>
  <c r="C54" i="61"/>
  <c r="U53" i="61"/>
  <c r="T53" i="61"/>
  <c r="H53" i="61"/>
  <c r="V53" i="61" s="1"/>
  <c r="G53" i="61"/>
  <c r="D53" i="61"/>
  <c r="C53" i="61"/>
  <c r="U52" i="61"/>
  <c r="T52" i="61"/>
  <c r="H52" i="61"/>
  <c r="V52" i="61" s="1"/>
  <c r="G52" i="61"/>
  <c r="D52" i="61"/>
  <c r="C52" i="61"/>
  <c r="U51" i="61"/>
  <c r="T51" i="61"/>
  <c r="H51" i="61"/>
  <c r="V51" i="61" s="1"/>
  <c r="G51" i="61"/>
  <c r="D51" i="61"/>
  <c r="C51" i="61"/>
  <c r="AC50" i="61"/>
  <c r="AB50" i="61"/>
  <c r="AA50" i="61"/>
  <c r="Z50" i="61"/>
  <c r="Y50" i="61"/>
  <c r="U50" i="61"/>
  <c r="T50" i="61"/>
  <c r="H50" i="61"/>
  <c r="V50" i="61" s="1"/>
  <c r="G50" i="61"/>
  <c r="D50" i="61"/>
  <c r="C50" i="61"/>
  <c r="AC49" i="61"/>
  <c r="AB49" i="61"/>
  <c r="AA49" i="61"/>
  <c r="Z49" i="61"/>
  <c r="Y49" i="61"/>
  <c r="U49" i="61"/>
  <c r="T49" i="61"/>
  <c r="H49" i="61"/>
  <c r="V49" i="61" s="1"/>
  <c r="G49" i="61"/>
  <c r="D49" i="61"/>
  <c r="C49" i="61"/>
  <c r="U48" i="61"/>
  <c r="T48" i="61"/>
  <c r="R48" i="61"/>
  <c r="H48" i="61"/>
  <c r="V48" i="61" s="1"/>
  <c r="G48" i="61"/>
  <c r="D48" i="61"/>
  <c r="C48" i="61"/>
  <c r="U47" i="61"/>
  <c r="T47" i="61"/>
  <c r="S47" i="61"/>
  <c r="R47" i="61"/>
  <c r="AD46" i="61" s="1"/>
  <c r="H47" i="61"/>
  <c r="V47" i="61" s="1"/>
  <c r="G47" i="61"/>
  <c r="D47" i="61"/>
  <c r="C47" i="61"/>
  <c r="U46" i="61"/>
  <c r="T46" i="61"/>
  <c r="H46" i="61"/>
  <c r="V46" i="61" s="1"/>
  <c r="G46" i="61"/>
  <c r="D46" i="61"/>
  <c r="C46" i="61"/>
  <c r="AC45" i="61"/>
  <c r="AB45" i="61"/>
  <c r="AA45" i="61"/>
  <c r="Z45" i="61"/>
  <c r="Y45" i="61"/>
  <c r="U45" i="61"/>
  <c r="T45" i="61"/>
  <c r="H45" i="61"/>
  <c r="V45" i="61" s="1"/>
  <c r="G45" i="61"/>
  <c r="D45" i="61"/>
  <c r="C45" i="61"/>
  <c r="AC44" i="61"/>
  <c r="AB44" i="61"/>
  <c r="AA44" i="61"/>
  <c r="Z44" i="61"/>
  <c r="Y44" i="61"/>
  <c r="U44" i="61"/>
  <c r="T44" i="61"/>
  <c r="H44" i="61"/>
  <c r="V44" i="61" s="1"/>
  <c r="G44" i="61"/>
  <c r="D44" i="61"/>
  <c r="C44" i="61"/>
  <c r="U43" i="61"/>
  <c r="T43" i="61"/>
  <c r="R43" i="61"/>
  <c r="H43" i="61"/>
  <c r="V43" i="61" s="1"/>
  <c r="G43" i="61"/>
  <c r="D43" i="61"/>
  <c r="C43" i="61"/>
  <c r="U42" i="61"/>
  <c r="T42" i="61"/>
  <c r="S42" i="61"/>
  <c r="R42" i="61"/>
  <c r="H42" i="61"/>
  <c r="V42" i="61" s="1"/>
  <c r="G42" i="61"/>
  <c r="D42" i="61"/>
  <c r="C42" i="61"/>
  <c r="AD41" i="61"/>
  <c r="U41" i="61"/>
  <c r="T41" i="61"/>
  <c r="H41" i="61"/>
  <c r="V41" i="61" s="1"/>
  <c r="G41" i="61"/>
  <c r="D41" i="61"/>
  <c r="C41" i="61"/>
  <c r="AC40" i="61"/>
  <c r="AB40" i="61"/>
  <c r="AA40" i="61"/>
  <c r="Z40" i="61"/>
  <c r="Y40" i="61"/>
  <c r="U40" i="61"/>
  <c r="T40" i="61"/>
  <c r="H40" i="61"/>
  <c r="V40" i="61" s="1"/>
  <c r="G40" i="61"/>
  <c r="D40" i="61"/>
  <c r="C40" i="61"/>
  <c r="AC39" i="61"/>
  <c r="AB39" i="61"/>
  <c r="AA39" i="61"/>
  <c r="Z39" i="61"/>
  <c r="Y39" i="61"/>
  <c r="U39" i="61"/>
  <c r="T39" i="61"/>
  <c r="H39" i="61"/>
  <c r="V39" i="61" s="1"/>
  <c r="G39" i="61"/>
  <c r="D39" i="61"/>
  <c r="C39" i="61"/>
  <c r="U38" i="61"/>
  <c r="T38" i="61"/>
  <c r="R38" i="61"/>
  <c r="H38" i="61"/>
  <c r="V38" i="61" s="1"/>
  <c r="G38" i="61"/>
  <c r="D38" i="61"/>
  <c r="C38" i="61"/>
  <c r="U37" i="61"/>
  <c r="T37" i="61"/>
  <c r="R37" i="61"/>
  <c r="S37" i="61" s="1"/>
  <c r="AD37" i="61" s="1"/>
  <c r="H37" i="61"/>
  <c r="V37" i="61" s="1"/>
  <c r="G37" i="61"/>
  <c r="D37" i="61"/>
  <c r="C37" i="61"/>
  <c r="U36" i="61"/>
  <c r="T36" i="61"/>
  <c r="H36" i="61"/>
  <c r="V36" i="61" s="1"/>
  <c r="G36" i="61"/>
  <c r="D36" i="61"/>
  <c r="C36" i="61"/>
  <c r="AC35" i="61"/>
  <c r="AB35" i="61"/>
  <c r="AA35" i="61"/>
  <c r="Z35" i="61"/>
  <c r="Y35" i="61"/>
  <c r="U35" i="61"/>
  <c r="T35" i="61"/>
  <c r="H35" i="61"/>
  <c r="V35" i="61" s="1"/>
  <c r="G35" i="61"/>
  <c r="D35" i="61"/>
  <c r="C35" i="61"/>
  <c r="AC34" i="61"/>
  <c r="AB34" i="61"/>
  <c r="AA34" i="61"/>
  <c r="Z34" i="61"/>
  <c r="Y34" i="61"/>
  <c r="U34" i="61"/>
  <c r="T34" i="61"/>
  <c r="H34" i="61"/>
  <c r="V34" i="61" s="1"/>
  <c r="G34" i="61"/>
  <c r="D34" i="61"/>
  <c r="C34" i="61"/>
  <c r="U33" i="61"/>
  <c r="T33" i="61"/>
  <c r="R33" i="61"/>
  <c r="H33" i="61"/>
  <c r="V33" i="61" s="1"/>
  <c r="G33" i="61"/>
  <c r="D33" i="61"/>
  <c r="C33" i="61"/>
  <c r="U32" i="61"/>
  <c r="T32" i="61"/>
  <c r="R32" i="61"/>
  <c r="S32" i="61" s="1"/>
  <c r="H32" i="61"/>
  <c r="V32" i="61" s="1"/>
  <c r="G32" i="61"/>
  <c r="D32" i="61"/>
  <c r="C32" i="61"/>
  <c r="AD31" i="61"/>
  <c r="U31" i="61"/>
  <c r="T31" i="61"/>
  <c r="H31" i="61"/>
  <c r="V31" i="61" s="1"/>
  <c r="G31" i="61"/>
  <c r="D31" i="61"/>
  <c r="C31" i="61"/>
  <c r="AC30" i="61"/>
  <c r="AB30" i="61"/>
  <c r="AA30" i="61"/>
  <c r="Z30" i="61"/>
  <c r="Y30" i="61"/>
  <c r="U30" i="61"/>
  <c r="T30" i="61"/>
  <c r="H30" i="61"/>
  <c r="V30" i="61" s="1"/>
  <c r="G30" i="61"/>
  <c r="D30" i="61"/>
  <c r="C30" i="61"/>
  <c r="AC29" i="61"/>
  <c r="AB29" i="61"/>
  <c r="AA29" i="61"/>
  <c r="Z29" i="61"/>
  <c r="Y29" i="61"/>
  <c r="U29" i="61"/>
  <c r="T29" i="61"/>
  <c r="H29" i="61"/>
  <c r="V29" i="61" s="1"/>
  <c r="G29" i="61"/>
  <c r="D29" i="61"/>
  <c r="C29" i="61"/>
  <c r="U28" i="61"/>
  <c r="T28" i="61"/>
  <c r="R28" i="61"/>
  <c r="H28" i="61"/>
  <c r="V28" i="61" s="1"/>
  <c r="G28" i="61"/>
  <c r="D28" i="61"/>
  <c r="C28" i="61"/>
  <c r="U27" i="61"/>
  <c r="T27" i="61"/>
  <c r="S27" i="61"/>
  <c r="AD27" i="61" s="1"/>
  <c r="R27" i="61"/>
  <c r="AD26" i="61" s="1"/>
  <c r="H27" i="61"/>
  <c r="V27" i="61" s="1"/>
  <c r="G27" i="61"/>
  <c r="D27" i="61"/>
  <c r="C27" i="61"/>
  <c r="U26" i="61"/>
  <c r="T26" i="61"/>
  <c r="H26" i="61"/>
  <c r="V26" i="61" s="1"/>
  <c r="G26" i="61"/>
  <c r="D26" i="61"/>
  <c r="C26" i="61"/>
  <c r="U25" i="61"/>
  <c r="T25" i="61"/>
  <c r="H25" i="61"/>
  <c r="V25" i="61" s="1"/>
  <c r="G25" i="61"/>
  <c r="D25" i="61"/>
  <c r="C25" i="61"/>
  <c r="U24" i="61"/>
  <c r="T24" i="61"/>
  <c r="H24" i="61"/>
  <c r="V24" i="61" s="1"/>
  <c r="G24" i="61"/>
  <c r="D24" i="61"/>
  <c r="C24" i="61"/>
  <c r="U23" i="61"/>
  <c r="T23" i="61"/>
  <c r="H23" i="61"/>
  <c r="V23" i="61" s="1"/>
  <c r="G23" i="61"/>
  <c r="D23" i="61"/>
  <c r="C23" i="61"/>
  <c r="U22" i="61"/>
  <c r="T22" i="61"/>
  <c r="R22" i="61"/>
  <c r="H22" i="61"/>
  <c r="V22" i="61" s="1"/>
  <c r="G22" i="61"/>
  <c r="D22" i="61"/>
  <c r="C22" i="61"/>
  <c r="U21" i="61"/>
  <c r="T21" i="61"/>
  <c r="R21" i="61"/>
  <c r="H21" i="61"/>
  <c r="V21" i="61" s="1"/>
  <c r="G21" i="61"/>
  <c r="D21" i="61"/>
  <c r="C21" i="61"/>
  <c r="U20" i="61"/>
  <c r="T20" i="61"/>
  <c r="R20" i="61"/>
  <c r="H20" i="61"/>
  <c r="V20" i="61" s="1"/>
  <c r="G20" i="61"/>
  <c r="D20" i="61"/>
  <c r="C20" i="61"/>
  <c r="U19" i="61"/>
  <c r="T19" i="61"/>
  <c r="R19" i="61"/>
  <c r="H19" i="61"/>
  <c r="V19" i="61" s="1"/>
  <c r="G19" i="61"/>
  <c r="D19" i="61"/>
  <c r="C19" i="61"/>
  <c r="U18" i="61"/>
  <c r="T18" i="61"/>
  <c r="R18" i="61"/>
  <c r="H18" i="61"/>
  <c r="V18" i="61" s="1"/>
  <c r="G18" i="61"/>
  <c r="D18" i="61"/>
  <c r="C18" i="61"/>
  <c r="U17" i="61"/>
  <c r="T17" i="61"/>
  <c r="R17" i="61"/>
  <c r="H17" i="61"/>
  <c r="V17" i="61" s="1"/>
  <c r="G17" i="61"/>
  <c r="D17" i="61"/>
  <c r="C17" i="61"/>
  <c r="U16" i="61"/>
  <c r="T16" i="61"/>
  <c r="R16" i="61"/>
  <c r="H16" i="61"/>
  <c r="V16" i="61" s="1"/>
  <c r="G16" i="61"/>
  <c r="D16" i="61"/>
  <c r="C16" i="61"/>
  <c r="U15" i="61"/>
  <c r="T15" i="61"/>
  <c r="R15" i="61"/>
  <c r="H15" i="61"/>
  <c r="V15" i="61" s="1"/>
  <c r="G15" i="61"/>
  <c r="D15" i="61"/>
  <c r="C15" i="61"/>
  <c r="U14" i="61"/>
  <c r="T14" i="61"/>
  <c r="R14" i="61"/>
  <c r="H14" i="61"/>
  <c r="V14" i="61" s="1"/>
  <c r="G14" i="61"/>
  <c r="D14" i="61"/>
  <c r="C14" i="61"/>
  <c r="U13" i="61"/>
  <c r="T13" i="61"/>
  <c r="R13" i="61"/>
  <c r="H13" i="61"/>
  <c r="V13" i="61" s="1"/>
  <c r="G13" i="61"/>
  <c r="D13" i="61"/>
  <c r="C13" i="61"/>
  <c r="U12" i="61"/>
  <c r="T12" i="61"/>
  <c r="H12" i="61"/>
  <c r="V12" i="61" s="1"/>
  <c r="G12" i="61"/>
  <c r="D12" i="61"/>
  <c r="C12" i="61"/>
  <c r="U11" i="61"/>
  <c r="T11" i="61"/>
  <c r="H11" i="61"/>
  <c r="V11" i="61" s="1"/>
  <c r="G11" i="61"/>
  <c r="D11" i="61"/>
  <c r="C11" i="61"/>
  <c r="U10" i="61"/>
  <c r="T10" i="61"/>
  <c r="H10" i="61"/>
  <c r="V10" i="61" s="1"/>
  <c r="G10" i="61"/>
  <c r="D10" i="61"/>
  <c r="C10" i="61"/>
  <c r="U9" i="61"/>
  <c r="T9" i="61"/>
  <c r="H9" i="61"/>
  <c r="V9" i="61" s="1"/>
  <c r="G9" i="61"/>
  <c r="D9" i="61"/>
  <c r="C9" i="61"/>
  <c r="AC8" i="61"/>
  <c r="AB8" i="61"/>
  <c r="AA8" i="61"/>
  <c r="Z8" i="61"/>
  <c r="Y8" i="61"/>
  <c r="U8" i="61"/>
  <c r="T8" i="61"/>
  <c r="H8" i="61"/>
  <c r="V8" i="61" s="1"/>
  <c r="G8" i="61"/>
  <c r="D8" i="61"/>
  <c r="C8" i="61"/>
  <c r="AG7" i="61"/>
  <c r="U7" i="61"/>
  <c r="T7" i="61"/>
  <c r="H7" i="61"/>
  <c r="V7" i="61" s="1"/>
  <c r="G7" i="61"/>
  <c r="D7" i="61"/>
  <c r="C7" i="61"/>
  <c r="U6" i="61"/>
  <c r="T6" i="61"/>
  <c r="H6" i="61"/>
  <c r="V6" i="61" s="1"/>
  <c r="G6" i="61"/>
  <c r="D6" i="61"/>
  <c r="C6" i="61"/>
  <c r="AK5" i="61"/>
  <c r="AJ5" i="61"/>
  <c r="AB7" i="61" s="1"/>
  <c r="AI5" i="61"/>
  <c r="AB47" i="61" s="1"/>
  <c r="AG3" i="61"/>
  <c r="C2" i="61" a="1"/>
  <c r="C2" i="61" s="1"/>
  <c r="B2" i="61" a="1"/>
  <c r="B2" i="61" s="1"/>
  <c r="C1" i="61"/>
  <c r="B1" i="61"/>
  <c r="AG15" i="4"/>
  <c r="AG14" i="4"/>
  <c r="AD47" i="4"/>
  <c r="AD42" i="4"/>
  <c r="AD37" i="4"/>
  <c r="AD32" i="4"/>
  <c r="AD27" i="4"/>
  <c r="S47" i="4"/>
  <c r="AD46" i="4"/>
  <c r="AD41" i="4"/>
  <c r="R47" i="4"/>
  <c r="R42" i="4"/>
  <c r="S42" i="4" s="1"/>
  <c r="R37" i="4"/>
  <c r="AD36" i="4" s="1"/>
  <c r="R32" i="4"/>
  <c r="S32" i="4" s="1"/>
  <c r="R27" i="4"/>
  <c r="S27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C30" i="4"/>
  <c r="AB30" i="4"/>
  <c r="AA30" i="4"/>
  <c r="Z30" i="4"/>
  <c r="Y30" i="4"/>
  <c r="AC29" i="4"/>
  <c r="AB29" i="4"/>
  <c r="AA29" i="4"/>
  <c r="Z29" i="4"/>
  <c r="Y29" i="4"/>
  <c r="AK5" i="4"/>
  <c r="AG7" i="4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O5" i="63" a="1"/>
  <c r="AN5" i="63" a="1"/>
  <c r="AM5" i="63" a="1"/>
  <c r="AP5" i="63" a="1"/>
  <c r="AL5" i="63" a="1"/>
  <c r="AO5" i="62" a="1"/>
  <c r="AN5" i="62" a="1"/>
  <c r="AM5" i="62" a="1"/>
  <c r="AP5" i="62" a="1"/>
  <c r="AL5" i="62" a="1"/>
  <c r="AO5" i="61" a="1"/>
  <c r="AN5" i="61" a="1"/>
  <c r="AM5" i="61" a="1"/>
  <c r="AP5" i="61" a="1"/>
  <c r="AL5" i="61" a="1"/>
  <c r="AP5" i="4" a="1"/>
  <c r="AO5" i="4" a="1"/>
  <c r="AN5" i="4" a="1"/>
  <c r="AM5" i="4" a="1"/>
  <c r="AL5" i="4" a="1"/>
  <c r="AG16" i="4" l="1"/>
  <c r="S42" i="62"/>
  <c r="AD36" i="61"/>
  <c r="Z13" i="63"/>
  <c r="AA14" i="63"/>
  <c r="AB15" i="63"/>
  <c r="AC16" i="63"/>
  <c r="Y17" i="63"/>
  <c r="Z18" i="63"/>
  <c r="AA19" i="63"/>
  <c r="AB20" i="63"/>
  <c r="AB21" i="63"/>
  <c r="Y22" i="63"/>
  <c r="AA27" i="63"/>
  <c r="AA32" i="63"/>
  <c r="AB47" i="63"/>
  <c r="AA46" i="63"/>
  <c r="AA13" i="63"/>
  <c r="AC15" i="63"/>
  <c r="Y16" i="63"/>
  <c r="AA18" i="63"/>
  <c r="AC20" i="63"/>
  <c r="Y21" i="63"/>
  <c r="AB27" i="63"/>
  <c r="Y7" i="63"/>
  <c r="AB13" i="63"/>
  <c r="Z16" i="63"/>
  <c r="AB18" i="63"/>
  <c r="Z21" i="63"/>
  <c r="AC27" i="63"/>
  <c r="AC7" i="63"/>
  <c r="AC13" i="63"/>
  <c r="Z14" i="63"/>
  <c r="AB16" i="63"/>
  <c r="AC18" i="63"/>
  <c r="Z19" i="63"/>
  <c r="AA21" i="63"/>
  <c r="Y42" i="63"/>
  <c r="AC42" i="63"/>
  <c r="AB14" i="63"/>
  <c r="Z17" i="63"/>
  <c r="AB19" i="63"/>
  <c r="AA22" i="63"/>
  <c r="Y37" i="63"/>
  <c r="AC14" i="63"/>
  <c r="Y15" i="63"/>
  <c r="AA17" i="63"/>
  <c r="AC19" i="63"/>
  <c r="Y20" i="63"/>
  <c r="AB22" i="63"/>
  <c r="Y32" i="63"/>
  <c r="Z37" i="63"/>
  <c r="Y13" i="63"/>
  <c r="AA15" i="63"/>
  <c r="AB17" i="63"/>
  <c r="Y18" i="63"/>
  <c r="Z20" i="63"/>
  <c r="AC22" i="63"/>
  <c r="Z27" i="63"/>
  <c r="Z32" i="63"/>
  <c r="AG9" i="63"/>
  <c r="AA36" i="63"/>
  <c r="AG5" i="63"/>
  <c r="Z26" i="63"/>
  <c r="Y26" i="63"/>
  <c r="AA26" i="63"/>
  <c r="Y36" i="63"/>
  <c r="AB46" i="63"/>
  <c r="AC36" i="63"/>
  <c r="Z41" i="63"/>
  <c r="AC46" i="63"/>
  <c r="AA41" i="63"/>
  <c r="AB41" i="63"/>
  <c r="Z31" i="63"/>
  <c r="AB36" i="63"/>
  <c r="AA31" i="63"/>
  <c r="Z36" i="63"/>
  <c r="Y46" i="63"/>
  <c r="AB26" i="63"/>
  <c r="Z46" i="63"/>
  <c r="AC41" i="63"/>
  <c r="Y41" i="63"/>
  <c r="AG4" i="63"/>
  <c r="AB31" i="63"/>
  <c r="Y31" i="63"/>
  <c r="AC26" i="63"/>
  <c r="AC31" i="63"/>
  <c r="AL5" i="63"/>
  <c r="AP5" i="63"/>
  <c r="AM5" i="63"/>
  <c r="AN5" i="63"/>
  <c r="AO5" i="63"/>
  <c r="AG6" i="63"/>
  <c r="Z22" i="63"/>
  <c r="Y27" i="63"/>
  <c r="AC47" i="63"/>
  <c r="AD15" i="63"/>
  <c r="AD14" i="63"/>
  <c r="AD19" i="63"/>
  <c r="AD13" i="63"/>
  <c r="Z7" i="63"/>
  <c r="S27" i="63"/>
  <c r="AB32" i="63"/>
  <c r="AA37" i="63"/>
  <c r="Z42" i="63"/>
  <c r="Y47" i="63"/>
  <c r="AA7" i="63"/>
  <c r="Y14" i="63"/>
  <c r="Z15" i="63"/>
  <c r="AA16" i="63"/>
  <c r="AC17" i="63"/>
  <c r="Y19" i="63"/>
  <c r="AA20" i="63"/>
  <c r="AC21" i="63"/>
  <c r="AC32" i="63"/>
  <c r="AB37" i="63"/>
  <c r="AA42" i="63"/>
  <c r="Z47" i="63"/>
  <c r="AD17" i="63"/>
  <c r="AC37" i="63"/>
  <c r="AB42" i="63"/>
  <c r="AC7" i="62"/>
  <c r="AA7" i="62"/>
  <c r="AA46" i="62"/>
  <c r="AG5" i="62"/>
  <c r="Z41" i="62"/>
  <c r="AA36" i="62"/>
  <c r="AC46" i="62"/>
  <c r="Y46" i="62"/>
  <c r="Z31" i="62"/>
  <c r="AC36" i="62"/>
  <c r="AB41" i="62"/>
  <c r="AA31" i="62"/>
  <c r="AC31" i="62"/>
  <c r="AC26" i="62"/>
  <c r="AB26" i="62"/>
  <c r="Y36" i="62"/>
  <c r="Z26" i="62"/>
  <c r="Y26" i="62"/>
  <c r="AB31" i="62"/>
  <c r="Y31" i="62"/>
  <c r="AG4" i="62"/>
  <c r="AC41" i="62"/>
  <c r="AA26" i="62"/>
  <c r="Y41" i="62"/>
  <c r="Z36" i="62"/>
  <c r="Z46" i="62"/>
  <c r="AA41" i="62"/>
  <c r="AB36" i="62"/>
  <c r="AB46" i="62"/>
  <c r="AL5" i="62"/>
  <c r="AP5" i="62"/>
  <c r="AM5" i="62"/>
  <c r="AN5" i="62"/>
  <c r="AO5" i="62"/>
  <c r="AG6" i="62"/>
  <c r="AG2" i="62"/>
  <c r="AA13" i="62"/>
  <c r="AB14" i="62"/>
  <c r="AC15" i="62"/>
  <c r="Z18" i="62"/>
  <c r="AB19" i="62"/>
  <c r="Z22" i="62"/>
  <c r="Y27" i="62"/>
  <c r="AD36" i="62"/>
  <c r="AG14" i="62" s="1"/>
  <c r="AC47" i="62"/>
  <c r="AB13" i="62"/>
  <c r="AC14" i="62"/>
  <c r="AD15" i="62"/>
  <c r="AG11" i="62" s="1"/>
  <c r="Y17" i="62"/>
  <c r="AA18" i="62"/>
  <c r="AC19" i="62"/>
  <c r="Y21" i="62"/>
  <c r="AA22" i="62"/>
  <c r="Z27" i="62"/>
  <c r="Y32" i="62"/>
  <c r="AC13" i="62"/>
  <c r="Z17" i="62"/>
  <c r="AB18" i="62"/>
  <c r="Z21" i="62"/>
  <c r="AB22" i="62"/>
  <c r="AA27" i="62"/>
  <c r="Z32" i="62"/>
  <c r="Y37" i="62"/>
  <c r="Y7" i="62"/>
  <c r="Y16" i="62"/>
  <c r="AA17" i="62"/>
  <c r="AC18" i="62"/>
  <c r="Y20" i="62"/>
  <c r="AA21" i="62"/>
  <c r="AC22" i="62"/>
  <c r="AB27" i="62"/>
  <c r="AA32" i="62"/>
  <c r="Z37" i="62"/>
  <c r="Y42" i="62"/>
  <c r="Z7" i="62"/>
  <c r="Y15" i="62"/>
  <c r="Z16" i="62"/>
  <c r="AB17" i="62"/>
  <c r="Z20" i="62"/>
  <c r="AB21" i="62"/>
  <c r="S27" i="62"/>
  <c r="AD32" i="62" s="1"/>
  <c r="AC27" i="62"/>
  <c r="AB32" i="62"/>
  <c r="AA37" i="62"/>
  <c r="Z42" i="62"/>
  <c r="Y47" i="62"/>
  <c r="Y14" i="62"/>
  <c r="Z15" i="62"/>
  <c r="AA16" i="62"/>
  <c r="AC17" i="62"/>
  <c r="Y19" i="62"/>
  <c r="AA20" i="62"/>
  <c r="AC21" i="62"/>
  <c r="AC32" i="62"/>
  <c r="AB37" i="62"/>
  <c r="AA42" i="62"/>
  <c r="Z47" i="62"/>
  <c r="Y13" i="62"/>
  <c r="Z14" i="62"/>
  <c r="AA15" i="62"/>
  <c r="AB16" i="62"/>
  <c r="Z19" i="62"/>
  <c r="AB20" i="62"/>
  <c r="AC37" i="62"/>
  <c r="AB42" i="62"/>
  <c r="AA47" i="62"/>
  <c r="Z13" i="62"/>
  <c r="AA14" i="62"/>
  <c r="AB15" i="62"/>
  <c r="AC16" i="62"/>
  <c r="Y18" i="62"/>
  <c r="AA19" i="62"/>
  <c r="AC20" i="62"/>
  <c r="Y22" i="62"/>
  <c r="AC42" i="62"/>
  <c r="Y27" i="61"/>
  <c r="Z22" i="61"/>
  <c r="Y7" i="61"/>
  <c r="AC7" i="61"/>
  <c r="AA7" i="61"/>
  <c r="AC47" i="61"/>
  <c r="Z18" i="61"/>
  <c r="AB19" i="61"/>
  <c r="AA13" i="61"/>
  <c r="AB14" i="61"/>
  <c r="AC15" i="61"/>
  <c r="Z7" i="61"/>
  <c r="AD19" i="61"/>
  <c r="AD17" i="61"/>
  <c r="AD13" i="61"/>
  <c r="AD22" i="61"/>
  <c r="AD21" i="61"/>
  <c r="AG9" i="61"/>
  <c r="Z41" i="61"/>
  <c r="Y46" i="61"/>
  <c r="AG5" i="61"/>
  <c r="AC46" i="61"/>
  <c r="AB31" i="61"/>
  <c r="AC26" i="61"/>
  <c r="AG2" i="61"/>
  <c r="AA31" i="61"/>
  <c r="AA26" i="61"/>
  <c r="Y36" i="61"/>
  <c r="AC36" i="61"/>
  <c r="Y26" i="61"/>
  <c r="AB46" i="61"/>
  <c r="Z26" i="61"/>
  <c r="AB26" i="61"/>
  <c r="AC41" i="61"/>
  <c r="AA36" i="61"/>
  <c r="AG4" i="61"/>
  <c r="AC31" i="61"/>
  <c r="Z31" i="61"/>
  <c r="Y41" i="61"/>
  <c r="Z36" i="61"/>
  <c r="AA41" i="61"/>
  <c r="AB41" i="61"/>
  <c r="Z46" i="61"/>
  <c r="Y31" i="61"/>
  <c r="AB36" i="61"/>
  <c r="AA46" i="61"/>
  <c r="AL5" i="61"/>
  <c r="AP5" i="61"/>
  <c r="AM5" i="61"/>
  <c r="AN5" i="61"/>
  <c r="AO5" i="61"/>
  <c r="AD47" i="61"/>
  <c r="AG14" i="61"/>
  <c r="AG6" i="61"/>
  <c r="AD32" i="61"/>
  <c r="AD42" i="61"/>
  <c r="AD16" i="61"/>
  <c r="AD20" i="61"/>
  <c r="AB13" i="61"/>
  <c r="AC14" i="61"/>
  <c r="AD15" i="61"/>
  <c r="Y17" i="61"/>
  <c r="AA18" i="61"/>
  <c r="AC19" i="61"/>
  <c r="Y21" i="61"/>
  <c r="AA22" i="61"/>
  <c r="Z27" i="61"/>
  <c r="Y32" i="61"/>
  <c r="AC13" i="61"/>
  <c r="AD14" i="61"/>
  <c r="Z17" i="61"/>
  <c r="AB18" i="61"/>
  <c r="Z21" i="61"/>
  <c r="AB22" i="61"/>
  <c r="AA27" i="61"/>
  <c r="Z32" i="61"/>
  <c r="Y37" i="61"/>
  <c r="Y16" i="61"/>
  <c r="AA17" i="61"/>
  <c r="AC18" i="61"/>
  <c r="Y20" i="61"/>
  <c r="AA21" i="61"/>
  <c r="AC22" i="61"/>
  <c r="AB27" i="61"/>
  <c r="AA32" i="61"/>
  <c r="Z37" i="61"/>
  <c r="Y42" i="61"/>
  <c r="Y15" i="61"/>
  <c r="Z16" i="61"/>
  <c r="AB17" i="61"/>
  <c r="AD18" i="61"/>
  <c r="Z20" i="61"/>
  <c r="AB21" i="61"/>
  <c r="AC27" i="61"/>
  <c r="AB32" i="61"/>
  <c r="AA37" i="61"/>
  <c r="Z42" i="61"/>
  <c r="Y47" i="61"/>
  <c r="Y14" i="61"/>
  <c r="Z15" i="61"/>
  <c r="AA16" i="61"/>
  <c r="AC17" i="61"/>
  <c r="Y19" i="61"/>
  <c r="AA20" i="61"/>
  <c r="AC21" i="61"/>
  <c r="AC32" i="61"/>
  <c r="AB37" i="61"/>
  <c r="AA42" i="61"/>
  <c r="Z47" i="61"/>
  <c r="Y13" i="61"/>
  <c r="Z14" i="61"/>
  <c r="AA15" i="61"/>
  <c r="AB16" i="61"/>
  <c r="Z19" i="61"/>
  <c r="AB20" i="61"/>
  <c r="AC37" i="61"/>
  <c r="AB42" i="61"/>
  <c r="AA47" i="61"/>
  <c r="Z13" i="61"/>
  <c r="AA14" i="61"/>
  <c r="AB15" i="61"/>
  <c r="AC16" i="61"/>
  <c r="Y18" i="61"/>
  <c r="AA19" i="61"/>
  <c r="AC20" i="61"/>
  <c r="Y22" i="61"/>
  <c r="AC42" i="61"/>
  <c r="Y27" i="4"/>
  <c r="AB32" i="4"/>
  <c r="Z42" i="4"/>
  <c r="AC47" i="4"/>
  <c r="Z27" i="4"/>
  <c r="AC32" i="4"/>
  <c r="AA42" i="4"/>
  <c r="AA27" i="4"/>
  <c r="Y37" i="4"/>
  <c r="AB42" i="4"/>
  <c r="S37" i="4"/>
  <c r="AD17" i="4"/>
  <c r="AC27" i="4"/>
  <c r="AA37" i="4"/>
  <c r="Y47" i="4"/>
  <c r="Y32" i="4"/>
  <c r="AD26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AC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L6" i="63" a="1"/>
  <c r="AP6" i="63" a="1"/>
  <c r="AM6" i="63" a="1"/>
  <c r="AN6" i="63" a="1"/>
  <c r="AO6" i="63" a="1"/>
  <c r="AL6" i="62" a="1"/>
  <c r="AP6" i="62" a="1"/>
  <c r="AM6" i="62" a="1"/>
  <c r="AN6" i="62" a="1"/>
  <c r="AO6" i="62" a="1"/>
  <c r="AL6" i="61" a="1"/>
  <c r="AP6" i="61" a="1"/>
  <c r="AM6" i="61" a="1"/>
  <c r="AN6" i="61" a="1"/>
  <c r="AO6" i="61" a="1"/>
  <c r="AM6" i="4" a="1"/>
  <c r="AN6" i="4" a="1"/>
  <c r="AO6" i="4" a="1"/>
  <c r="AP6" i="4" a="1"/>
  <c r="AL6" i="4" a="1"/>
  <c r="AG15" i="61" l="1"/>
  <c r="AG12" i="63"/>
  <c r="AG8" i="63"/>
  <c r="AG10" i="63"/>
  <c r="AO6" i="63"/>
  <c r="AB43" i="63" s="1"/>
  <c r="AN6" i="63"/>
  <c r="AB38" i="63" s="1"/>
  <c r="AM6" i="63"/>
  <c r="AA33" i="63" s="1"/>
  <c r="AP6" i="63"/>
  <c r="AC48" i="63" s="1"/>
  <c r="AL6" i="63"/>
  <c r="Y28" i="63" s="1"/>
  <c r="AD37" i="63"/>
  <c r="AD27" i="63"/>
  <c r="AD47" i="63"/>
  <c r="AD32" i="63"/>
  <c r="AG11" i="63"/>
  <c r="AD42" i="63"/>
  <c r="AG8" i="62"/>
  <c r="AG12" i="62"/>
  <c r="AO6" i="62"/>
  <c r="Z43" i="62" s="1"/>
  <c r="AN6" i="62"/>
  <c r="Z38" i="62" s="1"/>
  <c r="AM6" i="62"/>
  <c r="AB33" i="62" s="1"/>
  <c r="AP6" i="62"/>
  <c r="AA48" i="62" s="1"/>
  <c r="AL6" i="62"/>
  <c r="AA28" i="62" s="1"/>
  <c r="AD37" i="62"/>
  <c r="AG10" i="62"/>
  <c r="AD27" i="62"/>
  <c r="AD42" i="62"/>
  <c r="AG8" i="61"/>
  <c r="AG11" i="61"/>
  <c r="AG12" i="61"/>
  <c r="AO6" i="61"/>
  <c r="AB43" i="61" s="1"/>
  <c r="AN6" i="61"/>
  <c r="Z38" i="61" s="1"/>
  <c r="AM6" i="61"/>
  <c r="AC33" i="61" s="1"/>
  <c r="AP6" i="61"/>
  <c r="Y48" i="61" s="1"/>
  <c r="AL6" i="61"/>
  <c r="Y28" i="61" s="1"/>
  <c r="AG10" i="61"/>
  <c r="AG12" i="4"/>
  <c r="AM6" i="4"/>
  <c r="Y33" i="4" s="1"/>
  <c r="AN6" i="4"/>
  <c r="Y38" i="4" s="1"/>
  <c r="AO6" i="4"/>
  <c r="Y43" i="4" s="1"/>
  <c r="AP6" i="4"/>
  <c r="Y48" i="4" s="1"/>
  <c r="AL6" i="4"/>
  <c r="AA28" i="4" s="1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C43" i="63" l="1"/>
  <c r="Y43" i="63"/>
  <c r="Z43" i="63"/>
  <c r="AA43" i="63"/>
  <c r="AA48" i="63"/>
  <c r="AB48" i="63"/>
  <c r="AC33" i="63"/>
  <c r="Y33" i="63"/>
  <c r="Y38" i="63"/>
  <c r="Y48" i="63"/>
  <c r="Z38" i="63"/>
  <c r="Z48" i="63"/>
  <c r="AA38" i="63"/>
  <c r="Z33" i="63"/>
  <c r="AC38" i="63"/>
  <c r="AB33" i="63"/>
  <c r="Z28" i="63"/>
  <c r="AA28" i="63"/>
  <c r="AB28" i="63"/>
  <c r="AC28" i="63"/>
  <c r="Z48" i="62"/>
  <c r="AG15" i="63"/>
  <c r="AC48" i="62"/>
  <c r="Y33" i="62"/>
  <c r="Y48" i="62"/>
  <c r="AB48" i="62"/>
  <c r="Z33" i="62"/>
  <c r="AA43" i="62"/>
  <c r="AB28" i="62"/>
  <c r="AC28" i="62"/>
  <c r="Z28" i="62"/>
  <c r="AB43" i="62"/>
  <c r="Y28" i="62"/>
  <c r="AC43" i="62"/>
  <c r="Y43" i="62"/>
  <c r="AC33" i="62"/>
  <c r="Y38" i="62"/>
  <c r="AC38" i="62"/>
  <c r="AA33" i="62"/>
  <c r="AA38" i="62"/>
  <c r="AB38" i="62"/>
  <c r="AG15" i="62"/>
  <c r="Z28" i="61"/>
  <c r="Z48" i="61"/>
  <c r="AA38" i="61"/>
  <c r="AB38" i="61"/>
  <c r="AB28" i="61"/>
  <c r="AA48" i="61"/>
  <c r="AB48" i="61"/>
  <c r="Y33" i="61"/>
  <c r="AC38" i="61"/>
  <c r="AC43" i="61"/>
  <c r="AA28" i="61"/>
  <c r="AC48" i="61"/>
  <c r="AC28" i="61"/>
  <c r="Y38" i="61"/>
  <c r="Z33" i="61"/>
  <c r="AA33" i="61"/>
  <c r="AB33" i="61"/>
  <c r="Y43" i="61"/>
  <c r="Z43" i="61"/>
  <c r="AA43" i="61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AC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63" l="1"/>
  <c r="D1" i="63" s="1"/>
  <c r="F4" i="1" s="1"/>
  <c r="AG13" i="62"/>
  <c r="D1" i="62" s="1"/>
  <c r="F3" i="1" s="1"/>
  <c r="AG13" i="61"/>
  <c r="D1" i="61" s="1"/>
  <c r="F2" i="1" s="1"/>
  <c r="AG13" i="4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F1" i="1" l="1"/>
  <c r="AG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<sst xmlns="http://schemas.openxmlformats.org/spreadsheetml/2006/main" count="608" uniqueCount="201">
  <si>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</si>
  <si>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</si>
  <si>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</si>
  <si>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</si>
  <si>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</si>
  <si>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</si>
  <si>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</si>
  <si>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</si>
  <si>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</si>
  <si>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</si>
  <si>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</si>
  <si>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</si>
  <si>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</si>
  <si>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</si>
  <si>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</si>
  <si>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</si>
  <si>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</si>
  <si>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</si>
  <si>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</si>
  <si>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</si>
  <si>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</si>
  <si>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</si>
  <si>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</si>
  <si>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</si>
  <si>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</si>
  <si>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</si>
  <si>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</si>
  <si>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</si>
  <si>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</si>
  <si>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</si>
  <si>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</si>
  <si>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</si>
  <si>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</si>
  <si>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</si>
  <si>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</si>
  <si>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</si>
  <si>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</si>
  <si>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</si>
  <si>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</si>
  <si>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</si>
  <si>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</si>
  <si>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</si>
  <si>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</si>
  <si>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</si>
  <si>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</si>
  <si>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</si>
  <si>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</si>
  <si>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</si>
  <si>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</si>
  <si>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</si>
  <si>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</si>
  <si>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</si>
  <si>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</si>
  <si>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</si>
  <si>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</si>
  <si>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</si>
  <si>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</si>
  <si>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</si>
  <si>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</si>
  <si>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</si>
  <si>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</si>
  <si>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</si>
  <si>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</si>
  <si>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</si>
  <si>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</si>
  <si>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</si>
  <si>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</si>
  <si>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</si>
  <si>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</si>
  <si>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</si>
  <si>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</si>
  <si>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</si>
  <si>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</si>
  <si>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</si>
  <si>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</si>
  <si>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</si>
  <si>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</si>
  <si>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</si>
  <si>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</si>
  <si>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</si>
  <si>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</si>
  <si>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</si>
  <si>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</si>
  <si>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</si>
  <si>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</si>
  <si>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</si>
  <si>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</si>
  <si>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</si>
  <si>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</si>
  <si>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</si>
  <si>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</si>
  <si>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</si>
  <si>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</si>
  <si>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</si>
  <si>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</si>
  <si>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</si>
  <si>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</si>
  <si>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</si>
  <si>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</si>
  <si>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</si>
  <si>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</si>
  <si>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</si>
  <si>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</si>
  <si>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</si>
  <si>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</si>
  <si>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</si>
  <si>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</si>
  <si>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</si>
  <si>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</si>
  <si>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</si>
  <si>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</si>
  <si>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</si>
  <si>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</si>
  <si>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</si>
  <si>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</si>
  <si>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</si>
  <si>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</si>
  <si>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</si>
  <si>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</si>
  <si>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</si>
  <si>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</si>
  <si>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</si>
  <si>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</si>
  <si>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</si>
  <si>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</si>
  <si>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</si>
  <si>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</si>
  <si>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</si>
  <si>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</si>
  <si>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</si>
  <si>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</si>
  <si>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</si>
  <si>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</si>
  <si>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</si>
  <si>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</si>
  <si>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</si>
  <si>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</si>
  <si>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</si>
  <si>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</si>
  <si>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</si>
  <si>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</si>
  <si>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</si>
  <si>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</si>
  <si>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</si>
  <si>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</si>
  <si>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</si>
  <si>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</si>
  <si>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</si>
  <si>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</si>
  <si>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</si>
  <si>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</si>
  <si>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</si>
  <si>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</si>
  <si>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</si>
  <si>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</si>
  <si>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</si>
  <si>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</si>
  <si>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</si>
  <si>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</si>
  <si>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</si>
  <si>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</si>
  <si>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</si>
  <si>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</si>
  <si>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</si>
  <si>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</si>
  <si>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</si>
  <si>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</si>
  <si>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</si>
  <si>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</si>
  <si>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</si>
  <si>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</si>
  <si>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</si>
  <si>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</si>
  <si>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</si>
  <si>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</si>
  <si>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</si>
  <si>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</si>
  <si>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</si>
  <si>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</si>
  <si>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r>
      <rPr>
        <sz val="8"/>
        <color theme="0"/>
        <rFont val="HGP創英角ﾎﾟｯﾌﾟ体"/>
        <family val="3"/>
        <charset val="128"/>
      </rPr>
      <t>↓</t>
    </r>
    <r>
      <rPr>
        <sz val="8"/>
        <color theme="0"/>
        <rFont val="游ゴシック"/>
        <family val="3"/>
        <charset val="128"/>
      </rPr>
      <t>REF TABLE</t>
    </r>
    <phoneticPr fontId="2"/>
  </si>
  <si>
    <r>
      <rPr>
        <sz val="7"/>
        <color theme="0"/>
        <rFont val="Yu Gothic"/>
        <family val="3"/>
        <charset val="128"/>
        <scheme val="minor"/>
      </rPr>
      <t>DELETE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</si>
  <si>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r>
      <rPr>
        <sz val="7"/>
        <color theme="0"/>
        <rFont val="Yu Gothic"/>
        <family val="3"/>
        <charset val="128"/>
        <scheme val="minor"/>
      </rPr>
      <t>UPDATE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</si>
  <si>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t>※ユニーク「ではない」Indexを作成する場合に利用する。</t>
    <rPh sb="17" eb="19">
      <t>サクセイ</t>
    </rPh>
    <rPh sb="21" eb="23">
      <t>バアイ</t>
    </rPh>
    <rPh sb="24" eb="26">
      <t>リヨウ</t>
    </rPh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</si>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</sst>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8"/>
      <color theme="0"/>
      <name val="HGP創英角ﾎﾟｯﾌﾟ体"/>
      <family val="3"/>
      <charset val="128"/>
    </font>
    <font>
      <sz val="8"/>
      <color theme="0"/>
      <name val="游ゴシック"/>
      <family val="3"/>
      <charset val="128"/>
    </font>
    <font>
      <sz val="7"/>
      <color theme="0"/>
      <name val="Yu Gothic"/>
      <family val="3"/>
      <charset val="128"/>
      <scheme val="minor"/>
    </font>
    <font>
      <sz val="9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4" tint="0.39994506668294322"/>
      </bottom>
      <diagonal/>
    </border>
    <border>
      <left style="thin">
        <color theme="3"/>
      </left>
      <right style="thin">
        <color theme="3"/>
      </right>
      <top style="thin">
        <color theme="4" tint="0.3999450666829432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08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177" fontId="23" fillId="9" borderId="44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9" borderId="46" xfId="0" applyFont="1" applyFill="1" applyBorder="1" applyAlignment="1">
      <alignment horizontal="center" vertical="center" wrapText="1"/>
    </xf>
    <xf numFmtId="0" fontId="7" fillId="0" borderId="47" xfId="0" applyFont="1" applyBorder="1"/>
    <xf numFmtId="0" fontId="7" fillId="0" borderId="48" xfId="0" applyFont="1" applyBorder="1"/>
    <xf numFmtId="0" fontId="7" fillId="10" borderId="0" xfId="0" applyFont="1" applyFill="1"/>
    <xf numFmtId="0" fontId="21" fillId="0" borderId="0" xfId="0" applyFont="1" applyAlignment="1">
      <alignment horizontal="center"/>
    </xf>
    <xf numFmtId="0" fontId="25" fillId="0" borderId="0" xfId="0" applyFont="1"/>
    <xf numFmtId="0" fontId="4" fillId="3" borderId="50" xfId="0" applyFont="1" applyFill="1" applyBorder="1" applyAlignment="1">
      <alignment horizontal="center" vertical="center" wrapText="1"/>
    </xf>
    <xf numFmtId="177" fontId="7" fillId="2" borderId="49" xfId="0" applyNumberFormat="1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98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59"/>
  <sheetViews>
    <sheetView showGridLines="0" workbookViewId="0">
      <pane ySplit="1" topLeftCell="A14" activePane="bottomLeft" state="frozen"/>
      <selection pane="bottomLeft" activeCell="G31" sqref="G3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4" t="s">
        <v>27</v>
      </c>
      <c r="B2" s="64" t="s">
        <v>53</v>
      </c>
      <c r="C2" s="64" t="s">
        <v>54</v>
      </c>
      <c r="D2" s="64" t="s">
        <v>55</v>
      </c>
      <c r="E2" s="64" t="b">
        <v>0</v>
      </c>
      <c r="F2" s="64" t="s">
        <v>56</v>
      </c>
      <c r="G2" s="66">
        <v>0</v>
      </c>
      <c r="H2" s="64" t="s">
        <v>27</v>
      </c>
      <c r="I2"/>
    </row>
    <row r="3" spans="1:9" ht="18">
      <c r="A3" s="64" t="s">
        <v>4</v>
      </c>
      <c r="B3" s="64" t="s">
        <v>57</v>
      </c>
      <c r="C3" s="64" t="s">
        <v>58</v>
      </c>
      <c r="D3" s="64" t="s">
        <v>59</v>
      </c>
      <c r="E3" s="64" t="b">
        <v>0</v>
      </c>
      <c r="F3" s="64" t="s">
        <v>60</v>
      </c>
      <c r="G3" s="66">
        <v>0</v>
      </c>
      <c r="H3" s="64" t="s">
        <v>4</v>
      </c>
      <c r="I3"/>
    </row>
    <row r="4" spans="1:9" ht="18">
      <c r="A4" s="64" t="s">
        <v>61</v>
      </c>
      <c r="B4" s="64" t="s">
        <v>62</v>
      </c>
      <c r="C4" s="64" t="s">
        <v>63</v>
      </c>
      <c r="D4" s="64" t="s">
        <v>64</v>
      </c>
      <c r="E4" s="64" t="b">
        <v>0</v>
      </c>
      <c r="F4" s="64" t="s">
        <v>65</v>
      </c>
      <c r="G4" s="66">
        <v>0</v>
      </c>
      <c r="H4" s="64" t="s">
        <v>61</v>
      </c>
      <c r="I4"/>
    </row>
    <row r="5" spans="1:9" ht="18">
      <c r="A5" s="64" t="s">
        <v>21</v>
      </c>
      <c r="B5" s="64" t="s">
        <v>66</v>
      </c>
      <c r="C5" s="64" t="s">
        <v>67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68</v>
      </c>
      <c r="B6" s="64" t="s">
        <v>69</v>
      </c>
      <c r="C6" s="64" t="s">
        <v>69</v>
      </c>
      <c r="D6" s="64"/>
      <c r="E6" s="64" t="b">
        <v>1</v>
      </c>
      <c r="F6" s="64" t="s">
        <v>70</v>
      </c>
      <c r="G6" s="66">
        <v>0</v>
      </c>
      <c r="H6" s="64" t="s">
        <v>68</v>
      </c>
      <c r="I6"/>
    </row>
    <row r="7" spans="1:9" ht="18">
      <c r="A7" s="64" t="s">
        <v>22</v>
      </c>
      <c r="B7" s="64" t="s">
        <v>71</v>
      </c>
      <c r="C7" s="64" t="s">
        <v>72</v>
      </c>
      <c r="D7" s="64" t="s">
        <v>73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74</v>
      </c>
      <c r="B8" s="64" t="s">
        <v>75</v>
      </c>
      <c r="C8" s="64" t="s">
        <v>76</v>
      </c>
      <c r="D8" s="64"/>
      <c r="E8" s="64" t="b">
        <v>1</v>
      </c>
      <c r="F8" s="64" t="s">
        <v>77</v>
      </c>
      <c r="G8" s="66">
        <v>0</v>
      </c>
      <c r="H8" s="64" t="s">
        <v>74</v>
      </c>
      <c r="I8"/>
    </row>
    <row r="9" spans="1:9" ht="18">
      <c r="A9" s="64" t="s">
        <v>78</v>
      </c>
      <c r="B9" s="64" t="s">
        <v>79</v>
      </c>
      <c r="C9" s="64" t="s">
        <v>79</v>
      </c>
      <c r="D9" s="64"/>
      <c r="E9" s="64" t="b">
        <v>1</v>
      </c>
      <c r="F9" s="64" t="s">
        <v>78</v>
      </c>
      <c r="G9" s="66">
        <v>0</v>
      </c>
      <c r="H9" s="64" t="s">
        <v>78</v>
      </c>
      <c r="I9"/>
    </row>
    <row r="10" spans="1:9" ht="18">
      <c r="A10" s="64" t="s">
        <v>28</v>
      </c>
      <c r="B10" s="64" t="s">
        <v>80</v>
      </c>
      <c r="C10" s="64" t="s">
        <v>67</v>
      </c>
      <c r="D10" s="64"/>
      <c r="E10" s="64" t="b">
        <v>0</v>
      </c>
      <c r="F10" s="64" t="s">
        <v>28</v>
      </c>
      <c r="G10" s="66">
        <v>0</v>
      </c>
      <c r="H10" s="64" t="s">
        <v>28</v>
      </c>
      <c r="I10"/>
    </row>
    <row r="11" spans="1:9" ht="18">
      <c r="A11" s="64" t="s">
        <v>29</v>
      </c>
      <c r="B11" s="64" t="s">
        <v>81</v>
      </c>
      <c r="C11" s="64" t="s">
        <v>58</v>
      </c>
      <c r="D11" s="64" t="s">
        <v>82</v>
      </c>
      <c r="E11" s="64" t="b">
        <v>0</v>
      </c>
      <c r="F11" s="64" t="s">
        <v>29</v>
      </c>
      <c r="G11" s="66">
        <v>0</v>
      </c>
      <c r="H11" s="64" t="s">
        <v>29</v>
      </c>
      <c r="I11"/>
    </row>
    <row r="12" spans="1:9" ht="18">
      <c r="A12" s="64" t="s">
        <v>30</v>
      </c>
      <c r="B12" s="64" t="s">
        <v>83</v>
      </c>
      <c r="C12" s="64" t="s">
        <v>54</v>
      </c>
      <c r="D12" s="64" t="s">
        <v>160</v>
      </c>
      <c r="E12" s="64" t="b">
        <v>0</v>
      </c>
      <c r="F12" s="64" t="s">
        <v>84</v>
      </c>
      <c r="G12" s="66">
        <v>0</v>
      </c>
      <c r="H12" s="64" t="s">
        <v>30</v>
      </c>
      <c r="I12"/>
    </row>
    <row r="13" spans="1:9" ht="18">
      <c r="A13" s="64" t="s">
        <v>85</v>
      </c>
      <c r="B13" s="64" t="s">
        <v>86</v>
      </c>
      <c r="C13" s="64" t="s">
        <v>87</v>
      </c>
      <c r="D13" s="64"/>
      <c r="E13" s="64" t="b">
        <v>0</v>
      </c>
      <c r="F13" s="64" t="s">
        <v>88</v>
      </c>
      <c r="G13" s="66">
        <v>0</v>
      </c>
      <c r="H13" s="64" t="s">
        <v>85</v>
      </c>
      <c r="I13"/>
    </row>
    <row r="14" spans="1:9" ht="18">
      <c r="A14" s="64" t="s">
        <v>31</v>
      </c>
      <c r="B14" s="64" t="s">
        <v>89</v>
      </c>
      <c r="C14" s="64" t="s">
        <v>90</v>
      </c>
      <c r="D14" s="64"/>
      <c r="E14" s="64" t="b">
        <v>0</v>
      </c>
      <c r="F14" s="64" t="s">
        <v>91</v>
      </c>
      <c r="G14" s="66">
        <v>0</v>
      </c>
      <c r="H14" s="64" t="s">
        <v>31</v>
      </c>
      <c r="I14"/>
    </row>
    <row r="15" spans="1:9" ht="18">
      <c r="A15" s="64" t="s">
        <v>92</v>
      </c>
      <c r="B15" s="64" t="s">
        <v>93</v>
      </c>
      <c r="C15" s="64" t="s">
        <v>94</v>
      </c>
      <c r="D15" s="64" t="s">
        <v>161</v>
      </c>
      <c r="E15" s="64" t="b">
        <v>0</v>
      </c>
      <c r="F15" s="64" t="s">
        <v>95</v>
      </c>
      <c r="G15" s="66">
        <v>0</v>
      </c>
      <c r="H15" s="64" t="s">
        <v>92</v>
      </c>
      <c r="I15"/>
    </row>
    <row r="16" spans="1:9" ht="18">
      <c r="A16" s="64" t="s">
        <v>96</v>
      </c>
      <c r="B16" s="64" t="s">
        <v>97</v>
      </c>
      <c r="C16" s="64" t="s">
        <v>98</v>
      </c>
      <c r="D16" s="64"/>
      <c r="E16" s="64" t="b">
        <v>0</v>
      </c>
      <c r="F16" s="64" t="s">
        <v>99</v>
      </c>
      <c r="G16" s="66">
        <v>0</v>
      </c>
      <c r="H16" s="64" t="s">
        <v>96</v>
      </c>
      <c r="I16"/>
    </row>
    <row r="17" spans="1:9" ht="18">
      <c r="A17" s="64" t="s">
        <v>32</v>
      </c>
      <c r="B17" s="64" t="s">
        <v>100</v>
      </c>
      <c r="C17" s="64" t="s">
        <v>101</v>
      </c>
      <c r="D17" s="64" t="s">
        <v>162</v>
      </c>
      <c r="E17" s="64" t="b">
        <v>0</v>
      </c>
      <c r="F17" s="64" t="s">
        <v>102</v>
      </c>
      <c r="G17" s="66">
        <v>0</v>
      </c>
      <c r="H17" s="64" t="s">
        <v>32</v>
      </c>
      <c r="I17"/>
    </row>
    <row r="18" spans="1:9" ht="18">
      <c r="A18" s="64" t="s">
        <v>47</v>
      </c>
      <c r="B18" s="64" t="s">
        <v>103</v>
      </c>
      <c r="C18" s="64" t="s">
        <v>98</v>
      </c>
      <c r="D18" s="64"/>
      <c r="E18" s="64" t="b">
        <v>0</v>
      </c>
      <c r="F18" s="64" t="s">
        <v>104</v>
      </c>
      <c r="G18" s="66">
        <v>0</v>
      </c>
      <c r="H18" s="64" t="s">
        <v>47</v>
      </c>
      <c r="I18"/>
    </row>
    <row r="19" spans="1:9" ht="18">
      <c r="A19" s="64" t="s">
        <v>105</v>
      </c>
      <c r="B19" s="64" t="s">
        <v>106</v>
      </c>
      <c r="C19" s="64" t="s">
        <v>76</v>
      </c>
      <c r="D19" s="64"/>
      <c r="E19" s="64" t="b">
        <v>1</v>
      </c>
      <c r="F19" s="64" t="s">
        <v>107</v>
      </c>
      <c r="G19" s="66">
        <v>0</v>
      </c>
      <c r="H19" s="64" t="s">
        <v>105</v>
      </c>
      <c r="I19"/>
    </row>
    <row r="20" spans="1:9" ht="18">
      <c r="A20" s="64" t="s">
        <v>108</v>
      </c>
      <c r="B20" s="64" t="s">
        <v>109</v>
      </c>
      <c r="C20" s="64" t="s">
        <v>63</v>
      </c>
      <c r="D20" s="64" t="s">
        <v>110</v>
      </c>
      <c r="E20" s="64" t="b">
        <v>0</v>
      </c>
      <c r="F20" s="64" t="s">
        <v>108</v>
      </c>
      <c r="G20" s="66">
        <v>0</v>
      </c>
      <c r="H20" s="64" t="s">
        <v>108</v>
      </c>
      <c r="I20"/>
    </row>
    <row r="21" spans="1:9" ht="18">
      <c r="A21" s="64" t="s">
        <v>111</v>
      </c>
      <c r="B21" s="64" t="s">
        <v>112</v>
      </c>
      <c r="C21" s="64" t="s">
        <v>76</v>
      </c>
      <c r="D21" s="64"/>
      <c r="E21" s="64" t="b">
        <v>1</v>
      </c>
      <c r="F21" s="64" t="s">
        <v>113</v>
      </c>
      <c r="G21" s="66">
        <v>0</v>
      </c>
      <c r="H21" s="64" t="s">
        <v>111</v>
      </c>
      <c r="I21"/>
    </row>
    <row r="22" spans="1:9" ht="18">
      <c r="A22" s="64" t="s">
        <v>114</v>
      </c>
      <c r="B22" s="64" t="s">
        <v>115</v>
      </c>
      <c r="C22" s="64" t="s">
        <v>116</v>
      </c>
      <c r="D22" s="64" t="s">
        <v>117</v>
      </c>
      <c r="E22" s="64" t="b">
        <v>0</v>
      </c>
      <c r="F22" s="64" t="s">
        <v>118</v>
      </c>
      <c r="G22" s="66">
        <v>0</v>
      </c>
      <c r="H22" s="64" t="s">
        <v>114</v>
      </c>
      <c r="I22"/>
    </row>
    <row r="23" spans="1:9" ht="18">
      <c r="A23" s="64" t="s">
        <v>119</v>
      </c>
      <c r="B23" s="64" t="s">
        <v>120</v>
      </c>
      <c r="C23" s="64" t="s">
        <v>76</v>
      </c>
      <c r="D23" s="64"/>
      <c r="E23" s="64" t="b">
        <v>1</v>
      </c>
      <c r="F23" s="64" t="s">
        <v>121</v>
      </c>
      <c r="G23" s="66">
        <v>0</v>
      </c>
      <c r="H23" s="64" t="s">
        <v>119</v>
      </c>
      <c r="I23"/>
    </row>
    <row r="24" spans="1:9" ht="18">
      <c r="A24" s="64" t="s">
        <v>51</v>
      </c>
      <c r="B24" s="64" t="s">
        <v>122</v>
      </c>
      <c r="C24" s="64" t="s">
        <v>122</v>
      </c>
      <c r="D24" s="64"/>
      <c r="E24" s="64" t="b">
        <v>1</v>
      </c>
      <c r="F24" s="64" t="s">
        <v>123</v>
      </c>
      <c r="G24" s="66">
        <v>0</v>
      </c>
      <c r="H24" s="64" t="s">
        <v>51</v>
      </c>
      <c r="I24"/>
    </row>
    <row r="25" spans="1:9" ht="18">
      <c r="A25" s="64" t="s">
        <v>124</v>
      </c>
      <c r="B25" s="64" t="s">
        <v>125</v>
      </c>
      <c r="C25" s="64" t="s">
        <v>126</v>
      </c>
      <c r="D25" s="64"/>
      <c r="E25" s="64" t="b">
        <v>0</v>
      </c>
      <c r="F25" s="64" t="s">
        <v>127</v>
      </c>
      <c r="G25" s="66">
        <v>0</v>
      </c>
      <c r="H25" s="64" t="s">
        <v>124</v>
      </c>
      <c r="I25"/>
    </row>
    <row r="26" spans="1:9" ht="18">
      <c r="A26" s="64" t="s">
        <v>128</v>
      </c>
      <c r="B26" s="64" t="s">
        <v>129</v>
      </c>
      <c r="C26" s="64" t="s">
        <v>94</v>
      </c>
      <c r="D26" s="64" t="s">
        <v>163</v>
      </c>
      <c r="E26" s="64" t="b">
        <v>0</v>
      </c>
      <c r="F26" s="64" t="s">
        <v>128</v>
      </c>
      <c r="G26" s="66">
        <v>0</v>
      </c>
      <c r="H26" s="64" t="s">
        <v>128</v>
      </c>
      <c r="I26"/>
    </row>
    <row r="27" spans="1:9" ht="18">
      <c r="A27" s="64" t="s">
        <v>130</v>
      </c>
      <c r="B27" s="64" t="s">
        <v>131</v>
      </c>
      <c r="C27" s="64" t="s">
        <v>132</v>
      </c>
      <c r="D27" s="64"/>
      <c r="E27" s="64" t="b">
        <v>0</v>
      </c>
      <c r="F27" s="64" t="s">
        <v>133</v>
      </c>
      <c r="G27" s="66">
        <v>0</v>
      </c>
      <c r="H27" s="64" t="s">
        <v>130</v>
      </c>
      <c r="I27"/>
    </row>
    <row r="28" spans="1:9" ht="18">
      <c r="A28" s="64" t="s">
        <v>134</v>
      </c>
      <c r="B28" s="64" t="s">
        <v>135</v>
      </c>
      <c r="C28" s="64" t="s">
        <v>58</v>
      </c>
      <c r="D28" s="64" t="s">
        <v>136</v>
      </c>
      <c r="E28" s="64" t="b">
        <v>0</v>
      </c>
      <c r="F28" s="64" t="s">
        <v>137</v>
      </c>
      <c r="G28" s="66">
        <v>1</v>
      </c>
      <c r="H28" s="64" t="s">
        <v>4</v>
      </c>
      <c r="I28"/>
    </row>
    <row r="29" spans="1:9" ht="18">
      <c r="A29" s="64" t="s">
        <v>138</v>
      </c>
      <c r="B29" s="64" t="s">
        <v>139</v>
      </c>
      <c r="C29" s="64" t="s">
        <v>94</v>
      </c>
      <c r="D29" s="64" t="s">
        <v>164</v>
      </c>
      <c r="E29" s="64" t="b">
        <v>0</v>
      </c>
      <c r="F29" s="64" t="s">
        <v>140</v>
      </c>
      <c r="G29" s="66">
        <v>1</v>
      </c>
      <c r="H29" s="64" t="s">
        <v>92</v>
      </c>
      <c r="I29"/>
    </row>
    <row r="30" spans="1:9" ht="18">
      <c r="A30" s="64" t="s">
        <v>141</v>
      </c>
      <c r="B30" s="64" t="s">
        <v>142</v>
      </c>
      <c r="C30" s="64" t="s">
        <v>94</v>
      </c>
      <c r="D30" s="64" t="s">
        <v>165</v>
      </c>
      <c r="E30" s="64" t="b">
        <v>0</v>
      </c>
      <c r="F30" s="64" t="s">
        <v>143</v>
      </c>
      <c r="G30" s="66">
        <v>1</v>
      </c>
      <c r="H30" s="64" t="s">
        <v>92</v>
      </c>
      <c r="I30"/>
    </row>
    <row r="31" spans="1:9" ht="18">
      <c r="A31" s="65" t="s">
        <v>144</v>
      </c>
      <c r="B31" s="65" t="s">
        <v>145</v>
      </c>
      <c r="C31" s="65" t="s">
        <v>79</v>
      </c>
      <c r="D31" s="65"/>
      <c r="E31" s="65" t="b">
        <v>1</v>
      </c>
      <c r="F31" s="65" t="s">
        <v>144</v>
      </c>
      <c r="G31" s="67">
        <v>1</v>
      </c>
      <c r="H31" s="65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11" sqref="B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4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97" priority="4" operator="equal">
      <formula>1</formula>
    </cfRule>
  </conditionalFormatting>
  <conditionalFormatting sqref="D2:E101">
    <cfRule type="expression" dxfId="96" priority="3">
      <formula>$J2</formula>
    </cfRule>
  </conditionalFormatting>
  <conditionalFormatting sqref="F2:F101">
    <cfRule type="cellIs" dxfId="95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B06A2694-5E08-4295-8670-232BD23B367B}"/>
    <hyperlink ref="C3" location="'受注'!A1" display="受注" xr:uid="{FF752FDD-8890-4345-AAE5-5378774A0A11}"/>
    <hyperlink ref="C4" location="'受注明細'!A1" display="受注明細" xr:uid="{420354FE-E078-4B5C-B875-30D5A29EC43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P105"/>
  <sheetViews>
    <sheetView showGridLines="0" workbookViewId="0">
      <pane ySplit="5" topLeftCell="A6" activePane="bottomLeft" state="frozen"/>
      <selection pane="bottomLeft" activeCell="D7" sqref="D7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37" width="8.6640625" style="7" hidden="1" customWidth="1"/>
    <col min="38" max="42" width="0" style="7" hidden="1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158</v>
      </c>
      <c r="F2" s="90" t="s">
        <v>159</v>
      </c>
      <c r="G2" s="40"/>
      <c r="AF2" s="7" t="s">
        <v>17</v>
      </c>
      <c r="AG2" s="7" t="b">
        <f ca="1">OR(ISERROR(TABLE_JP),ISERROR(TABLE_EN))</f>
        <v>1</v>
      </c>
    </row>
    <row r="3" spans="1:42">
      <c r="AE3" s="7" t="s">
        <v>8</v>
      </c>
      <c r="AF3" s="7" t="s">
        <v>25</v>
      </c>
      <c r="AG3" s="7" t="b">
        <f>AI6="N/A"</f>
        <v>1</v>
      </c>
      <c r="AI3" s="7" t="s">
        <v>184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4" t="s">
        <v>190</v>
      </c>
      <c r="AJ4" s="104" t="s">
        <v>191</v>
      </c>
      <c r="AK4" s="104" t="s">
        <v>8</v>
      </c>
      <c r="AL4" s="104" t="s">
        <v>185</v>
      </c>
      <c r="AM4" s="104" t="s">
        <v>186</v>
      </c>
      <c r="AN4" s="104" t="s">
        <v>187</v>
      </c>
      <c r="AO4" s="104" t="s">
        <v>188</v>
      </c>
      <c r="AP4" s="104" t="s">
        <v>189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103">
        <f>COUNTA(AK6:AK105)</f>
        <v>1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33</v>
      </c>
      <c r="AJ6" s="70" t="s">
        <v>33</v>
      </c>
      <c r="AK6" s="103" t="s">
        <v>184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I7" s="59"/>
      <c r="AJ7" s="70"/>
      <c r="AK7" s="103"/>
      <c r="AL7" s="87"/>
      <c r="AM7" s="87"/>
      <c r="AN7" s="87"/>
      <c r="AO7" s="87"/>
      <c r="AP7" s="87"/>
    </row>
    <row r="8" spans="1:42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103"/>
      <c r="AL8" s="87"/>
      <c r="AM8" s="87"/>
      <c r="AN8" s="87"/>
      <c r="AO8" s="87"/>
      <c r="AP8" s="87"/>
    </row>
    <row r="9" spans="1:42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  <c r="AK9" s="103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103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I11" s="59"/>
      <c r="AJ11" s="70"/>
      <c r="AK11" s="103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152</v>
      </c>
      <c r="AD12" s="7" t="s">
        <v>153</v>
      </c>
      <c r="AE12" s="7" t="s">
        <v>198</v>
      </c>
      <c r="AF12" s="7" t="s">
        <v>197</v>
      </c>
      <c r="AG12" s="7" t="b">
        <f ca="1">OR($Y$26:$AC$26,$Y$31:$AC$31,$Y$36:$AC$36,$Y$41:$AC$41,$Y$46:$AC$46)</f>
        <v>0</v>
      </c>
      <c r="AI12" s="59"/>
      <c r="AJ12" s="70"/>
      <c r="AK12" s="103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3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199</v>
      </c>
      <c r="AG14" s="7" t="b">
        <f>OR($AD$26,$AD$31,$AD$36,$AD$41,$AD$46)</f>
        <v>0</v>
      </c>
      <c r="AI14" s="59"/>
      <c r="AJ14" s="70"/>
      <c r="AK14" s="103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3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103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F17" s="7" t="s">
        <v>153</v>
      </c>
      <c r="AG17" s="7" t="b">
        <f>OR($AD$55:$AD$64)</f>
        <v>0</v>
      </c>
      <c r="AI17" s="59"/>
      <c r="AJ17" s="70"/>
      <c r="AK17" s="103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3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3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3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3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3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3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X24" s="69" t="s">
        <v>196</v>
      </c>
      <c r="AI24" s="59"/>
      <c r="AJ24" s="70"/>
      <c r="AK24" s="103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X25" s="7" t="s">
        <v>197</v>
      </c>
      <c r="AD25" s="7" t="s">
        <v>199</v>
      </c>
      <c r="AI25" s="59"/>
      <c r="AJ25" s="70"/>
      <c r="AK25" s="103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>
        <v>1</v>
      </c>
      <c r="L26" s="106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AND(K28&lt;&gt;"",R27="")</f>
        <v>0</v>
      </c>
      <c r="AE26" s="7" t="s">
        <v>199</v>
      </c>
      <c r="AI26" s="59"/>
      <c r="AJ26" s="70"/>
      <c r="AK26" s="103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8" t="s">
        <v>179</v>
      </c>
      <c r="L27" s="96"/>
      <c r="M27" s="77"/>
      <c r="N27" s="77"/>
      <c r="O27" s="77"/>
      <c r="P27" s="78"/>
      <c r="R27" s="87" t="str">
        <f>_xlfn.CONCAT(L27:P27)</f>
        <v/>
      </c>
      <c r="S27" s="70" t="str">
        <f>_xlfn.CONCAT(K28,R27)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X27" s="7" t="s">
        <v>155</v>
      </c>
      <c r="Y27" s="19" t="b">
        <f t="shared" ref="Y27:Y28" ca="1" si="11">OR(AND(L27&lt;&gt;"",ISNA(MATCH(L27,FIELDリスト,0))),COUNTIF($L27:$P27,L27)&gt;1)</f>
        <v>0</v>
      </c>
      <c r="Z27" s="19" t="b">
        <f t="shared" ref="Z27:Z28" ca="1" si="12">OR(AND(M27&lt;&gt;"",ISNA(MATCH(M27,FIELDリスト,0))),COUNTIF($L27:$P27,M27)&gt;1)</f>
        <v>0</v>
      </c>
      <c r="AA27" s="19" t="b">
        <f t="shared" ref="AA27:AA28" ca="1" si="13">OR(AND(N27&lt;&gt;"",ISNA(MATCH(N27,FIELDリスト,0))),COUNTIF($L27:$P27,N27)&gt;1)</f>
        <v>0</v>
      </c>
      <c r="AB27" s="19" t="b">
        <f t="shared" ref="AB27:AB28" ca="1" si="14">OR(AND(O27&lt;&gt;"",ISNA(MATCH(O27,FIELDリスト,0))),COUNTIF($L27:$P27,O27)&gt;1)</f>
        <v>0</v>
      </c>
      <c r="AC27" s="19" t="b">
        <f t="shared" ref="AC27:AC28" ca="1" si="15">OR(AND(P27&lt;&gt;"",ISNA(MATCH(P27,FIELDリスト,0))),COUNTIF($L27:$P27,P27)&gt;1)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3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99"/>
      <c r="L28" s="97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X28" s="7" t="s">
        <v>156</v>
      </c>
      <c r="Y28" s="19" t="b">
        <f ca="1">OR(AND(L28&lt;&gt;"",ISNA(MATCH(L28,FK_FIELD_1,0))),COUNTIF($L28:$P28,L28)&gt;1)</f>
        <v>0</v>
      </c>
      <c r="Z28" s="19" t="b">
        <f ca="1">OR(AND(M28&lt;&gt;"",ISNA(MATCH(M28,FK_FIELD_1,0))),COUNTIF($L28:$P28,M28)&gt;1)</f>
        <v>0</v>
      </c>
      <c r="AA28" s="19" t="b">
        <f ca="1">OR(AND(N28&lt;&gt;"",ISNA(MATCH(N28,FK_FIELD_1,0))),COUNTIF($L28:$P28,N28)&gt;1)</f>
        <v>0</v>
      </c>
      <c r="AB28" s="19" t="b">
        <f ca="1">OR(AND(O28&lt;&gt;"",ISNA(MATCH(O28,FK_FIELD_1,0))),COUNTIF($L28:$P28,O28)&gt;1)</f>
        <v>0</v>
      </c>
      <c r="AC28" s="19" t="b">
        <f ca="1">OR(AND(P28&lt;&gt;"",ISNA(MATCH(P28,FK_FIELD_1,0))),COUNTIF($L28:$P28,P28)&gt;1)</f>
        <v>0</v>
      </c>
      <c r="AI28" s="59"/>
      <c r="AJ28" s="70"/>
      <c r="AK28" s="103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0" t="s">
        <v>180</v>
      </c>
      <c r="L29" s="101"/>
      <c r="M29" s="100" t="s">
        <v>181</v>
      </c>
      <c r="N29" s="101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Y29" s="87" t="str">
        <f ca="1">IFERROR(VLOOKUP(L27,項目!DATA_AREA,8,FALSE),"N/A")</f>
        <v>N/A</v>
      </c>
      <c r="Z29" s="87" t="str">
        <f ca="1">IFERROR(VLOOKUP(M27,項目!DATA_AREA,8,FALSE),"N/A")</f>
        <v>N/A</v>
      </c>
      <c r="AA29" s="87" t="str">
        <f ca="1">IFERROR(VLOOKUP(N27,項目!DATA_AREA,8,FALSE),"N/A")</f>
        <v>N/A</v>
      </c>
      <c r="AB29" s="87" t="str">
        <f ca="1">IFERROR(VLOOKUP(O27,項目!DATA_AREA,8,FALSE),"N/A")</f>
        <v>N/A</v>
      </c>
      <c r="AC29" s="87" t="str">
        <f ca="1">IFERROR(VLOOKUP(P27,項目!DATA_AREA,8,FALSE),"N/A")</f>
        <v>N/A</v>
      </c>
      <c r="AI29" s="59"/>
      <c r="AJ29" s="70"/>
      <c r="AK29" s="103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Y30" s="87" t="str">
        <f ca="1">IFERROR(VLOOKUP(L28,項目!DATA_AREA,8,FALSE),"N/A")</f>
        <v>N/A</v>
      </c>
      <c r="Z30" s="87" t="str">
        <f ca="1">IFERROR(VLOOKUP(M28,項目!DATA_AREA,8,FALSE),"N/A")</f>
        <v>N/A</v>
      </c>
      <c r="AA30" s="87" t="str">
        <f ca="1">IFERROR(VLOOKUP(N28,項目!DATA_AREA,8,FALSE),"N/A")</f>
        <v>N/A</v>
      </c>
      <c r="AB30" s="87" t="str">
        <f ca="1">IFERROR(VLOOKUP(O28,項目!DATA_AREA,8,FALSE),"N/A")</f>
        <v>N/A</v>
      </c>
      <c r="AC30" s="87" t="str">
        <f ca="1">IFERROR(VLOOKUP(P28,項目!DATA_AREA,8,FALSE),"N/A")</f>
        <v>N/A</v>
      </c>
      <c r="AI30" s="59"/>
      <c r="AJ30" s="70"/>
      <c r="AK30" s="103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>
        <v>2</v>
      </c>
      <c r="L31" s="106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AND(K33&lt;&gt;"",R32="")</f>
        <v>0</v>
      </c>
      <c r="AI31" s="59"/>
      <c r="AJ31" s="70"/>
      <c r="AK31" s="103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8" t="s">
        <v>179</v>
      </c>
      <c r="L32" s="96"/>
      <c r="M32" s="77"/>
      <c r="N32" s="77"/>
      <c r="O32" s="77"/>
      <c r="P32" s="78"/>
      <c r="R32" s="87" t="str">
        <f>_xlfn.CONCAT(L32:P32)</f>
        <v/>
      </c>
      <c r="S32" s="70" t="str">
        <f>_xlfn.CONCAT(K33,R32)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Y32" s="19" t="b">
        <f t="shared" ref="Y32:Y33" ca="1" si="16">OR(AND(L32&lt;&gt;"",ISNA(MATCH(L32,FIELDリスト,0))),COUNTIF($L32:$P32,L32)&gt;1)</f>
        <v>0</v>
      </c>
      <c r="Z32" s="19" t="b">
        <f t="shared" ref="Z32:Z33" ca="1" si="17">OR(AND(M32&lt;&gt;"",ISNA(MATCH(M32,FIELDリスト,0))),COUNTIF($L32:$P32,M32)&gt;1)</f>
        <v>0</v>
      </c>
      <c r="AA32" s="19" t="b">
        <f t="shared" ref="AA32:AA33" ca="1" si="18">OR(AND(N32&lt;&gt;"",ISNA(MATCH(N32,FIELDリスト,0))),COUNTIF($L32:$P32,N32)&gt;1)</f>
        <v>0</v>
      </c>
      <c r="AB32" s="19" t="b">
        <f t="shared" ref="AB32:AB33" ca="1" si="19">OR(AND(O32&lt;&gt;"",ISNA(MATCH(O32,FIELDリスト,0))),COUNTIF($L32:$P32,O32)&gt;1)</f>
        <v>0</v>
      </c>
      <c r="AC32" s="19" t="b">
        <f t="shared" ref="AC32:AC33" ca="1" si="20">OR(AND(P32&lt;&gt;"",ISNA(MATCH(P32,FIELDリスト,0))),COUNTIF($L32:$P32,P32)&gt;1)</f>
        <v>0</v>
      </c>
      <c r="AD32" s="19" t="b">
        <f>AND(S32&lt;&gt;"",COUNTIF($S$26:$S$48,S32)&gt;1)</f>
        <v>0</v>
      </c>
      <c r="AI32" s="59"/>
      <c r="AJ32" s="70"/>
      <c r="AK32" s="103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99"/>
      <c r="L33" s="97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Y33" s="19" t="b">
        <f ca="1">OR(AND(L33&lt;&gt;"",ISNA(MATCH(L33,FK_FIELD_2,0))),COUNTIF($L33:$P33,L33)&gt;1)</f>
        <v>0</v>
      </c>
      <c r="Z33" s="19" t="b">
        <f ca="1">OR(AND(M33&lt;&gt;"",ISNA(MATCH(M33,FK_FIELD_2,0))),COUNTIF($L33:$P33,M33)&gt;1)</f>
        <v>0</v>
      </c>
      <c r="AA33" s="19" t="b">
        <f ca="1">OR(AND(N33&lt;&gt;"",ISNA(MATCH(N33,FK_FIELD_2,0))),COUNTIF($L33:$P33,N33)&gt;1)</f>
        <v>0</v>
      </c>
      <c r="AB33" s="19" t="b">
        <f ca="1">OR(AND(O33&lt;&gt;"",ISNA(MATCH(O33,FK_FIELD_2,0))),COUNTIF($L33:$P33,O33)&gt;1)</f>
        <v>0</v>
      </c>
      <c r="AC33" s="19" t="b">
        <f ca="1">OR(AND(P33&lt;&gt;"",ISNA(MATCH(P33,FK_FIELD_2,0))),COUNTIF($L33:$P33,P33)&gt;1)</f>
        <v>0</v>
      </c>
      <c r="AI33" s="59"/>
      <c r="AJ33" s="70"/>
      <c r="AK33" s="103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0" t="s">
        <v>180</v>
      </c>
      <c r="L34" s="101"/>
      <c r="M34" s="100" t="s">
        <v>181</v>
      </c>
      <c r="N34" s="101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Y34" s="87" t="str">
        <f ca="1">IFERROR(VLOOKUP(L32,項目!DATA_AREA,8,FALSE),"N/A")</f>
        <v>N/A</v>
      </c>
      <c r="Z34" s="87" t="str">
        <f ca="1">IFERROR(VLOOKUP(M32,項目!DATA_AREA,8,FALSE),"N/A")</f>
        <v>N/A</v>
      </c>
      <c r="AA34" s="87" t="str">
        <f ca="1">IFERROR(VLOOKUP(N32,項目!DATA_AREA,8,FALSE),"N/A")</f>
        <v>N/A</v>
      </c>
      <c r="AB34" s="87" t="str">
        <f ca="1">IFERROR(VLOOKUP(O32,項目!DATA_AREA,8,FALSE),"N/A")</f>
        <v>N/A</v>
      </c>
      <c r="AC34" s="87" t="str">
        <f ca="1">IFERROR(VLOOKUP(P32,項目!DATA_AREA,8,FALSE),"N/A")</f>
        <v>N/A</v>
      </c>
      <c r="AI34" s="59"/>
      <c r="AJ34" s="70"/>
      <c r="AK34" s="103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Y35" s="87" t="str">
        <f ca="1">IFERROR(VLOOKUP(L33,項目!DATA_AREA,8,FALSE),"N/A")</f>
        <v>N/A</v>
      </c>
      <c r="Z35" s="87" t="str">
        <f ca="1">IFERROR(VLOOKUP(M33,項目!DATA_AREA,8,FALSE),"N/A")</f>
        <v>N/A</v>
      </c>
      <c r="AA35" s="87" t="str">
        <f ca="1">IFERROR(VLOOKUP(N33,項目!DATA_AREA,8,FALSE),"N/A")</f>
        <v>N/A</v>
      </c>
      <c r="AB35" s="87" t="str">
        <f ca="1">IFERROR(VLOOKUP(O33,項目!DATA_AREA,8,FALSE),"N/A")</f>
        <v>N/A</v>
      </c>
      <c r="AC35" s="87" t="str">
        <f ca="1">IFERROR(VLOOKUP(P33,項目!DATA_AREA,8,FALSE),"N/A")</f>
        <v>N/A</v>
      </c>
      <c r="AI35" s="59"/>
      <c r="AJ35" s="70"/>
      <c r="AK35" s="103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>
        <v>3</v>
      </c>
      <c r="L36" s="106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AND(K38&lt;&gt;"",R37="")</f>
        <v>0</v>
      </c>
      <c r="AI36" s="59"/>
      <c r="AJ36" s="70"/>
      <c r="AK36" s="103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8" t="s">
        <v>179</v>
      </c>
      <c r="L37" s="96"/>
      <c r="M37" s="77"/>
      <c r="N37" s="77"/>
      <c r="O37" s="77"/>
      <c r="P37" s="78"/>
      <c r="R37" s="87" t="str">
        <f>_xlfn.CONCAT(L37:P37)</f>
        <v/>
      </c>
      <c r="S37" s="70" t="str">
        <f>_xlfn.CONCAT(K38,R37)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Y37" s="19" t="b">
        <f t="shared" ref="Y37:Y38" ca="1" si="21">OR(AND(L37&lt;&gt;"",ISNA(MATCH(L37,FIELDリスト,0))),COUNTIF($L37:$P37,L37)&gt;1)</f>
        <v>0</v>
      </c>
      <c r="Z37" s="19" t="b">
        <f t="shared" ref="Z37:Z38" ca="1" si="22">OR(AND(M37&lt;&gt;"",ISNA(MATCH(M37,FIELDリスト,0))),COUNTIF($L37:$P37,M37)&gt;1)</f>
        <v>0</v>
      </c>
      <c r="AA37" s="19" t="b">
        <f t="shared" ref="AA37:AA38" ca="1" si="23">OR(AND(N37&lt;&gt;"",ISNA(MATCH(N37,FIELDリスト,0))),COUNTIF($L37:$P37,N37)&gt;1)</f>
        <v>0</v>
      </c>
      <c r="AB37" s="19" t="b">
        <f t="shared" ref="AB37:AB38" ca="1" si="24">OR(AND(O37&lt;&gt;"",ISNA(MATCH(O37,FIELDリスト,0))),COUNTIF($L37:$P37,O37)&gt;1)</f>
        <v>0</v>
      </c>
      <c r="AC37" s="19" t="b">
        <f t="shared" ref="AC37:AC38" ca="1" si="25">OR(AND(P37&lt;&gt;"",ISNA(MATCH(P37,FIELDリスト,0))),COUNTIF($L37:$P37,P37)&gt;1)</f>
        <v>0</v>
      </c>
      <c r="AD37" s="19" t="b">
        <f>AND(S37&lt;&gt;"",COUNTIF($S$26:$S$48,S37)&gt;1)</f>
        <v>0</v>
      </c>
      <c r="AI37" s="59"/>
      <c r="AJ37" s="70"/>
      <c r="AK37" s="103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99"/>
      <c r="L38" s="97"/>
      <c r="M38" s="85"/>
      <c r="N38" s="85"/>
      <c r="O38" s="85"/>
      <c r="P38" s="86"/>
      <c r="T38" s="19" t="b">
        <f t="shared" ref="T38:T69" ca="1" si="26">AND(B38&lt;&gt;"",ISNA(MATCH(B38,項目リスト,0)))</f>
        <v>0</v>
      </c>
      <c r="U38" s="19" t="b">
        <f t="shared" ref="U38:U69" si="27">COUNTIF(FIELD_NAME,B38)&gt;1</f>
        <v>0</v>
      </c>
      <c r="V38" s="19" t="b">
        <f t="shared" ca="1" si="3"/>
        <v>0</v>
      </c>
      <c r="Y38" s="19" t="b">
        <f ca="1">OR(AND(L38&lt;&gt;"",ISNA(MATCH(L38,FK_FIELD_3,0))),COUNTIF($L38:$P38,L38)&gt;1)</f>
        <v>0</v>
      </c>
      <c r="Z38" s="19" t="b">
        <f ca="1">OR(AND(M38&lt;&gt;"",ISNA(MATCH(M38,FK_FIELD_3,0))),COUNTIF($L38:$P38,M38)&gt;1)</f>
        <v>0</v>
      </c>
      <c r="AA38" s="19" t="b">
        <f ca="1">OR(AND(N38&lt;&gt;"",ISNA(MATCH(N38,FK_FIELD_3,0))),COUNTIF($L38:$P38,N38)&gt;1)</f>
        <v>0</v>
      </c>
      <c r="AB38" s="19" t="b">
        <f ca="1">OR(AND(O38&lt;&gt;"",ISNA(MATCH(O38,FK_FIELD_3,0))),COUNTIF($L38:$P38,O38)&gt;1)</f>
        <v>0</v>
      </c>
      <c r="AC38" s="19" t="b">
        <f ca="1">OR(AND(P38&lt;&gt;"",ISNA(MATCH(P38,FK_FIELD_3,0))),COUNTIF($L38:$P38,P38)&gt;1)</f>
        <v>0</v>
      </c>
      <c r="AI38" s="59"/>
      <c r="AJ38" s="70"/>
      <c r="AK38" s="103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0" t="s">
        <v>180</v>
      </c>
      <c r="L39" s="101"/>
      <c r="M39" s="100" t="s">
        <v>181</v>
      </c>
      <c r="N39" s="101"/>
      <c r="T39" s="19" t="b">
        <f t="shared" ca="1" si="26"/>
        <v>0</v>
      </c>
      <c r="U39" s="19" t="b">
        <f t="shared" si="27"/>
        <v>0</v>
      </c>
      <c r="V39" s="19" t="b">
        <f t="shared" ca="1" si="3"/>
        <v>0</v>
      </c>
      <c r="Y39" s="87" t="str">
        <f ca="1">IFERROR(VLOOKUP(L37,項目!DATA_AREA,8,FALSE),"N/A")</f>
        <v>N/A</v>
      </c>
      <c r="Z39" s="87" t="str">
        <f ca="1">IFERROR(VLOOKUP(M37,項目!DATA_AREA,8,FALSE),"N/A")</f>
        <v>N/A</v>
      </c>
      <c r="AA39" s="87" t="str">
        <f ca="1">IFERROR(VLOOKUP(N37,項目!DATA_AREA,8,FALSE),"N/A")</f>
        <v>N/A</v>
      </c>
      <c r="AB39" s="87" t="str">
        <f ca="1">IFERROR(VLOOKUP(O37,項目!DATA_AREA,8,FALSE),"N/A")</f>
        <v>N/A</v>
      </c>
      <c r="AC39" s="87" t="str">
        <f ca="1">IFERROR(VLOOKUP(P37,項目!DATA_AREA,8,FALSE),"N/A")</f>
        <v>N/A</v>
      </c>
      <c r="AI39" s="59"/>
      <c r="AJ39" s="70"/>
      <c r="AK39" s="103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26"/>
        <v>0</v>
      </c>
      <c r="U40" s="19" t="b">
        <f t="shared" si="27"/>
        <v>0</v>
      </c>
      <c r="V40" s="19" t="b">
        <f t="shared" ca="1" si="3"/>
        <v>0</v>
      </c>
      <c r="Y40" s="87" t="str">
        <f ca="1">IFERROR(VLOOKUP(L38,項目!DATA_AREA,8,FALSE),"N/A")</f>
        <v>N/A</v>
      </c>
      <c r="Z40" s="87" t="str">
        <f ca="1">IFERROR(VLOOKUP(M38,項目!DATA_AREA,8,FALSE),"N/A")</f>
        <v>N/A</v>
      </c>
      <c r="AA40" s="87" t="str">
        <f ca="1">IFERROR(VLOOKUP(N38,項目!DATA_AREA,8,FALSE),"N/A")</f>
        <v>N/A</v>
      </c>
      <c r="AB40" s="87" t="str">
        <f ca="1">IFERROR(VLOOKUP(O38,項目!DATA_AREA,8,FALSE),"N/A")</f>
        <v>N/A</v>
      </c>
      <c r="AC40" s="87" t="str">
        <f ca="1">IFERROR(VLOOKUP(P38,項目!DATA_AREA,8,FALSE),"N/A")</f>
        <v>N/A</v>
      </c>
      <c r="AI40" s="59"/>
      <c r="AJ40" s="70"/>
      <c r="AK40" s="103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>
        <v>4</v>
      </c>
      <c r="L41" s="106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26"/>
        <v>0</v>
      </c>
      <c r="U41" s="19" t="b">
        <f t="shared" si="27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AND(K43&lt;&gt;"",R42="")</f>
        <v>0</v>
      </c>
      <c r="AI41" s="59"/>
      <c r="AJ41" s="70"/>
      <c r="AK41" s="103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8" t="s">
        <v>179</v>
      </c>
      <c r="L42" s="96"/>
      <c r="M42" s="77"/>
      <c r="N42" s="77"/>
      <c r="O42" s="77"/>
      <c r="P42" s="78"/>
      <c r="R42" s="87" t="str">
        <f>_xlfn.CONCAT(L42:P42)</f>
        <v/>
      </c>
      <c r="S42" s="70" t="str">
        <f>_xlfn.CONCAT(K43,R42)</f>
        <v/>
      </c>
      <c r="T42" s="19" t="b">
        <f t="shared" ca="1" si="26"/>
        <v>0</v>
      </c>
      <c r="U42" s="19" t="b">
        <f t="shared" si="27"/>
        <v>0</v>
      </c>
      <c r="V42" s="19" t="b">
        <f t="shared" ca="1" si="3"/>
        <v>0</v>
      </c>
      <c r="Y42" s="19" t="b">
        <f t="shared" ref="Y42:Y43" ca="1" si="28">OR(AND(L42&lt;&gt;"",ISNA(MATCH(L42,FIELDリスト,0))),COUNTIF($L42:$P42,L42)&gt;1)</f>
        <v>0</v>
      </c>
      <c r="Z42" s="19" t="b">
        <f t="shared" ref="Z42:Z43" ca="1" si="29">OR(AND(M42&lt;&gt;"",ISNA(MATCH(M42,FIELDリスト,0))),COUNTIF($L42:$P42,M42)&gt;1)</f>
        <v>0</v>
      </c>
      <c r="AA42" s="19" t="b">
        <f t="shared" ref="AA42:AA43" ca="1" si="30">OR(AND(N42&lt;&gt;"",ISNA(MATCH(N42,FIELDリスト,0))),COUNTIF($L42:$P42,N42)&gt;1)</f>
        <v>0</v>
      </c>
      <c r="AB42" s="19" t="b">
        <f t="shared" ref="AB42:AB43" ca="1" si="31">OR(AND(O42&lt;&gt;"",ISNA(MATCH(O42,FIELDリスト,0))),COUNTIF($L42:$P42,O42)&gt;1)</f>
        <v>0</v>
      </c>
      <c r="AC42" s="19" t="b">
        <f t="shared" ref="AC42:AC43" ca="1" si="32">OR(AND(P42&lt;&gt;"",ISNA(MATCH(P42,FIELDリスト,0))),COUNTIF($L42:$P42,P42)&gt;1)</f>
        <v>0</v>
      </c>
      <c r="AD42" s="19" t="b">
        <f>AND(S42&lt;&gt;"",COUNTIF($S$26:$S$48,S42)&gt;1)</f>
        <v>0</v>
      </c>
      <c r="AI42" s="59"/>
      <c r="AJ42" s="70"/>
      <c r="AK42" s="103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99"/>
      <c r="L43" s="97"/>
      <c r="M43" s="85"/>
      <c r="N43" s="85"/>
      <c r="O43" s="85"/>
      <c r="P43" s="86"/>
      <c r="T43" s="19" t="b">
        <f t="shared" ca="1" si="26"/>
        <v>0</v>
      </c>
      <c r="U43" s="19" t="b">
        <f t="shared" si="27"/>
        <v>0</v>
      </c>
      <c r="V43" s="19" t="b">
        <f t="shared" ca="1" si="3"/>
        <v>0</v>
      </c>
      <c r="Y43" s="19" t="b">
        <f ca="1">OR(AND(L43&lt;&gt;"",ISNA(MATCH(L43,FK_FIELD_4,0))),COUNTIF($L43:$P43,L43)&gt;1)</f>
        <v>0</v>
      </c>
      <c r="Z43" s="19" t="b">
        <f ca="1">OR(AND(M43&lt;&gt;"",ISNA(MATCH(M43,FK_FIELD_4,0))),COUNTIF($L43:$P43,M43)&gt;1)</f>
        <v>0</v>
      </c>
      <c r="AA43" s="19" t="b">
        <f ca="1">OR(AND(N43&lt;&gt;"",ISNA(MATCH(N43,FK_FIELD_4,0))),COUNTIF($L43:$P43,N43)&gt;1)</f>
        <v>0</v>
      </c>
      <c r="AB43" s="19" t="b">
        <f ca="1">OR(AND(O43&lt;&gt;"",ISNA(MATCH(O43,FK_FIELD_4,0))),COUNTIF($L43:$P43,O43)&gt;1)</f>
        <v>0</v>
      </c>
      <c r="AC43" s="19" t="b">
        <f ca="1">OR(AND(P43&lt;&gt;"",ISNA(MATCH(P43,FK_FIELD_4,0))),COUNTIF($L43:$P43,P43)&gt;1)</f>
        <v>0</v>
      </c>
      <c r="AI43" s="59"/>
      <c r="AJ43" s="70"/>
      <c r="AK43" s="103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0" t="s">
        <v>180</v>
      </c>
      <c r="L44" s="101"/>
      <c r="M44" s="100" t="s">
        <v>181</v>
      </c>
      <c r="N44" s="101"/>
      <c r="T44" s="19" t="b">
        <f t="shared" ca="1" si="26"/>
        <v>0</v>
      </c>
      <c r="U44" s="19" t="b">
        <f t="shared" si="27"/>
        <v>0</v>
      </c>
      <c r="V44" s="19" t="b">
        <f t="shared" ca="1" si="3"/>
        <v>0</v>
      </c>
      <c r="Y44" s="87" t="str">
        <f ca="1">IFERROR(VLOOKUP(L42,項目!DATA_AREA,8,FALSE),"N/A")</f>
        <v>N/A</v>
      </c>
      <c r="Z44" s="87" t="str">
        <f ca="1">IFERROR(VLOOKUP(M42,項目!DATA_AREA,8,FALSE),"N/A")</f>
        <v>N/A</v>
      </c>
      <c r="AA44" s="87" t="str">
        <f ca="1">IFERROR(VLOOKUP(N42,項目!DATA_AREA,8,FALSE),"N/A")</f>
        <v>N/A</v>
      </c>
      <c r="AB44" s="87" t="str">
        <f ca="1">IFERROR(VLOOKUP(O42,項目!DATA_AREA,8,FALSE),"N/A")</f>
        <v>N/A</v>
      </c>
      <c r="AC44" s="87" t="str">
        <f ca="1">IFERROR(VLOOKUP(P42,項目!DATA_AREA,8,FALSE),"N/A")</f>
        <v>N/A</v>
      </c>
      <c r="AI44" s="59"/>
      <c r="AJ44" s="70"/>
      <c r="AK44" s="103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26"/>
        <v>0</v>
      </c>
      <c r="U45" s="19" t="b">
        <f t="shared" si="27"/>
        <v>0</v>
      </c>
      <c r="V45" s="19" t="b">
        <f t="shared" ca="1" si="3"/>
        <v>0</v>
      </c>
      <c r="Y45" s="87" t="str">
        <f ca="1">IFERROR(VLOOKUP(L43,項目!DATA_AREA,8,FALSE),"N/A")</f>
        <v>N/A</v>
      </c>
      <c r="Z45" s="87" t="str">
        <f ca="1">IFERROR(VLOOKUP(M43,項目!DATA_AREA,8,FALSE),"N/A")</f>
        <v>N/A</v>
      </c>
      <c r="AA45" s="87" t="str">
        <f ca="1">IFERROR(VLOOKUP(N43,項目!DATA_AREA,8,FALSE),"N/A")</f>
        <v>N/A</v>
      </c>
      <c r="AB45" s="87" t="str">
        <f ca="1">IFERROR(VLOOKUP(O43,項目!DATA_AREA,8,FALSE),"N/A")</f>
        <v>N/A</v>
      </c>
      <c r="AC45" s="87" t="str">
        <f ca="1">IFERROR(VLOOKUP(P43,項目!DATA_AREA,8,FALSE),"N/A")</f>
        <v>N/A</v>
      </c>
      <c r="AI45" s="59"/>
      <c r="AJ45" s="70"/>
      <c r="AK45" s="103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>
        <v>5</v>
      </c>
      <c r="L46" s="106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26"/>
        <v>0</v>
      </c>
      <c r="U46" s="19" t="b">
        <f t="shared" si="27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AND(K48&lt;&gt;"",R47="")</f>
        <v>0</v>
      </c>
      <c r="AI46" s="59"/>
      <c r="AJ46" s="70"/>
      <c r="AK46" s="103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8" t="s">
        <v>179</v>
      </c>
      <c r="L47" s="96"/>
      <c r="M47" s="77"/>
      <c r="N47" s="77"/>
      <c r="O47" s="77"/>
      <c r="P47" s="78"/>
      <c r="R47" s="87" t="str">
        <f>_xlfn.CONCAT(L47:P47)</f>
        <v/>
      </c>
      <c r="S47" s="70" t="str">
        <f>_xlfn.CONCAT(L49,S48)</f>
        <v/>
      </c>
      <c r="T47" s="19" t="b">
        <f t="shared" ca="1" si="26"/>
        <v>0</v>
      </c>
      <c r="U47" s="19" t="b">
        <f t="shared" si="27"/>
        <v>0</v>
      </c>
      <c r="V47" s="19" t="b">
        <f t="shared" ca="1" si="3"/>
        <v>0</v>
      </c>
      <c r="Y47" s="19" t="b">
        <f t="shared" ref="Y47:Y48" ca="1" si="33">OR(AND(L47&lt;&gt;"",ISNA(MATCH(L47,FIELDリスト,0))),COUNTIF($L47:$P47,L47)&gt;1)</f>
        <v>0</v>
      </c>
      <c r="Z47" s="19" t="b">
        <f t="shared" ref="Z47:Z48" ca="1" si="34">OR(AND(M47&lt;&gt;"",ISNA(MATCH(M47,FIELDリスト,0))),COUNTIF($L47:$P47,M47)&gt;1)</f>
        <v>0</v>
      </c>
      <c r="AA47" s="19" t="b">
        <f t="shared" ref="AA47:AA48" ca="1" si="35">OR(AND(N47&lt;&gt;"",ISNA(MATCH(N47,FIELDリスト,0))),COUNTIF($L47:$P47,N47)&gt;1)</f>
        <v>0</v>
      </c>
      <c r="AB47" s="19" t="b">
        <f t="shared" ref="AB47:AB48" ca="1" si="36">OR(AND(O47&lt;&gt;"",ISNA(MATCH(O47,FIELDリスト,0))),COUNTIF($L47:$P47,O47)&gt;1)</f>
        <v>0</v>
      </c>
      <c r="AC47" s="19" t="b">
        <f t="shared" ref="AC47:AC48" ca="1" si="37">OR(AND(P47&lt;&gt;"",ISNA(MATCH(P47,FIELDリスト,0))),COUNTIF($L47:$P47,P47)&gt;1)</f>
        <v>0</v>
      </c>
      <c r="AD47" s="19" t="b">
        <f>AND(S47&lt;&gt;"",COUNTIF($S$26:$S$48,S47)&gt;1)</f>
        <v>0</v>
      </c>
      <c r="AI47" s="59"/>
      <c r="AJ47" s="70"/>
      <c r="AK47" s="103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99"/>
      <c r="L48" s="97"/>
      <c r="M48" s="85"/>
      <c r="N48" s="85"/>
      <c r="O48" s="85"/>
      <c r="P48" s="86"/>
      <c r="T48" s="19" t="b">
        <f t="shared" ca="1" si="26"/>
        <v>0</v>
      </c>
      <c r="U48" s="19" t="b">
        <f t="shared" si="27"/>
        <v>0</v>
      </c>
      <c r="V48" s="19" t="b">
        <f t="shared" ca="1" si="3"/>
        <v>0</v>
      </c>
      <c r="Y48" s="19" t="b">
        <f ca="1">OR(AND(L48&lt;&gt;"",ISNA(MATCH(L48,FK_FIELD_5,0))),COUNTIF($L48:$P48,L48)&gt;1)</f>
        <v>0</v>
      </c>
      <c r="Z48" s="19" t="b">
        <f ca="1">OR(AND(M48&lt;&gt;"",ISNA(MATCH(M48,FK_FIELD_5,0))),COUNTIF($L48:$P48,M48)&gt;1)</f>
        <v>0</v>
      </c>
      <c r="AA48" s="19" t="b">
        <f ca="1">OR(AND(N48&lt;&gt;"",ISNA(MATCH(N48,FK_FIELD_5,0))),COUNTIF($L48:$P48,N48)&gt;1)</f>
        <v>0</v>
      </c>
      <c r="AB48" s="19" t="b">
        <f ca="1">OR(AND(O48&lt;&gt;"",ISNA(MATCH(O48,FK_FIELD_5,0))),COUNTIF($L48:$P48,O48)&gt;1)</f>
        <v>0</v>
      </c>
      <c r="AC48" s="19" t="b">
        <f ca="1">OR(AND(P48&lt;&gt;"",ISNA(MATCH(P48,FK_FIELD_5,0))),COUNTIF($L48:$P48,P48)&gt;1)</f>
        <v>0</v>
      </c>
      <c r="AI48" s="59"/>
      <c r="AJ48" s="70"/>
      <c r="AK48" s="103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0" t="s">
        <v>180</v>
      </c>
      <c r="L49" s="101"/>
      <c r="M49" s="100" t="s">
        <v>181</v>
      </c>
      <c r="N49" s="101"/>
      <c r="T49" s="19" t="b">
        <f t="shared" ca="1" si="26"/>
        <v>0</v>
      </c>
      <c r="U49" s="19" t="b">
        <f t="shared" si="27"/>
        <v>0</v>
      </c>
      <c r="V49" s="19" t="b">
        <f t="shared" ca="1" si="3"/>
        <v>0</v>
      </c>
      <c r="Y49" s="87" t="str">
        <f ca="1">IFERROR(VLOOKUP(L47,項目!DATA_AREA,8,FALSE),"N/A")</f>
        <v>N/A</v>
      </c>
      <c r="Z49" s="87" t="str">
        <f ca="1">IFERROR(VLOOKUP(M47,項目!DATA_AREA,8,FALSE),"N/A")</f>
        <v>N/A</v>
      </c>
      <c r="AA49" s="87" t="str">
        <f ca="1">IFERROR(VLOOKUP(N47,項目!DATA_AREA,8,FALSE),"N/A")</f>
        <v>N/A</v>
      </c>
      <c r="AB49" s="87" t="str">
        <f ca="1">IFERROR(VLOOKUP(O47,項目!DATA_AREA,8,FALSE),"N/A")</f>
        <v>N/A</v>
      </c>
      <c r="AC49" s="87" t="str">
        <f ca="1">IFERROR(VLOOKUP(P47,項目!DATA_AREA,8,FALSE),"N/A")</f>
        <v>N/A</v>
      </c>
      <c r="AI49" s="59"/>
      <c r="AJ49" s="70"/>
      <c r="AK49" s="103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26"/>
        <v>0</v>
      </c>
      <c r="U50" s="19" t="b">
        <f t="shared" si="27"/>
        <v>0</v>
      </c>
      <c r="V50" s="19" t="b">
        <f t="shared" ca="1" si="3"/>
        <v>0</v>
      </c>
      <c r="Y50" s="87" t="str">
        <f ca="1">IFERROR(VLOOKUP(L48,項目!DATA_AREA,8,FALSE),"N/A")</f>
        <v>N/A</v>
      </c>
      <c r="Z50" s="87" t="str">
        <f ca="1">IFERROR(VLOOKUP(M48,項目!DATA_AREA,8,FALSE),"N/A")</f>
        <v>N/A</v>
      </c>
      <c r="AA50" s="87" t="str">
        <f ca="1">IFERROR(VLOOKUP(N48,項目!DATA_AREA,8,FALSE),"N/A")</f>
        <v>N/A</v>
      </c>
      <c r="AB50" s="87" t="str">
        <f ca="1">IFERROR(VLOOKUP(O48,項目!DATA_AREA,8,FALSE),"N/A")</f>
        <v>N/A</v>
      </c>
      <c r="AC50" s="87" t="str">
        <f ca="1">IFERROR(VLOOKUP(P48,項目!DATA_AREA,8,FALSE),"N/A")</f>
        <v>N/A</v>
      </c>
      <c r="AI50" s="59"/>
      <c r="AJ50" s="70"/>
      <c r="AK50" s="103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2"/>
      <c r="L51" s="102"/>
      <c r="M51" s="102"/>
      <c r="N51" s="102"/>
      <c r="O51" s="102"/>
      <c r="P51" s="102"/>
      <c r="T51" s="19" t="b">
        <f t="shared" ca="1" si="26"/>
        <v>0</v>
      </c>
      <c r="U51" s="19" t="b">
        <f t="shared" si="27"/>
        <v>0</v>
      </c>
      <c r="V51" s="19" t="b">
        <f t="shared" ca="1" si="3"/>
        <v>0</v>
      </c>
      <c r="AI51" s="59"/>
      <c r="AJ51" s="70"/>
      <c r="AK51" s="103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26"/>
        <v>0</v>
      </c>
      <c r="U52" s="19" t="b">
        <f t="shared" si="27"/>
        <v>0</v>
      </c>
      <c r="V52" s="19" t="b">
        <f t="shared" ca="1" si="3"/>
        <v>0</v>
      </c>
      <c r="AI52" s="59"/>
      <c r="AJ52" s="70"/>
      <c r="AK52" s="103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182</v>
      </c>
      <c r="T53" s="19" t="b">
        <f t="shared" ca="1" si="26"/>
        <v>0</v>
      </c>
      <c r="U53" s="19" t="b">
        <f t="shared" si="27"/>
        <v>0</v>
      </c>
      <c r="V53" s="19" t="b">
        <f t="shared" ca="1" si="3"/>
        <v>0</v>
      </c>
      <c r="AI53" s="59"/>
      <c r="AJ53" s="70"/>
      <c r="AK53" s="103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26"/>
        <v>0</v>
      </c>
      <c r="U54" s="19" t="b">
        <f t="shared" si="27"/>
        <v>0</v>
      </c>
      <c r="V54" s="19" t="b">
        <f t="shared" ca="1" si="3"/>
        <v>0</v>
      </c>
      <c r="X54" s="69" t="s">
        <v>200</v>
      </c>
      <c r="AD54" s="7" t="s">
        <v>153</v>
      </c>
      <c r="AI54" s="59"/>
      <c r="AJ54" s="70"/>
      <c r="AK54" s="103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R55" s="87" t="str">
        <f t="shared" ref="R55:R64" si="38">_xlfn.CONCAT(L55:P55)</f>
        <v/>
      </c>
      <c r="T55" s="19" t="b">
        <f t="shared" ca="1" si="26"/>
        <v>0</v>
      </c>
      <c r="U55" s="19" t="b">
        <f t="shared" si="27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4" ca="1" si="39">OR(AND(M55&lt;&gt;"",ISNA(MATCH(M55,FIELDリスト,0))),COUNTIF($L55:$P55,M55)&gt;1)</f>
        <v>0</v>
      </c>
      <c r="AA55" s="19" t="b">
        <f t="shared" ref="AA55:AA64" ca="1" si="40">OR(AND(N55&lt;&gt;"",ISNA(MATCH(N55,FIELDリスト,0))),COUNTIF($L55:$P55,N55)&gt;1)</f>
        <v>0</v>
      </c>
      <c r="AB55" s="19" t="b">
        <f t="shared" ref="AB55:AB64" ca="1" si="41">OR(AND(O55&lt;&gt;"",ISNA(MATCH(O55,FIELDリスト,0))),COUNTIF($L55:$P55,O55)&gt;1)</f>
        <v>0</v>
      </c>
      <c r="AC55" s="19" t="b">
        <f t="shared" ref="AC55:AC64" ca="1" si="42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103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R56" s="87" t="str">
        <f t="shared" si="38"/>
        <v/>
      </c>
      <c r="T56" s="19" t="b">
        <f t="shared" ca="1" si="26"/>
        <v>0</v>
      </c>
      <c r="U56" s="19" t="b">
        <f t="shared" si="27"/>
        <v>0</v>
      </c>
      <c r="V56" s="19" t="b">
        <f t="shared" ca="1" si="3"/>
        <v>0</v>
      </c>
      <c r="X56" s="7" t="s">
        <v>156</v>
      </c>
      <c r="Y56" s="19" t="b">
        <f t="shared" ref="Y55:Y64" ca="1" si="43">OR(AND(L56&lt;&gt;"",ISNA(MATCH(L56,FIELDリスト,0))),COUNTIF($L56:$P56,L56)&gt;1)</f>
        <v>0</v>
      </c>
      <c r="Z56" s="19" t="b">
        <f t="shared" ca="1" si="39"/>
        <v>0</v>
      </c>
      <c r="AA56" s="19" t="b">
        <f t="shared" ca="1" si="40"/>
        <v>0</v>
      </c>
      <c r="AB56" s="19" t="b">
        <f t="shared" ca="1" si="41"/>
        <v>0</v>
      </c>
      <c r="AC56" s="19" t="b">
        <f t="shared" ca="1" si="42"/>
        <v>0</v>
      </c>
      <c r="AD56" s="19" t="b">
        <f t="shared" ref="AD56:AD64" si="44">AND(R56&lt;&gt;"",COUNTIF(R$13:R$22,R56)&gt;1)</f>
        <v>0</v>
      </c>
      <c r="AI56" s="59"/>
      <c r="AJ56" s="70"/>
      <c r="AK56" s="103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R57" s="87" t="str">
        <f t="shared" si="38"/>
        <v/>
      </c>
      <c r="T57" s="19" t="b">
        <f t="shared" ca="1" si="26"/>
        <v>0</v>
      </c>
      <c r="U57" s="19" t="b">
        <f t="shared" si="27"/>
        <v>0</v>
      </c>
      <c r="V57" s="19" t="b">
        <f t="shared" ca="1" si="3"/>
        <v>0</v>
      </c>
      <c r="Y57" s="19" t="b">
        <f t="shared" ca="1" si="43"/>
        <v>0</v>
      </c>
      <c r="Z57" s="19" t="b">
        <f t="shared" ca="1" si="39"/>
        <v>0</v>
      </c>
      <c r="AA57" s="19" t="b">
        <f t="shared" ca="1" si="40"/>
        <v>0</v>
      </c>
      <c r="AB57" s="19" t="b">
        <f t="shared" ca="1" si="41"/>
        <v>0</v>
      </c>
      <c r="AC57" s="19" t="b">
        <f t="shared" ca="1" si="42"/>
        <v>0</v>
      </c>
      <c r="AD57" s="19" t="b">
        <f t="shared" si="44"/>
        <v>0</v>
      </c>
      <c r="AI57" s="59"/>
      <c r="AJ57" s="70"/>
      <c r="AK57" s="103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R58" s="87" t="str">
        <f t="shared" si="38"/>
        <v/>
      </c>
      <c r="T58" s="19" t="b">
        <f t="shared" ca="1" si="26"/>
        <v>0</v>
      </c>
      <c r="U58" s="19" t="b">
        <f t="shared" si="27"/>
        <v>0</v>
      </c>
      <c r="V58" s="19" t="b">
        <f t="shared" ca="1" si="3"/>
        <v>0</v>
      </c>
      <c r="Y58" s="19" t="b">
        <f t="shared" ca="1" si="43"/>
        <v>0</v>
      </c>
      <c r="Z58" s="19" t="b">
        <f t="shared" ca="1" si="39"/>
        <v>0</v>
      </c>
      <c r="AA58" s="19" t="b">
        <f t="shared" ca="1" si="40"/>
        <v>0</v>
      </c>
      <c r="AB58" s="19" t="b">
        <f t="shared" ca="1" si="41"/>
        <v>0</v>
      </c>
      <c r="AC58" s="19" t="b">
        <f t="shared" ca="1" si="42"/>
        <v>0</v>
      </c>
      <c r="AD58" s="19" t="b">
        <f t="shared" si="44"/>
        <v>0</v>
      </c>
      <c r="AI58" s="59"/>
      <c r="AJ58" s="70"/>
      <c r="AK58" s="103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R59" s="87" t="str">
        <f t="shared" si="38"/>
        <v/>
      </c>
      <c r="T59" s="19" t="b">
        <f t="shared" ca="1" si="26"/>
        <v>0</v>
      </c>
      <c r="U59" s="19" t="b">
        <f t="shared" si="27"/>
        <v>0</v>
      </c>
      <c r="V59" s="19" t="b">
        <f t="shared" ca="1" si="3"/>
        <v>0</v>
      </c>
      <c r="Y59" s="19" t="b">
        <f t="shared" ca="1" si="43"/>
        <v>0</v>
      </c>
      <c r="Z59" s="19" t="b">
        <f t="shared" ca="1" si="39"/>
        <v>0</v>
      </c>
      <c r="AA59" s="19" t="b">
        <f t="shared" ca="1" si="40"/>
        <v>0</v>
      </c>
      <c r="AB59" s="19" t="b">
        <f t="shared" ca="1" si="41"/>
        <v>0</v>
      </c>
      <c r="AC59" s="19" t="b">
        <f t="shared" ca="1" si="42"/>
        <v>0</v>
      </c>
      <c r="AD59" s="19" t="b">
        <f t="shared" si="44"/>
        <v>0</v>
      </c>
      <c r="AI59" s="59"/>
      <c r="AJ59" s="70"/>
      <c r="AK59" s="103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R60" s="87" t="str">
        <f t="shared" si="38"/>
        <v/>
      </c>
      <c r="T60" s="19" t="b">
        <f t="shared" ca="1" si="26"/>
        <v>0</v>
      </c>
      <c r="U60" s="19" t="b">
        <f t="shared" si="27"/>
        <v>0</v>
      </c>
      <c r="V60" s="19" t="b">
        <f t="shared" ca="1" si="3"/>
        <v>0</v>
      </c>
      <c r="Y60" s="19" t="b">
        <f t="shared" ca="1" si="43"/>
        <v>0</v>
      </c>
      <c r="Z60" s="19" t="b">
        <f t="shared" ca="1" si="39"/>
        <v>0</v>
      </c>
      <c r="AA60" s="19" t="b">
        <f t="shared" ca="1" si="40"/>
        <v>0</v>
      </c>
      <c r="AB60" s="19" t="b">
        <f t="shared" ca="1" si="41"/>
        <v>0</v>
      </c>
      <c r="AC60" s="19" t="b">
        <f t="shared" ca="1" si="42"/>
        <v>0</v>
      </c>
      <c r="AD60" s="19" t="b">
        <f t="shared" si="44"/>
        <v>0</v>
      </c>
      <c r="AI60" s="59"/>
      <c r="AJ60" s="70"/>
      <c r="AK60" s="103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R61" s="87" t="str">
        <f t="shared" si="38"/>
        <v/>
      </c>
      <c r="T61" s="19" t="b">
        <f t="shared" ca="1" si="26"/>
        <v>0</v>
      </c>
      <c r="U61" s="19" t="b">
        <f t="shared" si="27"/>
        <v>0</v>
      </c>
      <c r="V61" s="19" t="b">
        <f t="shared" ca="1" si="3"/>
        <v>0</v>
      </c>
      <c r="Y61" s="19" t="b">
        <f t="shared" ca="1" si="43"/>
        <v>0</v>
      </c>
      <c r="Z61" s="19" t="b">
        <f t="shared" ca="1" si="39"/>
        <v>0</v>
      </c>
      <c r="AA61" s="19" t="b">
        <f t="shared" ca="1" si="40"/>
        <v>0</v>
      </c>
      <c r="AB61" s="19" t="b">
        <f t="shared" ca="1" si="41"/>
        <v>0</v>
      </c>
      <c r="AC61" s="19" t="b">
        <f t="shared" ca="1" si="42"/>
        <v>0</v>
      </c>
      <c r="AD61" s="19" t="b">
        <f t="shared" si="44"/>
        <v>0</v>
      </c>
      <c r="AI61" s="59"/>
      <c r="AJ61" s="70"/>
      <c r="AK61" s="103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R62" s="87" t="str">
        <f t="shared" si="38"/>
        <v/>
      </c>
      <c r="T62" s="19" t="b">
        <f t="shared" ca="1" si="26"/>
        <v>0</v>
      </c>
      <c r="U62" s="19" t="b">
        <f t="shared" si="27"/>
        <v>0</v>
      </c>
      <c r="V62" s="19" t="b">
        <f t="shared" ca="1" si="3"/>
        <v>0</v>
      </c>
      <c r="Y62" s="19" t="b">
        <f t="shared" ca="1" si="43"/>
        <v>0</v>
      </c>
      <c r="Z62" s="19" t="b">
        <f t="shared" ca="1" si="39"/>
        <v>0</v>
      </c>
      <c r="AA62" s="19" t="b">
        <f t="shared" ca="1" si="40"/>
        <v>0</v>
      </c>
      <c r="AB62" s="19" t="b">
        <f t="shared" ca="1" si="41"/>
        <v>0</v>
      </c>
      <c r="AC62" s="19" t="b">
        <f t="shared" ca="1" si="42"/>
        <v>0</v>
      </c>
      <c r="AD62" s="19" t="b">
        <f t="shared" si="44"/>
        <v>0</v>
      </c>
      <c r="AI62" s="59"/>
      <c r="AJ62" s="70"/>
      <c r="AK62" s="103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R63" s="87" t="str">
        <f t="shared" si="38"/>
        <v/>
      </c>
      <c r="T63" s="19" t="b">
        <f t="shared" ca="1" si="26"/>
        <v>0</v>
      </c>
      <c r="U63" s="19" t="b">
        <f t="shared" si="27"/>
        <v>0</v>
      </c>
      <c r="V63" s="19" t="b">
        <f t="shared" ca="1" si="3"/>
        <v>0</v>
      </c>
      <c r="Y63" s="19" t="b">
        <f t="shared" ca="1" si="43"/>
        <v>0</v>
      </c>
      <c r="Z63" s="19" t="b">
        <f t="shared" ca="1" si="39"/>
        <v>0</v>
      </c>
      <c r="AA63" s="19" t="b">
        <f t="shared" ca="1" si="40"/>
        <v>0</v>
      </c>
      <c r="AB63" s="19" t="b">
        <f t="shared" ca="1" si="41"/>
        <v>0</v>
      </c>
      <c r="AC63" s="19" t="b">
        <f t="shared" ca="1" si="42"/>
        <v>0</v>
      </c>
      <c r="AD63" s="19" t="b">
        <f t="shared" si="44"/>
        <v>0</v>
      </c>
      <c r="AI63" s="59"/>
      <c r="AJ63" s="70"/>
      <c r="AK63" s="103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R64" s="87" t="str">
        <f t="shared" si="38"/>
        <v/>
      </c>
      <c r="T64" s="19" t="b">
        <f t="shared" ca="1" si="26"/>
        <v>0</v>
      </c>
      <c r="U64" s="19" t="b">
        <f t="shared" si="27"/>
        <v>0</v>
      </c>
      <c r="V64" s="19" t="b">
        <f t="shared" ca="1" si="3"/>
        <v>0</v>
      </c>
      <c r="Y64" s="19" t="b">
        <f t="shared" ca="1" si="43"/>
        <v>0</v>
      </c>
      <c r="Z64" s="19" t="b">
        <f t="shared" ca="1" si="39"/>
        <v>0</v>
      </c>
      <c r="AA64" s="19" t="b">
        <f t="shared" ca="1" si="40"/>
        <v>0</v>
      </c>
      <c r="AB64" s="19" t="b">
        <f t="shared" ca="1" si="41"/>
        <v>0</v>
      </c>
      <c r="AC64" s="19" t="b">
        <f t="shared" ca="1" si="42"/>
        <v>0</v>
      </c>
      <c r="AD64" s="19" t="b">
        <f t="shared" si="44"/>
        <v>0</v>
      </c>
      <c r="AI64" s="59"/>
      <c r="AJ64" s="70"/>
      <c r="AK64" s="103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26"/>
        <v>0</v>
      </c>
      <c r="U65" s="19" t="b">
        <f t="shared" si="27"/>
        <v>0</v>
      </c>
      <c r="V65" s="19" t="b">
        <f t="shared" ca="1" si="3"/>
        <v>0</v>
      </c>
      <c r="AI65" s="59"/>
      <c r="AJ65" s="70"/>
      <c r="AK65" s="103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26"/>
        <v>0</v>
      </c>
      <c r="U66" s="19" t="b">
        <f t="shared" si="27"/>
        <v>0</v>
      </c>
      <c r="V66" s="19" t="b">
        <f t="shared" ca="1" si="3"/>
        <v>0</v>
      </c>
      <c r="AI66" s="59"/>
      <c r="AJ66" s="70"/>
      <c r="AK66" s="103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26"/>
        <v>0</v>
      </c>
      <c r="U67" s="19" t="b">
        <f t="shared" si="27"/>
        <v>0</v>
      </c>
      <c r="V67" s="19" t="b">
        <f t="shared" ca="1" si="3"/>
        <v>0</v>
      </c>
      <c r="AI67" s="59"/>
      <c r="AJ67" s="70"/>
      <c r="AK67" s="103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26"/>
        <v>0</v>
      </c>
      <c r="U68" s="19" t="b">
        <f t="shared" si="27"/>
        <v>0</v>
      </c>
      <c r="V68" s="19" t="b">
        <f t="shared" ca="1" si="3"/>
        <v>0</v>
      </c>
      <c r="AI68" s="59"/>
      <c r="AJ68" s="70"/>
      <c r="AK68" s="103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26"/>
        <v>0</v>
      </c>
      <c r="U69" s="19" t="b">
        <f t="shared" si="27"/>
        <v>0</v>
      </c>
      <c r="V69" s="19" t="b">
        <f t="shared" ca="1" si="3"/>
        <v>0</v>
      </c>
      <c r="AI69" s="59"/>
      <c r="AJ69" s="70"/>
      <c r="AK69" s="103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45">AND(B70&lt;&gt;"",ISNA(MATCH(B70,項目リスト,0)))</f>
        <v>0</v>
      </c>
      <c r="U70" s="19" t="b">
        <f t="shared" ref="U70:U105" si="46">COUNTIF(FIELD_NAME,B70)&gt;1</f>
        <v>0</v>
      </c>
      <c r="V70" s="19" t="b">
        <f t="shared" ca="1" si="3"/>
        <v>0</v>
      </c>
      <c r="AI70" s="59"/>
      <c r="AJ70" s="70"/>
      <c r="AK70" s="103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45"/>
        <v>0</v>
      </c>
      <c r="U71" s="19" t="b">
        <f t="shared" si="46"/>
        <v>0</v>
      </c>
      <c r="V71" s="19" t="b">
        <f t="shared" ca="1" si="3"/>
        <v>0</v>
      </c>
      <c r="AI71" s="59"/>
      <c r="AJ71" s="70"/>
      <c r="AK71" s="103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45"/>
        <v>0</v>
      </c>
      <c r="U72" s="19" t="b">
        <f t="shared" si="46"/>
        <v>0</v>
      </c>
      <c r="V72" s="19" t="b">
        <f t="shared" ca="1" si="3"/>
        <v>0</v>
      </c>
      <c r="AI72" s="59"/>
      <c r="AJ72" s="70"/>
      <c r="AK72" s="103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45"/>
        <v>0</v>
      </c>
      <c r="U73" s="19" t="b">
        <f t="shared" si="46"/>
        <v>0</v>
      </c>
      <c r="V73" s="19" t="b">
        <f t="shared" ref="V73:V105" ca="1" si="47">AND(E73="",H73&lt;&gt;"",H73)</f>
        <v>0</v>
      </c>
      <c r="AI73" s="59"/>
      <c r="AJ73" s="70"/>
      <c r="AK73" s="103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45"/>
        <v>0</v>
      </c>
      <c r="U74" s="19" t="b">
        <f t="shared" si="46"/>
        <v>0</v>
      </c>
      <c r="V74" s="19" t="b">
        <f t="shared" ca="1" si="47"/>
        <v>0</v>
      </c>
      <c r="AI74" s="59"/>
      <c r="AJ74" s="70"/>
      <c r="AK74" s="103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45"/>
        <v>0</v>
      </c>
      <c r="U75" s="19" t="b">
        <f t="shared" si="46"/>
        <v>0</v>
      </c>
      <c r="V75" s="19" t="b">
        <f t="shared" ca="1" si="47"/>
        <v>0</v>
      </c>
      <c r="AI75" s="59"/>
      <c r="AJ75" s="70"/>
      <c r="AK75" s="103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45"/>
        <v>0</v>
      </c>
      <c r="U76" s="19" t="b">
        <f t="shared" si="46"/>
        <v>0</v>
      </c>
      <c r="V76" s="19" t="b">
        <f t="shared" ca="1" si="47"/>
        <v>0</v>
      </c>
      <c r="AI76" s="59"/>
      <c r="AJ76" s="70"/>
      <c r="AK76" s="103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45"/>
        <v>0</v>
      </c>
      <c r="U77" s="19" t="b">
        <f t="shared" si="46"/>
        <v>0</v>
      </c>
      <c r="V77" s="19" t="b">
        <f t="shared" ca="1" si="47"/>
        <v>0</v>
      </c>
      <c r="AI77" s="59"/>
      <c r="AJ77" s="70"/>
      <c r="AK77" s="103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45"/>
        <v>0</v>
      </c>
      <c r="U78" s="19" t="b">
        <f t="shared" si="46"/>
        <v>0</v>
      </c>
      <c r="V78" s="19" t="b">
        <f t="shared" ca="1" si="47"/>
        <v>0</v>
      </c>
      <c r="AI78" s="59"/>
      <c r="AJ78" s="70"/>
      <c r="AK78" s="103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45"/>
        <v>0</v>
      </c>
      <c r="U79" s="19" t="b">
        <f t="shared" si="46"/>
        <v>0</v>
      </c>
      <c r="V79" s="19" t="b">
        <f t="shared" ca="1" si="47"/>
        <v>0</v>
      </c>
      <c r="AI79" s="59"/>
      <c r="AJ79" s="70"/>
      <c r="AK79" s="103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45"/>
        <v>0</v>
      </c>
      <c r="U80" s="19" t="b">
        <f t="shared" si="46"/>
        <v>0</v>
      </c>
      <c r="V80" s="19" t="b">
        <f t="shared" ca="1" si="47"/>
        <v>0</v>
      </c>
      <c r="AI80" s="59"/>
      <c r="AJ80" s="70"/>
      <c r="AK80" s="103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45"/>
        <v>0</v>
      </c>
      <c r="U81" s="19" t="b">
        <f t="shared" si="46"/>
        <v>0</v>
      </c>
      <c r="V81" s="19" t="b">
        <f t="shared" ca="1" si="47"/>
        <v>0</v>
      </c>
      <c r="AI81" s="59"/>
      <c r="AJ81" s="70"/>
      <c r="AK81" s="103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45"/>
        <v>0</v>
      </c>
      <c r="U82" s="19" t="b">
        <f t="shared" si="46"/>
        <v>0</v>
      </c>
      <c r="V82" s="19" t="b">
        <f t="shared" ca="1" si="47"/>
        <v>0</v>
      </c>
      <c r="AI82" s="59"/>
      <c r="AJ82" s="70"/>
      <c r="AK82" s="103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45"/>
        <v>0</v>
      </c>
      <c r="U83" s="19" t="b">
        <f t="shared" si="46"/>
        <v>0</v>
      </c>
      <c r="V83" s="19" t="b">
        <f t="shared" ca="1" si="47"/>
        <v>0</v>
      </c>
      <c r="AI83" s="59"/>
      <c r="AJ83" s="70"/>
      <c r="AK83" s="103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45"/>
        <v>0</v>
      </c>
      <c r="U84" s="19" t="b">
        <f t="shared" si="46"/>
        <v>0</v>
      </c>
      <c r="V84" s="19" t="b">
        <f t="shared" ca="1" si="47"/>
        <v>0</v>
      </c>
      <c r="AI84" s="59"/>
      <c r="AJ84" s="70"/>
      <c r="AK84" s="103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45"/>
        <v>0</v>
      </c>
      <c r="U85" s="19" t="b">
        <f t="shared" si="46"/>
        <v>0</v>
      </c>
      <c r="V85" s="19" t="b">
        <f t="shared" ca="1" si="47"/>
        <v>0</v>
      </c>
      <c r="AI85" s="59"/>
      <c r="AJ85" s="70"/>
      <c r="AK85" s="103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45"/>
        <v>0</v>
      </c>
      <c r="U86" s="19" t="b">
        <f t="shared" si="46"/>
        <v>0</v>
      </c>
      <c r="V86" s="19" t="b">
        <f t="shared" ca="1" si="47"/>
        <v>0</v>
      </c>
      <c r="AI86" s="59"/>
      <c r="AJ86" s="70"/>
      <c r="AK86" s="103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45"/>
        <v>0</v>
      </c>
      <c r="U87" s="19" t="b">
        <f t="shared" si="46"/>
        <v>0</v>
      </c>
      <c r="V87" s="19" t="b">
        <f t="shared" ca="1" si="47"/>
        <v>0</v>
      </c>
      <c r="AI87" s="59"/>
      <c r="AJ87" s="70"/>
      <c r="AK87" s="103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45"/>
        <v>0</v>
      </c>
      <c r="U88" s="19" t="b">
        <f t="shared" si="46"/>
        <v>0</v>
      </c>
      <c r="V88" s="19" t="b">
        <f t="shared" ca="1" si="47"/>
        <v>0</v>
      </c>
      <c r="AI88" s="59"/>
      <c r="AJ88" s="70"/>
      <c r="AK88" s="103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45"/>
        <v>0</v>
      </c>
      <c r="U89" s="19" t="b">
        <f t="shared" si="46"/>
        <v>0</v>
      </c>
      <c r="V89" s="19" t="b">
        <f t="shared" ca="1" si="47"/>
        <v>0</v>
      </c>
      <c r="AI89" s="59"/>
      <c r="AJ89" s="70"/>
      <c r="AK89" s="103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45"/>
        <v>0</v>
      </c>
      <c r="U90" s="19" t="b">
        <f t="shared" si="46"/>
        <v>0</v>
      </c>
      <c r="V90" s="19" t="b">
        <f t="shared" ca="1" si="47"/>
        <v>0</v>
      </c>
      <c r="AI90" s="59"/>
      <c r="AJ90" s="70"/>
      <c r="AK90" s="103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45"/>
        <v>0</v>
      </c>
      <c r="U91" s="19" t="b">
        <f t="shared" si="46"/>
        <v>0</v>
      </c>
      <c r="V91" s="19" t="b">
        <f t="shared" ca="1" si="47"/>
        <v>0</v>
      </c>
      <c r="AI91" s="59"/>
      <c r="AJ91" s="70"/>
      <c r="AK91" s="103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45"/>
        <v>0</v>
      </c>
      <c r="U92" s="19" t="b">
        <f t="shared" si="46"/>
        <v>0</v>
      </c>
      <c r="V92" s="19" t="b">
        <f t="shared" ca="1" si="47"/>
        <v>0</v>
      </c>
      <c r="AI92" s="59"/>
      <c r="AJ92" s="70"/>
      <c r="AK92" s="103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45"/>
        <v>0</v>
      </c>
      <c r="U93" s="19" t="b">
        <f t="shared" si="46"/>
        <v>0</v>
      </c>
      <c r="V93" s="19" t="b">
        <f t="shared" ca="1" si="47"/>
        <v>0</v>
      </c>
      <c r="AI93" s="59"/>
      <c r="AJ93" s="70"/>
      <c r="AK93" s="103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45"/>
        <v>0</v>
      </c>
      <c r="U94" s="19" t="b">
        <f t="shared" si="46"/>
        <v>0</v>
      </c>
      <c r="V94" s="19" t="b">
        <f t="shared" ca="1" si="47"/>
        <v>0</v>
      </c>
      <c r="AI94" s="59"/>
      <c r="AJ94" s="70"/>
      <c r="AK94" s="103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45"/>
        <v>0</v>
      </c>
      <c r="U95" s="19" t="b">
        <f t="shared" si="46"/>
        <v>0</v>
      </c>
      <c r="V95" s="19" t="b">
        <f t="shared" ca="1" si="47"/>
        <v>0</v>
      </c>
      <c r="AI95" s="59"/>
      <c r="AJ95" s="70"/>
      <c r="AK95" s="103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45"/>
        <v>0</v>
      </c>
      <c r="U96" s="19" t="b">
        <f t="shared" si="46"/>
        <v>0</v>
      </c>
      <c r="V96" s="19" t="b">
        <f t="shared" ca="1" si="47"/>
        <v>0</v>
      </c>
      <c r="AI96" s="59"/>
      <c r="AJ96" s="70"/>
      <c r="AK96" s="103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45"/>
        <v>0</v>
      </c>
      <c r="U97" s="19" t="b">
        <f t="shared" si="46"/>
        <v>0</v>
      </c>
      <c r="V97" s="19" t="b">
        <f t="shared" ca="1" si="47"/>
        <v>0</v>
      </c>
      <c r="AI97" s="59"/>
      <c r="AJ97" s="70"/>
      <c r="AK97" s="103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45"/>
        <v>0</v>
      </c>
      <c r="U98" s="19" t="b">
        <f t="shared" si="46"/>
        <v>0</v>
      </c>
      <c r="V98" s="19" t="b">
        <f t="shared" ca="1" si="47"/>
        <v>0</v>
      </c>
      <c r="AI98" s="59"/>
      <c r="AJ98" s="70"/>
      <c r="AK98" s="103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45"/>
        <v>0</v>
      </c>
      <c r="U99" s="19" t="b">
        <f t="shared" si="46"/>
        <v>0</v>
      </c>
      <c r="V99" s="19" t="b">
        <f t="shared" ca="1" si="47"/>
        <v>0</v>
      </c>
      <c r="AI99" s="59"/>
      <c r="AJ99" s="70"/>
      <c r="AK99" s="103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45"/>
        <v>0</v>
      </c>
      <c r="U100" s="19" t="b">
        <f t="shared" si="46"/>
        <v>0</v>
      </c>
      <c r="V100" s="19" t="b">
        <f t="shared" ca="1" si="47"/>
        <v>0</v>
      </c>
      <c r="AI100" s="59"/>
      <c r="AJ100" s="70"/>
      <c r="AK100" s="103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45"/>
        <v>0</v>
      </c>
      <c r="U101" s="19" t="b">
        <f t="shared" si="46"/>
        <v>0</v>
      </c>
      <c r="V101" s="19" t="b">
        <f t="shared" ca="1" si="47"/>
        <v>0</v>
      </c>
      <c r="AI101" s="59"/>
      <c r="AJ101" s="70"/>
      <c r="AK101" s="103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45"/>
        <v>0</v>
      </c>
      <c r="U102" s="19" t="b">
        <f t="shared" si="46"/>
        <v>0</v>
      </c>
      <c r="V102" s="19" t="b">
        <f t="shared" ca="1" si="47"/>
        <v>0</v>
      </c>
      <c r="AI102" s="59"/>
      <c r="AJ102" s="70"/>
      <c r="AK102" s="103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45"/>
        <v>0</v>
      </c>
      <c r="U103" s="19" t="b">
        <f t="shared" si="46"/>
        <v>0</v>
      </c>
      <c r="V103" s="19" t="b">
        <f t="shared" ca="1" si="47"/>
        <v>0</v>
      </c>
      <c r="AI103" s="59"/>
      <c r="AJ103" s="70"/>
      <c r="AK103" s="103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45"/>
        <v>0</v>
      </c>
      <c r="U104" s="19" t="b">
        <f t="shared" si="46"/>
        <v>0</v>
      </c>
      <c r="V104" s="19" t="b">
        <f t="shared" ca="1" si="47"/>
        <v>0</v>
      </c>
      <c r="AI104" s="59"/>
      <c r="AJ104" s="70"/>
      <c r="AK104" s="103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45"/>
        <v>0</v>
      </c>
      <c r="U105" s="19" t="b">
        <f t="shared" si="46"/>
        <v>0</v>
      </c>
      <c r="V105" s="19" t="b">
        <f t="shared" ca="1" si="47"/>
        <v>0</v>
      </c>
      <c r="AI105" s="59"/>
      <c r="AJ105" s="70"/>
      <c r="AK105" s="103"/>
      <c r="AL105" s="87"/>
      <c r="AM105" s="87"/>
      <c r="AN105" s="87"/>
      <c r="AO105" s="87"/>
      <c r="AP105" s="87"/>
    </row>
  </sheetData>
  <phoneticPr fontId="2"/>
  <conditionalFormatting sqref="B2:C2">
    <cfRule type="expression" dxfId="19" priority="136">
      <formula>ISERROR(B2)</formula>
    </cfRule>
  </conditionalFormatting>
  <conditionalFormatting sqref="B6:B105">
    <cfRule type="expression" dxfId="18" priority="133">
      <formula>COUNTIF(FIELD_NAME,B6)&gt;1</formula>
    </cfRule>
    <cfRule type="expression" dxfId="17" priority="134">
      <formula>AND($B6&lt;&gt;"",ISNA(MATCH($B6,項目リスト,0)))</formula>
    </cfRule>
  </conditionalFormatting>
  <conditionalFormatting sqref="B6">
    <cfRule type="expression" dxfId="16" priority="128">
      <formula>$AI$6="N/A"</formula>
    </cfRule>
  </conditionalFormatting>
  <conditionalFormatting sqref="D1">
    <cfRule type="cellIs" dxfId="15" priority="117" operator="greaterThan">
      <formula>0</formula>
    </cfRule>
  </conditionalFormatting>
  <conditionalFormatting sqref="L8:P8">
    <cfRule type="expression" dxfId="14" priority="148">
      <formula>Y8</formula>
    </cfRule>
    <cfRule type="expression" dxfId="13" priority="149">
      <formula>Y7</formula>
    </cfRule>
  </conditionalFormatting>
  <conditionalFormatting sqref="L13:P22 K33 K38 K43 K48">
    <cfRule type="expression" dxfId="12" priority="80">
      <formula>X13</formula>
    </cfRule>
    <cfRule type="expression" dxfId="11" priority="81">
      <formula>$AD13</formula>
    </cfRule>
  </conditionalFormatting>
  <conditionalFormatting sqref="L8">
    <cfRule type="expression" dxfId="10" priority="147">
      <formula>$AG$7</formula>
    </cfRule>
  </conditionalFormatting>
  <conditionalFormatting sqref="L55:P64">
    <cfRule type="expression" dxfId="1" priority="13">
      <formula>Y55</formula>
    </cfRule>
    <cfRule type="expression" dxfId="0" priority="14">
      <formula>$AD55</formula>
    </cfRule>
  </conditionalFormatting>
  <conditionalFormatting sqref="L27:P28 L32:P33 L37:P38 L42:P43 L47:P48">
    <cfRule type="expression" dxfId="9" priority="4">
      <formula>Y27</formula>
    </cfRule>
  </conditionalFormatting>
  <conditionalFormatting sqref="L27:P27 L32:P32 L37:P37 L42:P42 L47:P47">
    <cfRule type="expression" dxfId="8" priority="151">
      <formula>Y26</formula>
    </cfRule>
    <cfRule type="expression" dxfId="7" priority="2">
      <formula>$AD27</formula>
    </cfRule>
  </conditionalFormatting>
  <conditionalFormatting sqref="L28:P28 L33:P33 L38:P38 L43:P43 L48:P48">
    <cfRule type="expression" dxfId="6" priority="150">
      <formula>Y26</formula>
    </cfRule>
    <cfRule type="expression" dxfId="5" priority="1">
      <formula>$AD27</formula>
    </cfRule>
  </conditionalFormatting>
  <conditionalFormatting sqref="K28">
    <cfRule type="expression" dxfId="4" priority="152">
      <formula>X28</formula>
    </cfRule>
    <cfRule type="expression" dxfId="3" priority="153">
      <formula>$AD27</formula>
    </cfRule>
  </conditionalFormatting>
  <conditionalFormatting sqref="L27 L32 L37 L42 L47">
    <cfRule type="expression" dxfId="2" priority="3">
      <formula>$AD26</formula>
    </cfRule>
  </conditionalFormatting>
  <dataValidations count="14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2:P42 L55:P64 L32:P32 L37:P37 L27:P27 L47:P47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K28 K33 K38 K43 K48" xr:uid="{AEAF8842-E34A-4D00-862A-658966EF398B}">
      <formula1>TABLEリスト</formula1>
    </dataValidation>
    <dataValidation type="list" allowBlank="1" showInputMessage="1" showErrorMessage="1" sqref="L28:P28" xr:uid="{AC9D560D-984E-48B0-890B-F98F9502D102}">
      <formula1>FK_FIELD_1</formula1>
    </dataValidation>
    <dataValidation type="list" allowBlank="1" showInputMessage="1" showErrorMessage="1" sqref="L33:P33" xr:uid="{A4A1CE34-2A1D-419F-8AC9-1F0D949466B0}">
      <formula1>FK_FIELD_2</formula1>
    </dataValidation>
    <dataValidation type="list" allowBlank="1" showInputMessage="1" showErrorMessage="1" sqref="L38:P38" xr:uid="{EE0CB158-2F28-4B39-B2AB-F94F72704E43}">
      <formula1>FK_FIELD_3</formula1>
    </dataValidation>
    <dataValidation type="list" allowBlank="1" showInputMessage="1" showErrorMessage="1" sqref="L43:P43" xr:uid="{8ADB48E4-592E-4150-9879-27E24359FFF0}">
      <formula1>FK_FIELD_4</formula1>
    </dataValidation>
    <dataValidation type="list" allowBlank="1" showInputMessage="1" showErrorMessage="1" sqref="L48:P48" xr:uid="{6A2DFBF2-E136-4BE1-8068-9B2922FCD72B}">
      <formula1>FK_FIELD_5</formula1>
    </dataValidation>
    <dataValidation type="list" allowBlank="1" showInputMessage="1" showErrorMessage="1" sqref="L29 N29 L34 N34 L39 N39 L44 N44 L49 N49" xr:uid="{A82DF3A0-9D85-44AE-AF00-1791FD13BA50}">
      <formula1>FK_OPTION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8EC69-64F2-4ADA-898D-DDCE82099745}">
  <sheetPr codeName="template1">
    <tabColor rgb="FFFFFFFF"/>
  </sheetPr>
  <dimension ref="A1:AP10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158</v>
      </c>
      <c r="F2" s="90" t="s">
        <v>168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184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4" t="s">
        <v>190</v>
      </c>
      <c r="AJ4" s="104" t="s">
        <v>191</v>
      </c>
      <c r="AK4" s="104" t="s">
        <v>8</v>
      </c>
      <c r="AL4" s="104" t="s">
        <v>185</v>
      </c>
      <c r="AM4" s="104" t="s">
        <v>186</v>
      </c>
      <c r="AN4" s="104" t="s">
        <v>187</v>
      </c>
      <c r="AO4" s="104" t="s">
        <v>188</v>
      </c>
      <c r="AP4" s="104" t="s">
        <v>189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103">
        <f>COUNTA(AK6:AK105)</f>
        <v>2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171</v>
      </c>
      <c r="AJ6" s="70" t="s">
        <v>171</v>
      </c>
      <c r="AK6" s="103" t="s">
        <v>146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47</v>
      </c>
      <c r="AJ7" s="70" t="s">
        <v>47</v>
      </c>
      <c r="AK7" s="103" t="s">
        <v>175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32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51</v>
      </c>
      <c r="AK8" s="103"/>
      <c r="AL8" s="87"/>
      <c r="AM8" s="87"/>
      <c r="AN8" s="87"/>
      <c r="AO8" s="87"/>
      <c r="AP8" s="87"/>
    </row>
    <row r="9" spans="1:42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51</v>
      </c>
      <c r="AJ9" s="70" t="s">
        <v>21</v>
      </c>
      <c r="AK9" s="103"/>
      <c r="AL9" s="87"/>
      <c r="AM9" s="87"/>
      <c r="AN9" s="87"/>
      <c r="AO9" s="87"/>
      <c r="AP9" s="87"/>
    </row>
    <row r="10" spans="1:42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21</v>
      </c>
      <c r="AJ10" s="70"/>
      <c r="AK10" s="103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3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198</v>
      </c>
      <c r="AF12" s="7" t="s">
        <v>197</v>
      </c>
      <c r="AG12" s="7" t="b">
        <f ca="1">OR($Y$26:$AC$26,$Y$31:$AC$31,$Y$36:$AC$36,$Y$41:$AC$41,$Y$46:$AC$46)</f>
        <v>0</v>
      </c>
      <c r="AI12" s="59"/>
      <c r="AJ12" s="70"/>
      <c r="AK12" s="103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47</v>
      </c>
      <c r="M13" s="77" t="s">
        <v>31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3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0">_xlfn.CONCAT(L14:P14)</f>
        <v>登録日</v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199</v>
      </c>
      <c r="AG14" s="7" t="b">
        <f>OR($AD$26,$AD$31,$AD$36,$AD$41,$AD$46)</f>
        <v>0</v>
      </c>
      <c r="AI14" s="59"/>
      <c r="AJ14" s="70"/>
      <c r="AK14" s="103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3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3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3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3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3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3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3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3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3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196</v>
      </c>
      <c r="AI24" s="59"/>
      <c r="AJ24" s="70"/>
      <c r="AK24" s="103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197</v>
      </c>
      <c r="AD25" s="7" t="s">
        <v>199</v>
      </c>
      <c r="AI25" s="59"/>
      <c r="AJ25" s="70"/>
      <c r="AK25" s="103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>
        <v>1</v>
      </c>
      <c r="L26" s="106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AND(K28&lt;&gt;"",R27="")</f>
        <v>0</v>
      </c>
      <c r="AE26" s="7" t="s">
        <v>199</v>
      </c>
      <c r="AI26" s="59"/>
      <c r="AJ26" s="70"/>
      <c r="AK26" s="103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8" t="s">
        <v>179</v>
      </c>
      <c r="L27" s="96"/>
      <c r="M27" s="77"/>
      <c r="N27" s="77"/>
      <c r="O27" s="77"/>
      <c r="P27" s="78"/>
      <c r="R27" s="87" t="str">
        <f>_xlfn.CONCAT(L27:P27)</f>
        <v/>
      </c>
      <c r="S27" s="70" t="str">
        <f>_xlfn.CONCAT(K28,R27)</f>
        <v/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t="shared" ref="Y27:Y28" ca="1" si="12">OR(AND(L27&lt;&gt;"",ISNA(MATCH(L27,FIELDリスト,0))),COUNTIF($L27:$P27,L27)&gt;1)</f>
        <v>0</v>
      </c>
      <c r="Z27" s="19" t="b">
        <f t="shared" ref="Z27:Z28" ca="1" si="13">OR(AND(M27&lt;&gt;"",ISNA(MATCH(M27,FIELDリスト,0))),COUNTIF($L27:$P27,M27)&gt;1)</f>
        <v>0</v>
      </c>
      <c r="AA27" s="19" t="b">
        <f t="shared" ref="AA27:AA28" ca="1" si="14">OR(AND(N27&lt;&gt;"",ISNA(MATCH(N27,FIELDリスト,0))),COUNTIF($L27:$P27,N27)&gt;1)</f>
        <v>0</v>
      </c>
      <c r="AB27" s="19" t="b">
        <f t="shared" ref="AB27:AB28" ca="1" si="15">OR(AND(O27&lt;&gt;"",ISNA(MATCH(O27,FIELDリスト,0))),COUNTIF($L27:$P27,O27)&gt;1)</f>
        <v>0</v>
      </c>
      <c r="AC27" s="19" t="b">
        <f t="shared" ref="AC27:AC28" ca="1" si="16">OR(AND(P27&lt;&gt;"",ISNA(MATCH(P27,FIELDリスト,0))),COUNTIF($L27:$P27,P27)&gt;1)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3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99"/>
      <c r="L28" s="97"/>
      <c r="M28" s="85"/>
      <c r="N28" s="85"/>
      <c r="O28" s="85"/>
      <c r="P28" s="86"/>
      <c r="R28" s="87" t="str">
        <f>_xlfn.CONCAT(L28:P28)</f>
        <v/>
      </c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OR(AND(L28&lt;&gt;"",ISNA(MATCH(L28,FK_FIELD_1,0))),COUNTIF($L28:$P28,L28)&gt;1)</f>
        <v>0</v>
      </c>
      <c r="Z28" s="19" t="b">
        <f ca="1">OR(AND(M28&lt;&gt;"",ISNA(MATCH(M28,FK_FIELD_1,0))),COUNTIF($L28:$P28,M28)&gt;1)</f>
        <v>0</v>
      </c>
      <c r="AA28" s="19" t="b">
        <f ca="1">OR(AND(N28&lt;&gt;"",ISNA(MATCH(N28,FK_FIELD_1,0))),COUNTIF($L28:$P28,N28)&gt;1)</f>
        <v>0</v>
      </c>
      <c r="AB28" s="19" t="b">
        <f ca="1">OR(AND(O28&lt;&gt;"",ISNA(MATCH(O28,FK_FIELD_1,0))),COUNTIF($L28:$P28,O28)&gt;1)</f>
        <v>0</v>
      </c>
      <c r="AC28" s="19" t="b">
        <f ca="1">OR(AND(P28&lt;&gt;"",ISNA(MATCH(P28,FK_FIELD_1,0))),COUNTIF($L28:$P28,P28)&gt;1)</f>
        <v>0</v>
      </c>
      <c r="AI28" s="59"/>
      <c r="AJ28" s="70"/>
      <c r="AK28" s="103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0" t="s">
        <v>180</v>
      </c>
      <c r="L29" s="101"/>
      <c r="M29" s="100" t="s">
        <v>181</v>
      </c>
      <c r="N29" s="101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IFERROR(VLOOKUP(L27,項目!DATA_AREA,8,FALSE),"N/A")</f>
        <v>N/A</v>
      </c>
      <c r="Z29" s="87" t="str">
        <f ca="1">IFERROR(VLOOKUP(M27,項目!DATA_AREA,8,FALSE),"N/A")</f>
        <v>N/A</v>
      </c>
      <c r="AA29" s="87" t="str">
        <f ca="1">IFERROR(VLOOKUP(N27,項目!DATA_AREA,8,FALSE),"N/A")</f>
        <v>N/A</v>
      </c>
      <c r="AB29" s="87" t="str">
        <f ca="1">IFERROR(VLOOKUP(O27,項目!DATA_AREA,8,FALSE),"N/A")</f>
        <v>N/A</v>
      </c>
      <c r="AC29" s="87" t="str">
        <f ca="1">IFERROR(VLOOKUP(P27,項目!DATA_AREA,8,FALSE),"N/A")</f>
        <v>N/A</v>
      </c>
      <c r="AI29" s="59"/>
      <c r="AJ29" s="70"/>
      <c r="AK29" s="103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IFERROR(VLOOKUP(L28,項目!DATA_AREA,8,FALSE),"N/A")</f>
        <v>N/A</v>
      </c>
      <c r="Z30" s="87" t="str">
        <f ca="1">IFERROR(VLOOKUP(M28,項目!DATA_AREA,8,FALSE),"N/A")</f>
        <v>N/A</v>
      </c>
      <c r="AA30" s="87" t="str">
        <f ca="1">IFERROR(VLOOKUP(N28,項目!DATA_AREA,8,FALSE),"N/A")</f>
        <v>N/A</v>
      </c>
      <c r="AB30" s="87" t="str">
        <f ca="1">IFERROR(VLOOKUP(O28,項目!DATA_AREA,8,FALSE),"N/A")</f>
        <v>N/A</v>
      </c>
      <c r="AC30" s="87" t="str">
        <f ca="1">IFERROR(VLOOKUP(P28,項目!DATA_AREA,8,FALSE),"N/A")</f>
        <v>N/A</v>
      </c>
      <c r="AI30" s="59"/>
      <c r="AJ30" s="70"/>
      <c r="AK30" s="103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>
        <v>2</v>
      </c>
      <c r="L31" s="106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AND(K33&lt;&gt;"",R32="")</f>
        <v>0</v>
      </c>
      <c r="AI31" s="59"/>
      <c r="AJ31" s="70"/>
      <c r="AK31" s="103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8" t="s">
        <v>179</v>
      </c>
      <c r="L32" s="96"/>
      <c r="M32" s="77"/>
      <c r="N32" s="77"/>
      <c r="O32" s="77"/>
      <c r="P32" s="78"/>
      <c r="R32" s="87" t="str">
        <f>_xlfn.CONCAT(L32:P32)</f>
        <v/>
      </c>
      <c r="S32" s="70" t="str">
        <f>_xlfn.CONCAT(K33,R32)</f>
        <v/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t="shared" ref="Y32:Y33" ca="1" si="17">OR(AND(L32&lt;&gt;"",ISNA(MATCH(L32,FIELDリスト,0))),COUNTIF($L32:$P32,L32)&gt;1)</f>
        <v>0</v>
      </c>
      <c r="Z32" s="19" t="b">
        <f t="shared" ref="Z32:Z33" ca="1" si="18">OR(AND(M32&lt;&gt;"",ISNA(MATCH(M32,FIELDリスト,0))),COUNTIF($L32:$P32,M32)&gt;1)</f>
        <v>0</v>
      </c>
      <c r="AA32" s="19" t="b">
        <f t="shared" ref="AA32:AA33" ca="1" si="19">OR(AND(N32&lt;&gt;"",ISNA(MATCH(N32,FIELDリスト,0))),COUNTIF($L32:$P32,N32)&gt;1)</f>
        <v>0</v>
      </c>
      <c r="AB32" s="19" t="b">
        <f t="shared" ref="AB32:AB33" ca="1" si="20">OR(AND(O32&lt;&gt;"",ISNA(MATCH(O32,FIELDリスト,0))),COUNTIF($L32:$P32,O32)&gt;1)</f>
        <v>0</v>
      </c>
      <c r="AC32" s="19" t="b">
        <f t="shared" ref="AC32:AC33" ca="1" si="21">OR(AND(P32&lt;&gt;"",ISNA(MATCH(P32,FIELDリスト,0))),COUNTIF($L32:$P32,P32)&gt;1)</f>
        <v>0</v>
      </c>
      <c r="AD32" s="19" t="b">
        <f>AND(S32&lt;&gt;"",COUNTIF($S$26:$S$48,S32)&gt;1)</f>
        <v>0</v>
      </c>
      <c r="AI32" s="59"/>
      <c r="AJ32" s="70"/>
      <c r="AK32" s="103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99"/>
      <c r="L33" s="97"/>
      <c r="M33" s="85"/>
      <c r="N33" s="85"/>
      <c r="O33" s="85"/>
      <c r="P33" s="86"/>
      <c r="R33" s="87" t="str">
        <f>_xlfn.CONCAT(L33:P33)</f>
        <v/>
      </c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OR(AND(L33&lt;&gt;"",ISNA(MATCH(L33,FK_FIELD_2,0))),COUNTIF($L33:$P33,L33)&gt;1)</f>
        <v>0</v>
      </c>
      <c r="Z33" s="19" t="b">
        <f ca="1">OR(AND(M33&lt;&gt;"",ISNA(MATCH(M33,FK_FIELD_2,0))),COUNTIF($L33:$P33,M33)&gt;1)</f>
        <v>0</v>
      </c>
      <c r="AA33" s="19" t="b">
        <f ca="1">OR(AND(N33&lt;&gt;"",ISNA(MATCH(N33,FK_FIELD_2,0))),COUNTIF($L33:$P33,N33)&gt;1)</f>
        <v>0</v>
      </c>
      <c r="AB33" s="19" t="b">
        <f ca="1">OR(AND(O33&lt;&gt;"",ISNA(MATCH(O33,FK_FIELD_2,0))),COUNTIF($L33:$P33,O33)&gt;1)</f>
        <v>0</v>
      </c>
      <c r="AC33" s="19" t="b">
        <f ca="1">OR(AND(P33&lt;&gt;"",ISNA(MATCH(P33,FK_FIELD_2,0))),COUNTIF($L33:$P33,P33)&gt;1)</f>
        <v>0</v>
      </c>
      <c r="AI33" s="59"/>
      <c r="AJ33" s="70"/>
      <c r="AK33" s="103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0" t="s">
        <v>180</v>
      </c>
      <c r="L34" s="101"/>
      <c r="M34" s="100" t="s">
        <v>181</v>
      </c>
      <c r="N34" s="101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IFERROR(VLOOKUP(L32,項目!DATA_AREA,8,FALSE),"N/A")</f>
        <v>N/A</v>
      </c>
      <c r="Z34" s="87" t="str">
        <f ca="1">IFERROR(VLOOKUP(M32,項目!DATA_AREA,8,FALSE),"N/A")</f>
        <v>N/A</v>
      </c>
      <c r="AA34" s="87" t="str">
        <f ca="1">IFERROR(VLOOKUP(N32,項目!DATA_AREA,8,FALSE),"N/A")</f>
        <v>N/A</v>
      </c>
      <c r="AB34" s="87" t="str">
        <f ca="1">IFERROR(VLOOKUP(O32,項目!DATA_AREA,8,FALSE),"N/A")</f>
        <v>N/A</v>
      </c>
      <c r="AC34" s="87" t="str">
        <f ca="1">IFERROR(VLOOKUP(P32,項目!DATA_AREA,8,FALSE),"N/A")</f>
        <v>N/A</v>
      </c>
      <c r="AI34" s="59"/>
      <c r="AJ34" s="70"/>
      <c r="AK34" s="103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IFERROR(VLOOKUP(L33,項目!DATA_AREA,8,FALSE),"N/A")</f>
        <v>N/A</v>
      </c>
      <c r="Z35" s="87" t="str">
        <f ca="1">IFERROR(VLOOKUP(M33,項目!DATA_AREA,8,FALSE),"N/A")</f>
        <v>N/A</v>
      </c>
      <c r="AA35" s="87" t="str">
        <f ca="1">IFERROR(VLOOKUP(N33,項目!DATA_AREA,8,FALSE),"N/A")</f>
        <v>N/A</v>
      </c>
      <c r="AB35" s="87" t="str">
        <f ca="1">IFERROR(VLOOKUP(O33,項目!DATA_AREA,8,FALSE),"N/A")</f>
        <v>N/A</v>
      </c>
      <c r="AC35" s="87" t="str">
        <f ca="1">IFERROR(VLOOKUP(P33,項目!DATA_AREA,8,FALSE),"N/A")</f>
        <v>N/A</v>
      </c>
      <c r="AI35" s="59"/>
      <c r="AJ35" s="70"/>
      <c r="AK35" s="103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>
        <v>3</v>
      </c>
      <c r="L36" s="106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AND(K38&lt;&gt;"",R37="")</f>
        <v>0</v>
      </c>
      <c r="AI36" s="59"/>
      <c r="AJ36" s="70"/>
      <c r="AK36" s="103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8" t="s">
        <v>179</v>
      </c>
      <c r="L37" s="96"/>
      <c r="M37" s="77"/>
      <c r="N37" s="77"/>
      <c r="O37" s="77"/>
      <c r="P37" s="78"/>
      <c r="R37" s="87" t="str">
        <f>_xlfn.CONCAT(L37:P37)</f>
        <v/>
      </c>
      <c r="S37" s="70" t="str">
        <f>_xlfn.CONCAT(K38,R37)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t="shared" ref="Y37:Y38" ca="1" si="22">OR(AND(L37&lt;&gt;"",ISNA(MATCH(L37,FIELDリスト,0))),COUNTIF($L37:$P37,L37)&gt;1)</f>
        <v>0</v>
      </c>
      <c r="Z37" s="19" t="b">
        <f t="shared" ref="Z37:Z38" ca="1" si="23">OR(AND(M37&lt;&gt;"",ISNA(MATCH(M37,FIELDリスト,0))),COUNTIF($L37:$P37,M37)&gt;1)</f>
        <v>0</v>
      </c>
      <c r="AA37" s="19" t="b">
        <f t="shared" ref="AA37:AA38" ca="1" si="24">OR(AND(N37&lt;&gt;"",ISNA(MATCH(N37,FIELDリスト,0))),COUNTIF($L37:$P37,N37)&gt;1)</f>
        <v>0</v>
      </c>
      <c r="AB37" s="19" t="b">
        <f t="shared" ref="AB37:AB38" ca="1" si="25">OR(AND(O37&lt;&gt;"",ISNA(MATCH(O37,FIELDリスト,0))),COUNTIF($L37:$P37,O37)&gt;1)</f>
        <v>0</v>
      </c>
      <c r="AC37" s="19" t="b">
        <f t="shared" ref="AC37:AC38" ca="1" si="26">OR(AND(P37&lt;&gt;"",ISNA(MATCH(P37,FIELDリスト,0))),COUNTIF($L37:$P37,P37)&gt;1)</f>
        <v>0</v>
      </c>
      <c r="AD37" s="19" t="b">
        <f>AND(S37&lt;&gt;"",COUNTIF($S$26:$S$48,S37)&gt;1)</f>
        <v>0</v>
      </c>
      <c r="AI37" s="59"/>
      <c r="AJ37" s="70"/>
      <c r="AK37" s="103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99"/>
      <c r="L38" s="97"/>
      <c r="M38" s="85"/>
      <c r="N38" s="85"/>
      <c r="O38" s="85"/>
      <c r="P38" s="86"/>
      <c r="R38" s="87" t="str">
        <f>_xlfn.CONCAT(L38:P38)</f>
        <v/>
      </c>
      <c r="T38" s="19" t="b">
        <f t="shared" ca="1" si="0"/>
        <v>0</v>
      </c>
      <c r="U38" s="19" t="b">
        <f t="shared" ref="U38:U69" si="27">COUNTIF(FIELD_NAME,B38)&gt;1</f>
        <v>0</v>
      </c>
      <c r="V38" s="19" t="b">
        <f t="shared" ca="1" si="4"/>
        <v>0</v>
      </c>
      <c r="Y38" s="19" t="b">
        <f ca="1">OR(AND(L38&lt;&gt;"",ISNA(MATCH(L38,FK_FIELD_3,0))),COUNTIF($L38:$P38,L38)&gt;1)</f>
        <v>0</v>
      </c>
      <c r="Z38" s="19" t="b">
        <f ca="1">OR(AND(M38&lt;&gt;"",ISNA(MATCH(M38,FK_FIELD_3,0))),COUNTIF($L38:$P38,M38)&gt;1)</f>
        <v>0</v>
      </c>
      <c r="AA38" s="19" t="b">
        <f ca="1">OR(AND(N38&lt;&gt;"",ISNA(MATCH(N38,FK_FIELD_3,0))),COUNTIF($L38:$P38,N38)&gt;1)</f>
        <v>0</v>
      </c>
      <c r="AB38" s="19" t="b">
        <f ca="1">OR(AND(O38&lt;&gt;"",ISNA(MATCH(O38,FK_FIELD_3,0))),COUNTIF($L38:$P38,O38)&gt;1)</f>
        <v>0</v>
      </c>
      <c r="AC38" s="19" t="b">
        <f ca="1">OR(AND(P38&lt;&gt;"",ISNA(MATCH(P38,FK_FIELD_3,0))),COUNTIF($L38:$P38,P38)&gt;1)</f>
        <v>0</v>
      </c>
      <c r="AI38" s="59"/>
      <c r="AJ38" s="70"/>
      <c r="AK38" s="103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0" t="s">
        <v>180</v>
      </c>
      <c r="L39" s="101"/>
      <c r="M39" s="100" t="s">
        <v>181</v>
      </c>
      <c r="N39" s="101"/>
      <c r="T39" s="19" t="b">
        <f t="shared" ca="1" si="0"/>
        <v>0</v>
      </c>
      <c r="U39" s="19" t="b">
        <f t="shared" si="27"/>
        <v>0</v>
      </c>
      <c r="V39" s="19" t="b">
        <f t="shared" ca="1" si="4"/>
        <v>0</v>
      </c>
      <c r="Y39" s="87" t="str">
        <f ca="1">IFERROR(VLOOKUP(L37,項目!DATA_AREA,8,FALSE),"N/A")</f>
        <v>N/A</v>
      </c>
      <c r="Z39" s="87" t="str">
        <f ca="1">IFERROR(VLOOKUP(M37,項目!DATA_AREA,8,FALSE),"N/A")</f>
        <v>N/A</v>
      </c>
      <c r="AA39" s="87" t="str">
        <f ca="1">IFERROR(VLOOKUP(N37,項目!DATA_AREA,8,FALSE),"N/A")</f>
        <v>N/A</v>
      </c>
      <c r="AB39" s="87" t="str">
        <f ca="1">IFERROR(VLOOKUP(O37,項目!DATA_AREA,8,FALSE),"N/A")</f>
        <v>N/A</v>
      </c>
      <c r="AC39" s="87" t="str">
        <f ca="1">IFERROR(VLOOKUP(P37,項目!DATA_AREA,8,FALSE),"N/A")</f>
        <v>N/A</v>
      </c>
      <c r="AI39" s="59"/>
      <c r="AJ39" s="70"/>
      <c r="AK39" s="103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27"/>
        <v>0</v>
      </c>
      <c r="V40" s="19" t="b">
        <f t="shared" ca="1" si="4"/>
        <v>0</v>
      </c>
      <c r="Y40" s="87" t="str">
        <f ca="1">IFERROR(VLOOKUP(L38,項目!DATA_AREA,8,FALSE),"N/A")</f>
        <v>N/A</v>
      </c>
      <c r="Z40" s="87" t="str">
        <f ca="1">IFERROR(VLOOKUP(M38,項目!DATA_AREA,8,FALSE),"N/A")</f>
        <v>N/A</v>
      </c>
      <c r="AA40" s="87" t="str">
        <f ca="1">IFERROR(VLOOKUP(N38,項目!DATA_AREA,8,FALSE),"N/A")</f>
        <v>N/A</v>
      </c>
      <c r="AB40" s="87" t="str">
        <f ca="1">IFERROR(VLOOKUP(O38,項目!DATA_AREA,8,FALSE),"N/A")</f>
        <v>N/A</v>
      </c>
      <c r="AC40" s="87" t="str">
        <f ca="1">IFERROR(VLOOKUP(P38,項目!DATA_AREA,8,FALSE),"N/A")</f>
        <v>N/A</v>
      </c>
      <c r="AI40" s="59"/>
      <c r="AJ40" s="70"/>
      <c r="AK40" s="103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>
        <v>4</v>
      </c>
      <c r="L41" s="106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27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AND(K43&lt;&gt;"",R42="")</f>
        <v>0</v>
      </c>
      <c r="AI41" s="59"/>
      <c r="AJ41" s="70"/>
      <c r="AK41" s="103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8" t="s">
        <v>179</v>
      </c>
      <c r="L42" s="96"/>
      <c r="M42" s="77"/>
      <c r="N42" s="77"/>
      <c r="O42" s="77"/>
      <c r="P42" s="78"/>
      <c r="R42" s="87" t="str">
        <f>_xlfn.CONCAT(L42:P42)</f>
        <v/>
      </c>
      <c r="S42" s="70" t="str">
        <f>_xlfn.CONCAT(K43,R42)</f>
        <v/>
      </c>
      <c r="T42" s="19" t="b">
        <f t="shared" ca="1" si="0"/>
        <v>0</v>
      </c>
      <c r="U42" s="19" t="b">
        <f t="shared" si="27"/>
        <v>0</v>
      </c>
      <c r="V42" s="19" t="b">
        <f t="shared" ca="1" si="4"/>
        <v>0</v>
      </c>
      <c r="Y42" s="19" t="b">
        <f t="shared" ref="Y42:Y43" ca="1" si="28">OR(AND(L42&lt;&gt;"",ISNA(MATCH(L42,FIELDリスト,0))),COUNTIF($L42:$P42,L42)&gt;1)</f>
        <v>0</v>
      </c>
      <c r="Z42" s="19" t="b">
        <f t="shared" ref="Z42:Z43" ca="1" si="29">OR(AND(M42&lt;&gt;"",ISNA(MATCH(M42,FIELDリスト,0))),COUNTIF($L42:$P42,M42)&gt;1)</f>
        <v>0</v>
      </c>
      <c r="AA42" s="19" t="b">
        <f t="shared" ref="AA42:AA43" ca="1" si="30">OR(AND(N42&lt;&gt;"",ISNA(MATCH(N42,FIELDリスト,0))),COUNTIF($L42:$P42,N42)&gt;1)</f>
        <v>0</v>
      </c>
      <c r="AB42" s="19" t="b">
        <f t="shared" ref="AB42:AB43" ca="1" si="31">OR(AND(O42&lt;&gt;"",ISNA(MATCH(O42,FIELDリスト,0))),COUNTIF($L42:$P42,O42)&gt;1)</f>
        <v>0</v>
      </c>
      <c r="AC42" s="19" t="b">
        <f t="shared" ref="AC42:AC43" ca="1" si="32">OR(AND(P42&lt;&gt;"",ISNA(MATCH(P42,FIELDリスト,0))),COUNTIF($L42:$P42,P42)&gt;1)</f>
        <v>0</v>
      </c>
      <c r="AD42" s="19" t="b">
        <f>AND(S42&lt;&gt;"",COUNTIF($S$26:$S$48,S42)&gt;1)</f>
        <v>0</v>
      </c>
      <c r="AI42" s="59"/>
      <c r="AJ42" s="70"/>
      <c r="AK42" s="103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99"/>
      <c r="L43" s="97"/>
      <c r="M43" s="85"/>
      <c r="N43" s="85"/>
      <c r="O43" s="85"/>
      <c r="P43" s="86"/>
      <c r="R43" s="87" t="str">
        <f>_xlfn.CONCAT(L43:P43)</f>
        <v/>
      </c>
      <c r="T43" s="19" t="b">
        <f t="shared" ca="1" si="0"/>
        <v>0</v>
      </c>
      <c r="U43" s="19" t="b">
        <f t="shared" si="27"/>
        <v>0</v>
      </c>
      <c r="V43" s="19" t="b">
        <f t="shared" ca="1" si="4"/>
        <v>0</v>
      </c>
      <c r="Y43" s="19" t="b">
        <f ca="1">OR(AND(L43&lt;&gt;"",ISNA(MATCH(L43,FK_FIELD_4,0))),COUNTIF($L43:$P43,L43)&gt;1)</f>
        <v>0</v>
      </c>
      <c r="Z43" s="19" t="b">
        <f ca="1">OR(AND(M43&lt;&gt;"",ISNA(MATCH(M43,FK_FIELD_4,0))),COUNTIF($L43:$P43,M43)&gt;1)</f>
        <v>0</v>
      </c>
      <c r="AA43" s="19" t="b">
        <f ca="1">OR(AND(N43&lt;&gt;"",ISNA(MATCH(N43,FK_FIELD_4,0))),COUNTIF($L43:$P43,N43)&gt;1)</f>
        <v>0</v>
      </c>
      <c r="AB43" s="19" t="b">
        <f ca="1">OR(AND(O43&lt;&gt;"",ISNA(MATCH(O43,FK_FIELD_4,0))),COUNTIF($L43:$P43,O43)&gt;1)</f>
        <v>0</v>
      </c>
      <c r="AC43" s="19" t="b">
        <f ca="1">OR(AND(P43&lt;&gt;"",ISNA(MATCH(P43,FK_FIELD_4,0))),COUNTIF($L43:$P43,P43)&gt;1)</f>
        <v>0</v>
      </c>
      <c r="AI43" s="59"/>
      <c r="AJ43" s="70"/>
      <c r="AK43" s="103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0" t="s">
        <v>180</v>
      </c>
      <c r="L44" s="101"/>
      <c r="M44" s="100" t="s">
        <v>181</v>
      </c>
      <c r="N44" s="101"/>
      <c r="T44" s="19" t="b">
        <f t="shared" ca="1" si="0"/>
        <v>0</v>
      </c>
      <c r="U44" s="19" t="b">
        <f t="shared" si="27"/>
        <v>0</v>
      </c>
      <c r="V44" s="19" t="b">
        <f t="shared" ca="1" si="4"/>
        <v>0</v>
      </c>
      <c r="Y44" s="87" t="str">
        <f ca="1">IFERROR(VLOOKUP(L42,項目!DATA_AREA,8,FALSE),"N/A")</f>
        <v>N/A</v>
      </c>
      <c r="Z44" s="87" t="str">
        <f ca="1">IFERROR(VLOOKUP(M42,項目!DATA_AREA,8,FALSE),"N/A")</f>
        <v>N/A</v>
      </c>
      <c r="AA44" s="87" t="str">
        <f ca="1">IFERROR(VLOOKUP(N42,項目!DATA_AREA,8,FALSE),"N/A")</f>
        <v>N/A</v>
      </c>
      <c r="AB44" s="87" t="str">
        <f ca="1">IFERROR(VLOOKUP(O42,項目!DATA_AREA,8,FALSE),"N/A")</f>
        <v>N/A</v>
      </c>
      <c r="AC44" s="87" t="str">
        <f ca="1">IFERROR(VLOOKUP(P42,項目!DATA_AREA,8,FALSE),"N/A")</f>
        <v>N/A</v>
      </c>
      <c r="AI44" s="59"/>
      <c r="AJ44" s="70"/>
      <c r="AK44" s="103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27"/>
        <v>0</v>
      </c>
      <c r="V45" s="19" t="b">
        <f t="shared" ca="1" si="4"/>
        <v>0</v>
      </c>
      <c r="Y45" s="87" t="str">
        <f ca="1">IFERROR(VLOOKUP(L43,項目!DATA_AREA,8,FALSE),"N/A")</f>
        <v>N/A</v>
      </c>
      <c r="Z45" s="87" t="str">
        <f ca="1">IFERROR(VLOOKUP(M43,項目!DATA_AREA,8,FALSE),"N/A")</f>
        <v>N/A</v>
      </c>
      <c r="AA45" s="87" t="str">
        <f ca="1">IFERROR(VLOOKUP(N43,項目!DATA_AREA,8,FALSE),"N/A")</f>
        <v>N/A</v>
      </c>
      <c r="AB45" s="87" t="str">
        <f ca="1">IFERROR(VLOOKUP(O43,項目!DATA_AREA,8,FALSE),"N/A")</f>
        <v>N/A</v>
      </c>
      <c r="AC45" s="87" t="str">
        <f ca="1">IFERROR(VLOOKUP(P43,項目!DATA_AREA,8,FALSE),"N/A")</f>
        <v>N/A</v>
      </c>
      <c r="AI45" s="59"/>
      <c r="AJ45" s="70"/>
      <c r="AK45" s="103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>
        <v>5</v>
      </c>
      <c r="L46" s="106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27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AND(K48&lt;&gt;"",R47="")</f>
        <v>0</v>
      </c>
      <c r="AI46" s="59"/>
      <c r="AJ46" s="70"/>
      <c r="AK46" s="103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8" t="s">
        <v>179</v>
      </c>
      <c r="L47" s="96"/>
      <c r="M47" s="77"/>
      <c r="N47" s="77"/>
      <c r="O47" s="77"/>
      <c r="P47" s="78"/>
      <c r="R47" s="87" t="str">
        <f>_xlfn.CONCAT(L47:P47)</f>
        <v/>
      </c>
      <c r="S47" s="70" t="str">
        <f>_xlfn.CONCAT(L49,S48)</f>
        <v/>
      </c>
      <c r="T47" s="19" t="b">
        <f t="shared" ca="1" si="0"/>
        <v>0</v>
      </c>
      <c r="U47" s="19" t="b">
        <f t="shared" si="27"/>
        <v>0</v>
      </c>
      <c r="V47" s="19" t="b">
        <f t="shared" ca="1" si="4"/>
        <v>0</v>
      </c>
      <c r="Y47" s="19" t="b">
        <f t="shared" ref="Y47:Y48" ca="1" si="33">OR(AND(L47&lt;&gt;"",ISNA(MATCH(L47,FIELDリスト,0))),COUNTIF($L47:$P47,L47)&gt;1)</f>
        <v>0</v>
      </c>
      <c r="Z47" s="19" t="b">
        <f t="shared" ref="Z47:Z48" ca="1" si="34">OR(AND(M47&lt;&gt;"",ISNA(MATCH(M47,FIELDリスト,0))),COUNTIF($L47:$P47,M47)&gt;1)</f>
        <v>0</v>
      </c>
      <c r="AA47" s="19" t="b">
        <f t="shared" ref="AA47:AA48" ca="1" si="35">OR(AND(N47&lt;&gt;"",ISNA(MATCH(N47,FIELDリスト,0))),COUNTIF($L47:$P47,N47)&gt;1)</f>
        <v>0</v>
      </c>
      <c r="AB47" s="19" t="b">
        <f t="shared" ref="AB47:AB48" ca="1" si="36">OR(AND(O47&lt;&gt;"",ISNA(MATCH(O47,FIELDリスト,0))),COUNTIF($L47:$P47,O47)&gt;1)</f>
        <v>0</v>
      </c>
      <c r="AC47" s="19" t="b">
        <f t="shared" ref="AC47:AC48" ca="1" si="37">OR(AND(P47&lt;&gt;"",ISNA(MATCH(P47,FIELDリスト,0))),COUNTIF($L47:$P47,P47)&gt;1)</f>
        <v>0</v>
      </c>
      <c r="AD47" s="19" t="b">
        <f>AND(S47&lt;&gt;"",COUNTIF($S$26:$S$48,S47)&gt;1)</f>
        <v>0</v>
      </c>
      <c r="AI47" s="59"/>
      <c r="AJ47" s="70"/>
      <c r="AK47" s="103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99"/>
      <c r="L48" s="97"/>
      <c r="M48" s="85"/>
      <c r="N48" s="85"/>
      <c r="O48" s="85"/>
      <c r="P48" s="86"/>
      <c r="R48" s="87" t="str">
        <f>_xlfn.CONCAT(L48:P48)</f>
        <v/>
      </c>
      <c r="T48" s="19" t="b">
        <f t="shared" ca="1" si="0"/>
        <v>0</v>
      </c>
      <c r="U48" s="19" t="b">
        <f t="shared" si="27"/>
        <v>0</v>
      </c>
      <c r="V48" s="19" t="b">
        <f t="shared" ca="1" si="4"/>
        <v>0</v>
      </c>
      <c r="Y48" s="19" t="b">
        <f ca="1">OR(AND(L48&lt;&gt;"",ISNA(MATCH(L48,FK_FIELD_5,0))),COUNTIF($L48:$P48,L48)&gt;1)</f>
        <v>0</v>
      </c>
      <c r="Z48" s="19" t="b">
        <f ca="1">OR(AND(M48&lt;&gt;"",ISNA(MATCH(M48,FK_FIELD_5,0))),COUNTIF($L48:$P48,M48)&gt;1)</f>
        <v>0</v>
      </c>
      <c r="AA48" s="19" t="b">
        <f ca="1">OR(AND(N48&lt;&gt;"",ISNA(MATCH(N48,FK_FIELD_5,0))),COUNTIF($L48:$P48,N48)&gt;1)</f>
        <v>0</v>
      </c>
      <c r="AB48" s="19" t="b">
        <f ca="1">OR(AND(O48&lt;&gt;"",ISNA(MATCH(O48,FK_FIELD_5,0))),COUNTIF($L48:$P48,O48)&gt;1)</f>
        <v>0</v>
      </c>
      <c r="AC48" s="19" t="b">
        <f ca="1">OR(AND(P48&lt;&gt;"",ISNA(MATCH(P48,FK_FIELD_5,0))),COUNTIF($L48:$P48,P48)&gt;1)</f>
        <v>0</v>
      </c>
      <c r="AI48" s="59"/>
      <c r="AJ48" s="70"/>
      <c r="AK48" s="103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0" t="s">
        <v>180</v>
      </c>
      <c r="L49" s="101"/>
      <c r="M49" s="100" t="s">
        <v>181</v>
      </c>
      <c r="N49" s="101"/>
      <c r="T49" s="19" t="b">
        <f t="shared" ca="1" si="0"/>
        <v>0</v>
      </c>
      <c r="U49" s="19" t="b">
        <f t="shared" si="27"/>
        <v>0</v>
      </c>
      <c r="V49" s="19" t="b">
        <f t="shared" ca="1" si="4"/>
        <v>0</v>
      </c>
      <c r="Y49" s="87" t="str">
        <f ca="1">IFERROR(VLOOKUP(L47,項目!DATA_AREA,8,FALSE),"N/A")</f>
        <v>N/A</v>
      </c>
      <c r="Z49" s="87" t="str">
        <f ca="1">IFERROR(VLOOKUP(M47,項目!DATA_AREA,8,FALSE),"N/A")</f>
        <v>N/A</v>
      </c>
      <c r="AA49" s="87" t="str">
        <f ca="1">IFERROR(VLOOKUP(N47,項目!DATA_AREA,8,FALSE),"N/A")</f>
        <v>N/A</v>
      </c>
      <c r="AB49" s="87" t="str">
        <f ca="1">IFERROR(VLOOKUP(O47,項目!DATA_AREA,8,FALSE),"N/A")</f>
        <v>N/A</v>
      </c>
      <c r="AC49" s="87" t="str">
        <f ca="1">IFERROR(VLOOKUP(P47,項目!DATA_AREA,8,FALSE),"N/A")</f>
        <v>N/A</v>
      </c>
      <c r="AI49" s="59"/>
      <c r="AJ49" s="70"/>
      <c r="AK49" s="103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27"/>
        <v>0</v>
      </c>
      <c r="V50" s="19" t="b">
        <f t="shared" ca="1" si="4"/>
        <v>0</v>
      </c>
      <c r="Y50" s="87" t="str">
        <f ca="1">IFERROR(VLOOKUP(L48,項目!DATA_AREA,8,FALSE),"N/A")</f>
        <v>N/A</v>
      </c>
      <c r="Z50" s="87" t="str">
        <f ca="1">IFERROR(VLOOKUP(M48,項目!DATA_AREA,8,FALSE),"N/A")</f>
        <v>N/A</v>
      </c>
      <c r="AA50" s="87" t="str">
        <f ca="1">IFERROR(VLOOKUP(N48,項目!DATA_AREA,8,FALSE),"N/A")</f>
        <v>N/A</v>
      </c>
      <c r="AB50" s="87" t="str">
        <f ca="1">IFERROR(VLOOKUP(O48,項目!DATA_AREA,8,FALSE),"N/A")</f>
        <v>N/A</v>
      </c>
      <c r="AC50" s="87" t="str">
        <f ca="1">IFERROR(VLOOKUP(P48,項目!DATA_AREA,8,FALSE),"N/A")</f>
        <v>N/A</v>
      </c>
      <c r="AI50" s="59"/>
      <c r="AJ50" s="70"/>
      <c r="AK50" s="103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2"/>
      <c r="L51" s="102"/>
      <c r="M51" s="102"/>
      <c r="N51" s="102"/>
      <c r="O51" s="102"/>
      <c r="P51" s="102"/>
      <c r="T51" s="19" t="b">
        <f t="shared" ca="1" si="0"/>
        <v>0</v>
      </c>
      <c r="U51" s="19" t="b">
        <f t="shared" si="27"/>
        <v>0</v>
      </c>
      <c r="V51" s="19" t="b">
        <f t="shared" ca="1" si="4"/>
        <v>0</v>
      </c>
      <c r="AI51" s="59"/>
      <c r="AJ51" s="70"/>
      <c r="AK51" s="103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27"/>
        <v>0</v>
      </c>
      <c r="V52" s="19" t="b">
        <f t="shared" ca="1" si="4"/>
        <v>0</v>
      </c>
      <c r="AI52" s="59"/>
      <c r="AJ52" s="70"/>
      <c r="AK52" s="103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182</v>
      </c>
      <c r="T53" s="19" t="b">
        <f t="shared" ca="1" si="0"/>
        <v>0</v>
      </c>
      <c r="U53" s="19" t="b">
        <f t="shared" si="27"/>
        <v>0</v>
      </c>
      <c r="V53" s="19" t="b">
        <f t="shared" ca="1" si="4"/>
        <v>0</v>
      </c>
      <c r="AI53" s="59"/>
      <c r="AJ53" s="70"/>
      <c r="AK53" s="103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27"/>
        <v>0</v>
      </c>
      <c r="V54" s="19" t="b">
        <f t="shared" ca="1" si="4"/>
        <v>0</v>
      </c>
      <c r="AI54" s="59"/>
      <c r="AJ54" s="70"/>
      <c r="AK54" s="103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27"/>
        <v>0</v>
      </c>
      <c r="V55" s="19" t="b">
        <f t="shared" ca="1" si="4"/>
        <v>0</v>
      </c>
      <c r="AI55" s="59"/>
      <c r="AJ55" s="70"/>
      <c r="AK55" s="103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27"/>
        <v>0</v>
      </c>
      <c r="V56" s="19" t="b">
        <f t="shared" ca="1" si="4"/>
        <v>0</v>
      </c>
      <c r="AI56" s="59"/>
      <c r="AJ56" s="70"/>
      <c r="AK56" s="103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27"/>
        <v>0</v>
      </c>
      <c r="V57" s="19" t="b">
        <f t="shared" ca="1" si="4"/>
        <v>0</v>
      </c>
      <c r="AI57" s="59"/>
      <c r="AJ57" s="70"/>
      <c r="AK57" s="103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27"/>
        <v>0</v>
      </c>
      <c r="V58" s="19" t="b">
        <f t="shared" ca="1" si="4"/>
        <v>0</v>
      </c>
      <c r="AI58" s="59"/>
      <c r="AJ58" s="70"/>
      <c r="AK58" s="103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27"/>
        <v>0</v>
      </c>
      <c r="V59" s="19" t="b">
        <f t="shared" ca="1" si="4"/>
        <v>0</v>
      </c>
      <c r="AI59" s="59"/>
      <c r="AJ59" s="70"/>
      <c r="AK59" s="103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27"/>
        <v>0</v>
      </c>
      <c r="V60" s="19" t="b">
        <f t="shared" ca="1" si="4"/>
        <v>0</v>
      </c>
      <c r="AI60" s="59"/>
      <c r="AJ60" s="70"/>
      <c r="AK60" s="103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27"/>
        <v>0</v>
      </c>
      <c r="V61" s="19" t="b">
        <f t="shared" ca="1" si="4"/>
        <v>0</v>
      </c>
      <c r="AI61" s="59"/>
      <c r="AJ61" s="70"/>
      <c r="AK61" s="103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27"/>
        <v>0</v>
      </c>
      <c r="V62" s="19" t="b">
        <f t="shared" ca="1" si="4"/>
        <v>0</v>
      </c>
      <c r="AI62" s="59"/>
      <c r="AJ62" s="70"/>
      <c r="AK62" s="103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27"/>
        <v>0</v>
      </c>
      <c r="V63" s="19" t="b">
        <f t="shared" ca="1" si="4"/>
        <v>0</v>
      </c>
      <c r="AI63" s="59"/>
      <c r="AJ63" s="70"/>
      <c r="AK63" s="103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27"/>
        <v>0</v>
      </c>
      <c r="V64" s="19" t="b">
        <f t="shared" ca="1" si="4"/>
        <v>0</v>
      </c>
      <c r="AI64" s="59"/>
      <c r="AJ64" s="70"/>
      <c r="AK64" s="103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27"/>
        <v>0</v>
      </c>
      <c r="V65" s="19" t="b">
        <f t="shared" ca="1" si="4"/>
        <v>0</v>
      </c>
      <c r="AI65" s="59"/>
      <c r="AJ65" s="70"/>
      <c r="AK65" s="103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27"/>
        <v>0</v>
      </c>
      <c r="V66" s="19" t="b">
        <f t="shared" ca="1" si="4"/>
        <v>0</v>
      </c>
      <c r="AI66" s="59"/>
      <c r="AJ66" s="70"/>
      <c r="AK66" s="103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27"/>
        <v>0</v>
      </c>
      <c r="V67" s="19" t="b">
        <f t="shared" ca="1" si="4"/>
        <v>0</v>
      </c>
      <c r="AI67" s="59"/>
      <c r="AJ67" s="70"/>
      <c r="AK67" s="103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27"/>
        <v>0</v>
      </c>
      <c r="V68" s="19" t="b">
        <f t="shared" ca="1" si="4"/>
        <v>0</v>
      </c>
      <c r="AI68" s="59"/>
      <c r="AJ68" s="70"/>
      <c r="AK68" s="103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27"/>
        <v>0</v>
      </c>
      <c r="V69" s="19" t="b">
        <f t="shared" ca="1" si="4"/>
        <v>0</v>
      </c>
      <c r="AI69" s="59"/>
      <c r="AJ69" s="70"/>
      <c r="AK69" s="103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38">AND(B70&lt;&gt;"",ISNA(MATCH(B70,項目リスト,0)))</f>
        <v>0</v>
      </c>
      <c r="U70" s="19" t="b">
        <f t="shared" ref="U70:U105" si="39">COUNTIF(FIELD_NAME,B70)&gt;1</f>
        <v>0</v>
      </c>
      <c r="V70" s="19" t="b">
        <f t="shared" ca="1" si="4"/>
        <v>0</v>
      </c>
      <c r="AI70" s="59"/>
      <c r="AJ70" s="70"/>
      <c r="AK70" s="103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38"/>
        <v>0</v>
      </c>
      <c r="U71" s="19" t="b">
        <f t="shared" si="39"/>
        <v>0</v>
      </c>
      <c r="V71" s="19" t="b">
        <f t="shared" ca="1" si="4"/>
        <v>0</v>
      </c>
      <c r="AI71" s="59"/>
      <c r="AJ71" s="70"/>
      <c r="AK71" s="103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38"/>
        <v>0</v>
      </c>
      <c r="U72" s="19" t="b">
        <f t="shared" si="39"/>
        <v>0</v>
      </c>
      <c r="V72" s="19" t="b">
        <f t="shared" ca="1" si="4"/>
        <v>0</v>
      </c>
      <c r="AI72" s="59"/>
      <c r="AJ72" s="70"/>
      <c r="AK72" s="103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38"/>
        <v>0</v>
      </c>
      <c r="U73" s="19" t="b">
        <f t="shared" si="39"/>
        <v>0</v>
      </c>
      <c r="V73" s="19" t="b">
        <f t="shared" ref="V73:V105" ca="1" si="40">AND(E73="",H73&lt;&gt;"",H73)</f>
        <v>0</v>
      </c>
      <c r="AI73" s="59"/>
      <c r="AJ73" s="70"/>
      <c r="AK73" s="103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38"/>
        <v>0</v>
      </c>
      <c r="U74" s="19" t="b">
        <f t="shared" si="39"/>
        <v>0</v>
      </c>
      <c r="V74" s="19" t="b">
        <f t="shared" ca="1" si="40"/>
        <v>0</v>
      </c>
      <c r="AI74" s="59"/>
      <c r="AJ74" s="70"/>
      <c r="AK74" s="103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38"/>
        <v>0</v>
      </c>
      <c r="U75" s="19" t="b">
        <f t="shared" si="39"/>
        <v>0</v>
      </c>
      <c r="V75" s="19" t="b">
        <f t="shared" ca="1" si="40"/>
        <v>0</v>
      </c>
      <c r="AI75" s="59"/>
      <c r="AJ75" s="70"/>
      <c r="AK75" s="103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38"/>
        <v>0</v>
      </c>
      <c r="U76" s="19" t="b">
        <f t="shared" si="39"/>
        <v>0</v>
      </c>
      <c r="V76" s="19" t="b">
        <f t="shared" ca="1" si="40"/>
        <v>0</v>
      </c>
      <c r="AI76" s="59"/>
      <c r="AJ76" s="70"/>
      <c r="AK76" s="103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38"/>
        <v>0</v>
      </c>
      <c r="U77" s="19" t="b">
        <f t="shared" si="39"/>
        <v>0</v>
      </c>
      <c r="V77" s="19" t="b">
        <f t="shared" ca="1" si="40"/>
        <v>0</v>
      </c>
      <c r="AI77" s="59"/>
      <c r="AJ77" s="70"/>
      <c r="AK77" s="103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38"/>
        <v>0</v>
      </c>
      <c r="U78" s="19" t="b">
        <f t="shared" si="39"/>
        <v>0</v>
      </c>
      <c r="V78" s="19" t="b">
        <f t="shared" ca="1" si="40"/>
        <v>0</v>
      </c>
      <c r="AI78" s="59"/>
      <c r="AJ78" s="70"/>
      <c r="AK78" s="103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38"/>
        <v>0</v>
      </c>
      <c r="U79" s="19" t="b">
        <f t="shared" si="39"/>
        <v>0</v>
      </c>
      <c r="V79" s="19" t="b">
        <f t="shared" ca="1" si="40"/>
        <v>0</v>
      </c>
      <c r="AI79" s="59"/>
      <c r="AJ79" s="70"/>
      <c r="AK79" s="103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38"/>
        <v>0</v>
      </c>
      <c r="U80" s="19" t="b">
        <f t="shared" si="39"/>
        <v>0</v>
      </c>
      <c r="V80" s="19" t="b">
        <f t="shared" ca="1" si="40"/>
        <v>0</v>
      </c>
      <c r="AI80" s="59"/>
      <c r="AJ80" s="70"/>
      <c r="AK80" s="103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38"/>
        <v>0</v>
      </c>
      <c r="U81" s="19" t="b">
        <f t="shared" si="39"/>
        <v>0</v>
      </c>
      <c r="V81" s="19" t="b">
        <f t="shared" ca="1" si="40"/>
        <v>0</v>
      </c>
      <c r="AI81" s="59"/>
      <c r="AJ81" s="70"/>
      <c r="AK81" s="103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38"/>
        <v>0</v>
      </c>
      <c r="U82" s="19" t="b">
        <f t="shared" si="39"/>
        <v>0</v>
      </c>
      <c r="V82" s="19" t="b">
        <f t="shared" ca="1" si="40"/>
        <v>0</v>
      </c>
      <c r="AI82" s="59"/>
      <c r="AJ82" s="70"/>
      <c r="AK82" s="103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38"/>
        <v>0</v>
      </c>
      <c r="U83" s="19" t="b">
        <f t="shared" si="39"/>
        <v>0</v>
      </c>
      <c r="V83" s="19" t="b">
        <f t="shared" ca="1" si="40"/>
        <v>0</v>
      </c>
      <c r="AI83" s="59"/>
      <c r="AJ83" s="70"/>
      <c r="AK83" s="103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38"/>
        <v>0</v>
      </c>
      <c r="U84" s="19" t="b">
        <f t="shared" si="39"/>
        <v>0</v>
      </c>
      <c r="V84" s="19" t="b">
        <f t="shared" ca="1" si="40"/>
        <v>0</v>
      </c>
      <c r="AI84" s="59"/>
      <c r="AJ84" s="70"/>
      <c r="AK84" s="103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38"/>
        <v>0</v>
      </c>
      <c r="U85" s="19" t="b">
        <f t="shared" si="39"/>
        <v>0</v>
      </c>
      <c r="V85" s="19" t="b">
        <f t="shared" ca="1" si="40"/>
        <v>0</v>
      </c>
      <c r="AI85" s="59"/>
      <c r="AJ85" s="70"/>
      <c r="AK85" s="103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38"/>
        <v>0</v>
      </c>
      <c r="U86" s="19" t="b">
        <f t="shared" si="39"/>
        <v>0</v>
      </c>
      <c r="V86" s="19" t="b">
        <f t="shared" ca="1" si="40"/>
        <v>0</v>
      </c>
      <c r="AI86" s="59"/>
      <c r="AJ86" s="70"/>
      <c r="AK86" s="103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38"/>
        <v>0</v>
      </c>
      <c r="U87" s="19" t="b">
        <f t="shared" si="39"/>
        <v>0</v>
      </c>
      <c r="V87" s="19" t="b">
        <f t="shared" ca="1" si="40"/>
        <v>0</v>
      </c>
      <c r="AI87" s="59"/>
      <c r="AJ87" s="70"/>
      <c r="AK87" s="103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38"/>
        <v>0</v>
      </c>
      <c r="U88" s="19" t="b">
        <f t="shared" si="39"/>
        <v>0</v>
      </c>
      <c r="V88" s="19" t="b">
        <f t="shared" ca="1" si="40"/>
        <v>0</v>
      </c>
      <c r="AI88" s="59"/>
      <c r="AJ88" s="70"/>
      <c r="AK88" s="103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38"/>
        <v>0</v>
      </c>
      <c r="U89" s="19" t="b">
        <f t="shared" si="39"/>
        <v>0</v>
      </c>
      <c r="V89" s="19" t="b">
        <f t="shared" ca="1" si="40"/>
        <v>0</v>
      </c>
      <c r="AI89" s="59"/>
      <c r="AJ89" s="70"/>
      <c r="AK89" s="103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38"/>
        <v>0</v>
      </c>
      <c r="U90" s="19" t="b">
        <f t="shared" si="39"/>
        <v>0</v>
      </c>
      <c r="V90" s="19" t="b">
        <f t="shared" ca="1" si="40"/>
        <v>0</v>
      </c>
      <c r="AI90" s="59"/>
      <c r="AJ90" s="70"/>
      <c r="AK90" s="103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38"/>
        <v>0</v>
      </c>
      <c r="U91" s="19" t="b">
        <f t="shared" si="39"/>
        <v>0</v>
      </c>
      <c r="V91" s="19" t="b">
        <f t="shared" ca="1" si="40"/>
        <v>0</v>
      </c>
      <c r="AI91" s="59"/>
      <c r="AJ91" s="70"/>
      <c r="AK91" s="103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38"/>
        <v>0</v>
      </c>
      <c r="U92" s="19" t="b">
        <f t="shared" si="39"/>
        <v>0</v>
      </c>
      <c r="V92" s="19" t="b">
        <f t="shared" ca="1" si="40"/>
        <v>0</v>
      </c>
      <c r="AI92" s="59"/>
      <c r="AJ92" s="70"/>
      <c r="AK92" s="103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38"/>
        <v>0</v>
      </c>
      <c r="U93" s="19" t="b">
        <f t="shared" si="39"/>
        <v>0</v>
      </c>
      <c r="V93" s="19" t="b">
        <f t="shared" ca="1" si="40"/>
        <v>0</v>
      </c>
      <c r="AI93" s="59"/>
      <c r="AJ93" s="70"/>
      <c r="AK93" s="103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38"/>
        <v>0</v>
      </c>
      <c r="U94" s="19" t="b">
        <f t="shared" si="39"/>
        <v>0</v>
      </c>
      <c r="V94" s="19" t="b">
        <f t="shared" ca="1" si="40"/>
        <v>0</v>
      </c>
      <c r="AI94" s="59"/>
      <c r="AJ94" s="70"/>
      <c r="AK94" s="103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38"/>
        <v>0</v>
      </c>
      <c r="U95" s="19" t="b">
        <f t="shared" si="39"/>
        <v>0</v>
      </c>
      <c r="V95" s="19" t="b">
        <f t="shared" ca="1" si="40"/>
        <v>0</v>
      </c>
      <c r="AI95" s="59"/>
      <c r="AJ95" s="70"/>
      <c r="AK95" s="103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38"/>
        <v>0</v>
      </c>
      <c r="U96" s="19" t="b">
        <f t="shared" si="39"/>
        <v>0</v>
      </c>
      <c r="V96" s="19" t="b">
        <f t="shared" ca="1" si="40"/>
        <v>0</v>
      </c>
      <c r="AI96" s="59"/>
      <c r="AJ96" s="70"/>
      <c r="AK96" s="103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38"/>
        <v>0</v>
      </c>
      <c r="U97" s="19" t="b">
        <f t="shared" si="39"/>
        <v>0</v>
      </c>
      <c r="V97" s="19" t="b">
        <f t="shared" ca="1" si="40"/>
        <v>0</v>
      </c>
      <c r="AI97" s="59"/>
      <c r="AJ97" s="70"/>
      <c r="AK97" s="103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38"/>
        <v>0</v>
      </c>
      <c r="U98" s="19" t="b">
        <f t="shared" si="39"/>
        <v>0</v>
      </c>
      <c r="V98" s="19" t="b">
        <f t="shared" ca="1" si="40"/>
        <v>0</v>
      </c>
      <c r="AI98" s="59"/>
      <c r="AJ98" s="70"/>
      <c r="AK98" s="103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38"/>
        <v>0</v>
      </c>
      <c r="U99" s="19" t="b">
        <f t="shared" si="39"/>
        <v>0</v>
      </c>
      <c r="V99" s="19" t="b">
        <f t="shared" ca="1" si="40"/>
        <v>0</v>
      </c>
      <c r="AI99" s="59"/>
      <c r="AJ99" s="70"/>
      <c r="AK99" s="103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38"/>
        <v>0</v>
      </c>
      <c r="U100" s="19" t="b">
        <f t="shared" si="39"/>
        <v>0</v>
      </c>
      <c r="V100" s="19" t="b">
        <f t="shared" ca="1" si="40"/>
        <v>0</v>
      </c>
      <c r="AI100" s="59"/>
      <c r="AJ100" s="70"/>
      <c r="AK100" s="103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38"/>
        <v>0</v>
      </c>
      <c r="U101" s="19" t="b">
        <f t="shared" si="39"/>
        <v>0</v>
      </c>
      <c r="V101" s="19" t="b">
        <f t="shared" ca="1" si="40"/>
        <v>0</v>
      </c>
      <c r="AI101" s="59"/>
      <c r="AJ101" s="70"/>
      <c r="AK101" s="103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38"/>
        <v>0</v>
      </c>
      <c r="U102" s="19" t="b">
        <f t="shared" si="39"/>
        <v>0</v>
      </c>
      <c r="V102" s="19" t="b">
        <f t="shared" ca="1" si="40"/>
        <v>0</v>
      </c>
      <c r="AI102" s="59"/>
      <c r="AJ102" s="70"/>
      <c r="AK102" s="103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38"/>
        <v>0</v>
      </c>
      <c r="U103" s="19" t="b">
        <f t="shared" si="39"/>
        <v>0</v>
      </c>
      <c r="V103" s="19" t="b">
        <f t="shared" ca="1" si="40"/>
        <v>0</v>
      </c>
      <c r="AI103" s="59"/>
      <c r="AJ103" s="70"/>
      <c r="AK103" s="103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38"/>
        <v>0</v>
      </c>
      <c r="U104" s="19" t="b">
        <f t="shared" si="39"/>
        <v>0</v>
      </c>
      <c r="V104" s="19" t="b">
        <f t="shared" ca="1" si="40"/>
        <v>0</v>
      </c>
      <c r="AI104" s="59"/>
      <c r="AJ104" s="70"/>
      <c r="AK104" s="103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38"/>
        <v>0</v>
      </c>
      <c r="U105" s="19" t="b">
        <f t="shared" si="39"/>
        <v>0</v>
      </c>
      <c r="V105" s="19" t="b">
        <f t="shared" ca="1" si="40"/>
        <v>0</v>
      </c>
      <c r="AI105" s="59"/>
      <c r="AJ105" s="70"/>
      <c r="AK105" s="103"/>
      <c r="AL105" s="87"/>
      <c r="AM105" s="87"/>
      <c r="AN105" s="87"/>
      <c r="AO105" s="87"/>
      <c r="AP105" s="87"/>
    </row>
  </sheetData>
  <phoneticPr fontId="2"/>
  <conditionalFormatting sqref="B2:C2">
    <cfRule type="expression" dxfId="94" priority="13">
      <formula>ISERROR(B2)</formula>
    </cfRule>
  </conditionalFormatting>
  <conditionalFormatting sqref="B6:B105">
    <cfRule type="expression" dxfId="93" priority="11">
      <formula>COUNTIF(FIELD_NAME,B6)&gt;1</formula>
    </cfRule>
    <cfRule type="expression" dxfId="92" priority="12">
      <formula>AND($B6&lt;&gt;"",ISNA(MATCH($B6,項目リスト,0)))</formula>
    </cfRule>
  </conditionalFormatting>
  <conditionalFormatting sqref="B6">
    <cfRule type="expression" dxfId="91" priority="10">
      <formula>$AI$6="N/A"</formula>
    </cfRule>
  </conditionalFormatting>
  <conditionalFormatting sqref="D1">
    <cfRule type="cellIs" dxfId="90" priority="9" operator="greaterThan">
      <formula>0</formula>
    </cfRule>
  </conditionalFormatting>
  <conditionalFormatting sqref="L8:P8">
    <cfRule type="expression" dxfId="89" priority="15">
      <formula>Y8</formula>
    </cfRule>
    <cfRule type="expression" dxfId="88" priority="16">
      <formula>Y7</formula>
    </cfRule>
  </conditionalFormatting>
  <conditionalFormatting sqref="L13:P22 K33 K38 K43 K48">
    <cfRule type="expression" dxfId="87" priority="7">
      <formula>X13</formula>
    </cfRule>
    <cfRule type="expression" dxfId="86" priority="8">
      <formula>$AD13</formula>
    </cfRule>
  </conditionalFormatting>
  <conditionalFormatting sqref="L8">
    <cfRule type="expression" dxfId="85" priority="14">
      <formula>$AG$7</formula>
    </cfRule>
  </conditionalFormatting>
  <conditionalFormatting sqref="L55:P64">
    <cfRule type="expression" dxfId="84" priority="5">
      <formula>Y55</formula>
    </cfRule>
    <cfRule type="expression" dxfId="83" priority="6">
      <formula>$AD55</formula>
    </cfRule>
  </conditionalFormatting>
  <conditionalFormatting sqref="L27:P28 L32:P33 L37:P38 L42:P43 L47:P48">
    <cfRule type="expression" dxfId="82" priority="4">
      <formula>Y27</formula>
    </cfRule>
  </conditionalFormatting>
  <conditionalFormatting sqref="L27:P27 L32:P32 L37:P37 L42:P42 L47:P47">
    <cfRule type="expression" dxfId="80" priority="2">
      <formula>$AD27</formula>
    </cfRule>
    <cfRule type="expression" dxfId="81" priority="18">
      <formula>Y26</formula>
    </cfRule>
  </conditionalFormatting>
  <conditionalFormatting sqref="L28:P28 L33:P33 L38:P38 L43:P43 L48:P48">
    <cfRule type="expression" dxfId="78" priority="1">
      <formula>$AD27</formula>
    </cfRule>
    <cfRule type="expression" dxfId="79" priority="17">
      <formula>Y26</formula>
    </cfRule>
  </conditionalFormatting>
  <conditionalFormatting sqref="K28">
    <cfRule type="expression" dxfId="77" priority="19">
      <formula>X28</formula>
    </cfRule>
    <cfRule type="expression" dxfId="76" priority="20">
      <formula>$AD27</formula>
    </cfRule>
  </conditionalFormatting>
  <conditionalFormatting sqref="L27 L32 L37 L42 L47">
    <cfRule type="expression" dxfId="75" priority="3">
      <formula>$AD26</formula>
    </cfRule>
  </conditionalFormatting>
  <conditionalFormatting sqref="E6">
    <cfRule type="expression" dxfId="74" priority="21" stopIfTrue="1">
      <formula>$V6</formula>
    </cfRule>
  </conditionalFormatting>
  <conditionalFormatting sqref="E7">
    <cfRule type="expression" dxfId="73" priority="22" stopIfTrue="1">
      <formula>$V7</formula>
    </cfRule>
  </conditionalFormatting>
  <conditionalFormatting sqref="E8">
    <cfRule type="expression" dxfId="72" priority="23" stopIfTrue="1">
      <formula>$V8</formula>
    </cfRule>
  </conditionalFormatting>
  <conditionalFormatting sqref="E9">
    <cfRule type="expression" dxfId="71" priority="24" stopIfTrue="1">
      <formula>$V9</formula>
    </cfRule>
  </conditionalFormatting>
  <conditionalFormatting sqref="E10">
    <cfRule type="expression" dxfId="70" priority="25" stopIfTrue="1">
      <formula>$V10</formula>
    </cfRule>
  </conditionalFormatting>
  <dataValidations count="14">
    <dataValidation imeMode="off" allowBlank="1" showInputMessage="1" showErrorMessage="1" sqref="D5:F5 C2" xr:uid="{32958C34-2AC7-4F58-B116-E7C3A3EA3005}"/>
    <dataValidation type="list" allowBlank="1" showInputMessage="1" showErrorMessage="1" sqref="L29 N29 L34 N34 L39 N39 L44 N44 L49 N49" xr:uid="{0914BC75-4F98-4D64-92DA-9E8E2473DD40}">
      <formula1>FK_OPTION</formula1>
    </dataValidation>
    <dataValidation type="list" allowBlank="1" showInputMessage="1" showErrorMessage="1" sqref="L48:P48" xr:uid="{F952694D-5B0F-4663-BB0D-6D52F25B2B5D}">
      <formula1>FK_FIELD_5</formula1>
    </dataValidation>
    <dataValidation type="list" allowBlank="1" showInputMessage="1" showErrorMessage="1" sqref="L43:P43" xr:uid="{95E1436E-71D0-49DB-BA06-DB5D9690DAAA}">
      <formula1>FK_FIELD_4</formula1>
    </dataValidation>
    <dataValidation type="list" allowBlank="1" showInputMessage="1" showErrorMessage="1" sqref="L38:P38" xr:uid="{1A886C0B-CCCA-4463-8BDB-2DB49BC5E03A}">
      <formula1>FK_FIELD_3</formula1>
    </dataValidation>
    <dataValidation type="list" allowBlank="1" showInputMessage="1" showErrorMessage="1" sqref="L33:P33" xr:uid="{5F4DB399-8ADD-4ACA-9CAE-00AC3C7CEAAB}">
      <formula1>FK_FIELD_2</formula1>
    </dataValidation>
    <dataValidation type="list" allowBlank="1" showInputMessage="1" showErrorMessage="1" sqref="L28:P28" xr:uid="{F8F57839-E162-48A4-ACF2-01E59322B145}">
      <formula1>FK_FIELD_1</formula1>
    </dataValidation>
    <dataValidation type="list" allowBlank="1" showInputMessage="1" showErrorMessage="1" sqref="K28 K33 K38 K43 K48" xr:uid="{BB07C20C-7595-4F7C-BEFF-DB3EB8ED0FAB}">
      <formula1>TABLEリスト</formula1>
    </dataValidation>
    <dataValidation type="list" allowBlank="1" showInputMessage="1" showErrorMessage="1" sqref="F2" xr:uid="{F5F617B5-15A0-4137-B891-8F7426348E8E}">
      <formula1>"○,-"</formula1>
    </dataValidation>
    <dataValidation type="list" allowBlank="1" showInputMessage="1" showErrorMessage="1" sqref="L13:P22 L42:P42 L55:P64 L32:P32 L37:P37 L27:P27 L47:P47" xr:uid="{21D7225E-5956-49B5-AAD9-A2F4116C4E1C}">
      <formula1>FIELDリスト</formula1>
    </dataValidation>
    <dataValidation type="list" allowBlank="1" showInputMessage="1" showErrorMessage="1" sqref="L8:P8" xr:uid="{BE083D3F-5518-4D70-B078-C7C0022DDE98}">
      <formula1>FIELDリストNN</formula1>
    </dataValidation>
    <dataValidation type="whole" imeMode="off" operator="equal" allowBlank="1" showInputMessage="1" showErrorMessage="1" error="NotNullの場合は[1]を入力する。" sqref="E6:E105" xr:uid="{31B54AC3-FA34-44A3-98ED-ACE62679EB31}">
      <formula1>1</formula1>
    </dataValidation>
    <dataValidation type="list" allowBlank="1" showInputMessage="1" showErrorMessage="1" sqref="B6:B105" xr:uid="{F16F40E7-5E9A-4D31-8691-36B12BD65AD0}">
      <formula1>項目リスト</formula1>
    </dataValidation>
    <dataValidation imeMode="on" allowBlank="1" showInputMessage="1" showErrorMessage="1" sqref="K12 A5 A1:A2 E2 K7 F6:H105 K54" xr:uid="{00157104-0B7D-4698-A56E-0BECC3A046BF}"/>
  </dataValidations>
  <hyperlinks>
    <hyperlink ref="E1" location="一覧!R1C1" display="一覧へ" xr:uid="{D2DAFDC1-C105-4A25-9BF9-463CF570004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19AB-8349-4E80-9CF4-94BC90E31E2A}">
  <sheetPr codeName="template2">
    <tabColor rgb="FFFFFFFF"/>
  </sheetPr>
  <dimension ref="A1:AP105"/>
  <sheetViews>
    <sheetView showGridLines="0" tabSelected="1" workbookViewId="0">
      <pane ySplit="5" topLeftCell="A6" activePane="bottomLeft" state="frozen"/>
      <selection pane="bottomLeft" activeCell="B11" sqref="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184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4" t="s">
        <v>190</v>
      </c>
      <c r="AJ4" s="104" t="s">
        <v>191</v>
      </c>
      <c r="AK4" s="104" t="s">
        <v>8</v>
      </c>
      <c r="AL4" s="104" t="s">
        <v>185</v>
      </c>
      <c r="AM4" s="104" t="s">
        <v>186</v>
      </c>
      <c r="AN4" s="104" t="s">
        <v>187</v>
      </c>
      <c r="AO4" s="104" t="s">
        <v>188</v>
      </c>
      <c r="AP4" s="104" t="s">
        <v>189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103">
        <f>COUNTA(AK6:AK105)</f>
        <v>2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103" t="s">
        <v>183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28</v>
      </c>
      <c r="AJ7" s="70" t="s">
        <v>28</v>
      </c>
      <c r="AK7" s="103" t="s">
        <v>175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32</v>
      </c>
      <c r="AK8" s="103"/>
      <c r="AL8" s="87"/>
      <c r="AM8" s="87"/>
      <c r="AN8" s="87"/>
      <c r="AO8" s="87"/>
      <c r="AP8" s="87"/>
    </row>
    <row r="9" spans="1:42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32</v>
      </c>
      <c r="AJ9" s="70"/>
      <c r="AK9" s="103"/>
      <c r="AL9" s="87"/>
      <c r="AM9" s="87"/>
      <c r="AN9" s="87"/>
      <c r="AO9" s="87"/>
      <c r="AP9" s="87"/>
    </row>
    <row r="10" spans="1:42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22</v>
      </c>
      <c r="AJ10" s="70"/>
      <c r="AK10" s="103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3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198</v>
      </c>
      <c r="AF12" s="7" t="s">
        <v>197</v>
      </c>
      <c r="AG12" s="7" t="b">
        <f ca="1">OR($Y$26:$AC$26,$Y$31:$AC$31,$Y$36:$AC$36,$Y$41:$AC$41,$Y$46:$AC$46)</f>
        <v>0</v>
      </c>
      <c r="AI12" s="59"/>
      <c r="AJ12" s="70"/>
      <c r="AK12" s="103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3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199</v>
      </c>
      <c r="AG14" s="7" t="b">
        <f>OR($AD$26,$AD$31,$AD$36,$AD$41,$AD$46)</f>
        <v>0</v>
      </c>
      <c r="AI14" s="59"/>
      <c r="AJ14" s="70"/>
      <c r="AK14" s="103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3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3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3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3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3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3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3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3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3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196</v>
      </c>
      <c r="AI24" s="59"/>
      <c r="AJ24" s="70"/>
      <c r="AK24" s="103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197</v>
      </c>
      <c r="AD25" s="7" t="s">
        <v>199</v>
      </c>
      <c r="AI25" s="59"/>
      <c r="AJ25" s="70"/>
      <c r="AK25" s="103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>
        <v>1</v>
      </c>
      <c r="L26" s="106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AND(K28&lt;&gt;"",R27="")</f>
        <v>0</v>
      </c>
      <c r="AE26" s="7" t="s">
        <v>199</v>
      </c>
      <c r="AI26" s="59"/>
      <c r="AJ26" s="70"/>
      <c r="AK26" s="103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8" t="s">
        <v>179</v>
      </c>
      <c r="L27" s="96"/>
      <c r="M27" s="77"/>
      <c r="N27" s="77"/>
      <c r="O27" s="77"/>
      <c r="P27" s="78"/>
      <c r="R27" s="87" t="str">
        <f>_xlfn.CONCAT(L27:P27)</f>
        <v/>
      </c>
      <c r="S27" s="70" t="str">
        <f>_xlfn.CONCAT(K28,R27)</f>
        <v/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t="shared" ref="Y27:Y28" ca="1" si="12">OR(AND(L27&lt;&gt;"",ISNA(MATCH(L27,FIELDリスト,0))),COUNTIF($L27:$P27,L27)&gt;1)</f>
        <v>0</v>
      </c>
      <c r="Z27" s="19" t="b">
        <f t="shared" ref="Z27:Z28" ca="1" si="13">OR(AND(M27&lt;&gt;"",ISNA(MATCH(M27,FIELDリスト,0))),COUNTIF($L27:$P27,M27)&gt;1)</f>
        <v>0</v>
      </c>
      <c r="AA27" s="19" t="b">
        <f t="shared" ref="AA27:AA28" ca="1" si="14">OR(AND(N27&lt;&gt;"",ISNA(MATCH(N27,FIELDリスト,0))),COUNTIF($L27:$P27,N27)&gt;1)</f>
        <v>0</v>
      </c>
      <c r="AB27" s="19" t="b">
        <f t="shared" ref="AB27:AB28" ca="1" si="15">OR(AND(O27&lt;&gt;"",ISNA(MATCH(O27,FIELDリスト,0))),COUNTIF($L27:$P27,O27)&gt;1)</f>
        <v>0</v>
      </c>
      <c r="AC27" s="19" t="b">
        <f t="shared" ref="AC27:AC28" ca="1" si="16">OR(AND(P27&lt;&gt;"",ISNA(MATCH(P27,FIELDリスト,0))),COUNTIF($L27:$P27,P27)&gt;1)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3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99"/>
      <c r="L28" s="97"/>
      <c r="M28" s="85"/>
      <c r="N28" s="85"/>
      <c r="O28" s="85"/>
      <c r="P28" s="86"/>
      <c r="R28" s="87" t="str">
        <f>_xlfn.CONCAT(L28:P28)</f>
        <v/>
      </c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OR(AND(L28&lt;&gt;"",ISNA(MATCH(L28,FK_FIELD_1,0))),COUNTIF($L28:$P28,L28)&gt;1)</f>
        <v>0</v>
      </c>
      <c r="Z28" s="19" t="b">
        <f ca="1">OR(AND(M28&lt;&gt;"",ISNA(MATCH(M28,FK_FIELD_1,0))),COUNTIF($L28:$P28,M28)&gt;1)</f>
        <v>0</v>
      </c>
      <c r="AA28" s="19" t="b">
        <f ca="1">OR(AND(N28&lt;&gt;"",ISNA(MATCH(N28,FK_FIELD_1,0))),COUNTIF($L28:$P28,N28)&gt;1)</f>
        <v>0</v>
      </c>
      <c r="AB28" s="19" t="b">
        <f ca="1">OR(AND(O28&lt;&gt;"",ISNA(MATCH(O28,FK_FIELD_1,0))),COUNTIF($L28:$P28,O28)&gt;1)</f>
        <v>0</v>
      </c>
      <c r="AC28" s="19" t="b">
        <f ca="1">OR(AND(P28&lt;&gt;"",ISNA(MATCH(P28,FK_FIELD_1,0))),COUNTIF($L28:$P28,P28)&gt;1)</f>
        <v>0</v>
      </c>
      <c r="AI28" s="59"/>
      <c r="AJ28" s="70"/>
      <c r="AK28" s="103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0" t="s">
        <v>180</v>
      </c>
      <c r="L29" s="101"/>
      <c r="M29" s="100" t="s">
        <v>181</v>
      </c>
      <c r="N29" s="101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IFERROR(VLOOKUP(L27,項目!DATA_AREA,8,FALSE),"N/A")</f>
        <v>N/A</v>
      </c>
      <c r="Z29" s="87" t="str">
        <f ca="1">IFERROR(VLOOKUP(M27,項目!DATA_AREA,8,FALSE),"N/A")</f>
        <v>N/A</v>
      </c>
      <c r="AA29" s="87" t="str">
        <f ca="1">IFERROR(VLOOKUP(N27,項目!DATA_AREA,8,FALSE),"N/A")</f>
        <v>N/A</v>
      </c>
      <c r="AB29" s="87" t="str">
        <f ca="1">IFERROR(VLOOKUP(O27,項目!DATA_AREA,8,FALSE),"N/A")</f>
        <v>N/A</v>
      </c>
      <c r="AC29" s="87" t="str">
        <f ca="1">IFERROR(VLOOKUP(P27,項目!DATA_AREA,8,FALSE),"N/A")</f>
        <v>N/A</v>
      </c>
      <c r="AI29" s="59"/>
      <c r="AJ29" s="70"/>
      <c r="AK29" s="103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IFERROR(VLOOKUP(L28,項目!DATA_AREA,8,FALSE),"N/A")</f>
        <v>N/A</v>
      </c>
      <c r="Z30" s="87" t="str">
        <f ca="1">IFERROR(VLOOKUP(M28,項目!DATA_AREA,8,FALSE),"N/A")</f>
        <v>N/A</v>
      </c>
      <c r="AA30" s="87" t="str">
        <f ca="1">IFERROR(VLOOKUP(N28,項目!DATA_AREA,8,FALSE),"N/A")</f>
        <v>N/A</v>
      </c>
      <c r="AB30" s="87" t="str">
        <f ca="1">IFERROR(VLOOKUP(O28,項目!DATA_AREA,8,FALSE),"N/A")</f>
        <v>N/A</v>
      </c>
      <c r="AC30" s="87" t="str">
        <f ca="1">IFERROR(VLOOKUP(P28,項目!DATA_AREA,8,FALSE),"N/A")</f>
        <v>N/A</v>
      </c>
      <c r="AI30" s="59"/>
      <c r="AJ30" s="70"/>
      <c r="AK30" s="103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>
        <v>2</v>
      </c>
      <c r="L31" s="106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AND(K33&lt;&gt;"",R32="")</f>
        <v>0</v>
      </c>
      <c r="AI31" s="59"/>
      <c r="AJ31" s="70"/>
      <c r="AK31" s="103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8" t="s">
        <v>179</v>
      </c>
      <c r="L32" s="96"/>
      <c r="M32" s="77"/>
      <c r="N32" s="77"/>
      <c r="O32" s="77"/>
      <c r="P32" s="78"/>
      <c r="R32" s="87" t="str">
        <f>_xlfn.CONCAT(L32:P32)</f>
        <v/>
      </c>
      <c r="S32" s="70" t="str">
        <f>_xlfn.CONCAT(K33,R32)</f>
        <v/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t="shared" ref="Y32:Y33" ca="1" si="17">OR(AND(L32&lt;&gt;"",ISNA(MATCH(L32,FIELDリスト,0))),COUNTIF($L32:$P32,L32)&gt;1)</f>
        <v>0</v>
      </c>
      <c r="Z32" s="19" t="b">
        <f t="shared" ref="Z32:Z33" ca="1" si="18">OR(AND(M32&lt;&gt;"",ISNA(MATCH(M32,FIELDリスト,0))),COUNTIF($L32:$P32,M32)&gt;1)</f>
        <v>0</v>
      </c>
      <c r="AA32" s="19" t="b">
        <f t="shared" ref="AA32:AA33" ca="1" si="19">OR(AND(N32&lt;&gt;"",ISNA(MATCH(N32,FIELDリスト,0))),COUNTIF($L32:$P32,N32)&gt;1)</f>
        <v>0</v>
      </c>
      <c r="AB32" s="19" t="b">
        <f t="shared" ref="AB32:AB33" ca="1" si="20">OR(AND(O32&lt;&gt;"",ISNA(MATCH(O32,FIELDリスト,0))),COUNTIF($L32:$P32,O32)&gt;1)</f>
        <v>0</v>
      </c>
      <c r="AC32" s="19" t="b">
        <f t="shared" ref="AC32:AC33" ca="1" si="21">OR(AND(P32&lt;&gt;"",ISNA(MATCH(P32,FIELDリスト,0))),COUNTIF($L32:$P32,P32)&gt;1)</f>
        <v>0</v>
      </c>
      <c r="AD32" s="19" t="b">
        <f>AND(S32&lt;&gt;"",COUNTIF($S$26:$S$48,S32)&gt;1)</f>
        <v>0</v>
      </c>
      <c r="AI32" s="59"/>
      <c r="AJ32" s="70"/>
      <c r="AK32" s="103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99"/>
      <c r="L33" s="97"/>
      <c r="M33" s="85"/>
      <c r="N33" s="85"/>
      <c r="O33" s="85"/>
      <c r="P33" s="86"/>
      <c r="R33" s="87" t="str">
        <f>_xlfn.CONCAT(L33:P33)</f>
        <v/>
      </c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OR(AND(L33&lt;&gt;"",ISNA(MATCH(L33,FK_FIELD_2,0))),COUNTIF($L33:$P33,L33)&gt;1)</f>
        <v>0</v>
      </c>
      <c r="Z33" s="19" t="b">
        <f ca="1">OR(AND(M33&lt;&gt;"",ISNA(MATCH(M33,FK_FIELD_2,0))),COUNTIF($L33:$P33,M33)&gt;1)</f>
        <v>0</v>
      </c>
      <c r="AA33" s="19" t="b">
        <f ca="1">OR(AND(N33&lt;&gt;"",ISNA(MATCH(N33,FK_FIELD_2,0))),COUNTIF($L33:$P33,N33)&gt;1)</f>
        <v>0</v>
      </c>
      <c r="AB33" s="19" t="b">
        <f ca="1">OR(AND(O33&lt;&gt;"",ISNA(MATCH(O33,FK_FIELD_2,0))),COUNTIF($L33:$P33,O33)&gt;1)</f>
        <v>0</v>
      </c>
      <c r="AC33" s="19" t="b">
        <f ca="1">OR(AND(P33&lt;&gt;"",ISNA(MATCH(P33,FK_FIELD_2,0))),COUNTIF($L33:$P33,P33)&gt;1)</f>
        <v>0</v>
      </c>
      <c r="AI33" s="59"/>
      <c r="AJ33" s="70"/>
      <c r="AK33" s="103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0" t="s">
        <v>180</v>
      </c>
      <c r="L34" s="101"/>
      <c r="M34" s="100" t="s">
        <v>181</v>
      </c>
      <c r="N34" s="101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IFERROR(VLOOKUP(L32,項目!DATA_AREA,8,FALSE),"N/A")</f>
        <v>N/A</v>
      </c>
      <c r="Z34" s="87" t="str">
        <f ca="1">IFERROR(VLOOKUP(M32,項目!DATA_AREA,8,FALSE),"N/A")</f>
        <v>N/A</v>
      </c>
      <c r="AA34" s="87" t="str">
        <f ca="1">IFERROR(VLOOKUP(N32,項目!DATA_AREA,8,FALSE),"N/A")</f>
        <v>N/A</v>
      </c>
      <c r="AB34" s="87" t="str">
        <f ca="1">IFERROR(VLOOKUP(O32,項目!DATA_AREA,8,FALSE),"N/A")</f>
        <v>N/A</v>
      </c>
      <c r="AC34" s="87" t="str">
        <f ca="1">IFERROR(VLOOKUP(P32,項目!DATA_AREA,8,FALSE),"N/A")</f>
        <v>N/A</v>
      </c>
      <c r="AI34" s="59"/>
      <c r="AJ34" s="70"/>
      <c r="AK34" s="103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IFERROR(VLOOKUP(L33,項目!DATA_AREA,8,FALSE),"N/A")</f>
        <v>N/A</v>
      </c>
      <c r="Z35" s="87" t="str">
        <f ca="1">IFERROR(VLOOKUP(M33,項目!DATA_AREA,8,FALSE),"N/A")</f>
        <v>N/A</v>
      </c>
      <c r="AA35" s="87" t="str">
        <f ca="1">IFERROR(VLOOKUP(N33,項目!DATA_AREA,8,FALSE),"N/A")</f>
        <v>N/A</v>
      </c>
      <c r="AB35" s="87" t="str">
        <f ca="1">IFERROR(VLOOKUP(O33,項目!DATA_AREA,8,FALSE),"N/A")</f>
        <v>N/A</v>
      </c>
      <c r="AC35" s="87" t="str">
        <f ca="1">IFERROR(VLOOKUP(P33,項目!DATA_AREA,8,FALSE),"N/A")</f>
        <v>N/A</v>
      </c>
      <c r="AI35" s="59"/>
      <c r="AJ35" s="70"/>
      <c r="AK35" s="103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>
        <v>3</v>
      </c>
      <c r="L36" s="106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AND(K38&lt;&gt;"",R37="")</f>
        <v>0</v>
      </c>
      <c r="AI36" s="59"/>
      <c r="AJ36" s="70"/>
      <c r="AK36" s="103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8" t="s">
        <v>179</v>
      </c>
      <c r="L37" s="96"/>
      <c r="M37" s="77"/>
      <c r="N37" s="77"/>
      <c r="O37" s="77"/>
      <c r="P37" s="78"/>
      <c r="R37" s="87" t="str">
        <f>_xlfn.CONCAT(L37:P37)</f>
        <v/>
      </c>
      <c r="S37" s="70" t="str">
        <f>_xlfn.CONCAT(K38,R37)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t="shared" ref="Y37:Y38" ca="1" si="22">OR(AND(L37&lt;&gt;"",ISNA(MATCH(L37,FIELDリスト,0))),COUNTIF($L37:$P37,L37)&gt;1)</f>
        <v>0</v>
      </c>
      <c r="Z37" s="19" t="b">
        <f t="shared" ref="Z37:Z38" ca="1" si="23">OR(AND(M37&lt;&gt;"",ISNA(MATCH(M37,FIELDリスト,0))),COUNTIF($L37:$P37,M37)&gt;1)</f>
        <v>0</v>
      </c>
      <c r="AA37" s="19" t="b">
        <f t="shared" ref="AA37:AA38" ca="1" si="24">OR(AND(N37&lt;&gt;"",ISNA(MATCH(N37,FIELDリスト,0))),COUNTIF($L37:$P37,N37)&gt;1)</f>
        <v>0</v>
      </c>
      <c r="AB37" s="19" t="b">
        <f t="shared" ref="AB37:AB38" ca="1" si="25">OR(AND(O37&lt;&gt;"",ISNA(MATCH(O37,FIELDリスト,0))),COUNTIF($L37:$P37,O37)&gt;1)</f>
        <v>0</v>
      </c>
      <c r="AC37" s="19" t="b">
        <f t="shared" ref="AC37:AC38" ca="1" si="26">OR(AND(P37&lt;&gt;"",ISNA(MATCH(P37,FIELDリスト,0))),COUNTIF($L37:$P37,P37)&gt;1)</f>
        <v>0</v>
      </c>
      <c r="AD37" s="19" t="b">
        <f>AND(S37&lt;&gt;"",COUNTIF($S$26:$S$48,S37)&gt;1)</f>
        <v>0</v>
      </c>
      <c r="AI37" s="59"/>
      <c r="AJ37" s="70"/>
      <c r="AK37" s="103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99"/>
      <c r="L38" s="97"/>
      <c r="M38" s="85"/>
      <c r="N38" s="85"/>
      <c r="O38" s="85"/>
      <c r="P38" s="86"/>
      <c r="R38" s="87" t="str">
        <f>_xlfn.CONCAT(L38:P38)</f>
        <v/>
      </c>
      <c r="T38" s="19" t="b">
        <f t="shared" ca="1" si="0"/>
        <v>0</v>
      </c>
      <c r="U38" s="19" t="b">
        <f t="shared" ref="U38:U69" si="27">COUNTIF(FIELD_NAME,B38)&gt;1</f>
        <v>0</v>
      </c>
      <c r="V38" s="19" t="b">
        <f t="shared" ca="1" si="4"/>
        <v>0</v>
      </c>
      <c r="Y38" s="19" t="b">
        <f ca="1">OR(AND(L38&lt;&gt;"",ISNA(MATCH(L38,FK_FIELD_3,0))),COUNTIF($L38:$P38,L38)&gt;1)</f>
        <v>0</v>
      </c>
      <c r="Z38" s="19" t="b">
        <f ca="1">OR(AND(M38&lt;&gt;"",ISNA(MATCH(M38,FK_FIELD_3,0))),COUNTIF($L38:$P38,M38)&gt;1)</f>
        <v>0</v>
      </c>
      <c r="AA38" s="19" t="b">
        <f ca="1">OR(AND(N38&lt;&gt;"",ISNA(MATCH(N38,FK_FIELD_3,0))),COUNTIF($L38:$P38,N38)&gt;1)</f>
        <v>0</v>
      </c>
      <c r="AB38" s="19" t="b">
        <f ca="1">OR(AND(O38&lt;&gt;"",ISNA(MATCH(O38,FK_FIELD_3,0))),COUNTIF($L38:$P38,O38)&gt;1)</f>
        <v>0</v>
      </c>
      <c r="AC38" s="19" t="b">
        <f ca="1">OR(AND(P38&lt;&gt;"",ISNA(MATCH(P38,FK_FIELD_3,0))),COUNTIF($L38:$P38,P38)&gt;1)</f>
        <v>0</v>
      </c>
      <c r="AI38" s="59"/>
      <c r="AJ38" s="70"/>
      <c r="AK38" s="103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0" t="s">
        <v>180</v>
      </c>
      <c r="L39" s="101"/>
      <c r="M39" s="100" t="s">
        <v>181</v>
      </c>
      <c r="N39" s="101"/>
      <c r="T39" s="19" t="b">
        <f t="shared" ca="1" si="0"/>
        <v>0</v>
      </c>
      <c r="U39" s="19" t="b">
        <f t="shared" si="27"/>
        <v>0</v>
      </c>
      <c r="V39" s="19" t="b">
        <f t="shared" ca="1" si="4"/>
        <v>0</v>
      </c>
      <c r="Y39" s="87" t="str">
        <f ca="1">IFERROR(VLOOKUP(L37,項目!DATA_AREA,8,FALSE),"N/A")</f>
        <v>N/A</v>
      </c>
      <c r="Z39" s="87" t="str">
        <f ca="1">IFERROR(VLOOKUP(M37,項目!DATA_AREA,8,FALSE),"N/A")</f>
        <v>N/A</v>
      </c>
      <c r="AA39" s="87" t="str">
        <f ca="1">IFERROR(VLOOKUP(N37,項目!DATA_AREA,8,FALSE),"N/A")</f>
        <v>N/A</v>
      </c>
      <c r="AB39" s="87" t="str">
        <f ca="1">IFERROR(VLOOKUP(O37,項目!DATA_AREA,8,FALSE),"N/A")</f>
        <v>N/A</v>
      </c>
      <c r="AC39" s="87" t="str">
        <f ca="1">IFERROR(VLOOKUP(P37,項目!DATA_AREA,8,FALSE),"N/A")</f>
        <v>N/A</v>
      </c>
      <c r="AI39" s="59"/>
      <c r="AJ39" s="70"/>
      <c r="AK39" s="103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27"/>
        <v>0</v>
      </c>
      <c r="V40" s="19" t="b">
        <f t="shared" ca="1" si="4"/>
        <v>0</v>
      </c>
      <c r="Y40" s="87" t="str">
        <f ca="1">IFERROR(VLOOKUP(L38,項目!DATA_AREA,8,FALSE),"N/A")</f>
        <v>N/A</v>
      </c>
      <c r="Z40" s="87" t="str">
        <f ca="1">IFERROR(VLOOKUP(M38,項目!DATA_AREA,8,FALSE),"N/A")</f>
        <v>N/A</v>
      </c>
      <c r="AA40" s="87" t="str">
        <f ca="1">IFERROR(VLOOKUP(N38,項目!DATA_AREA,8,FALSE),"N/A")</f>
        <v>N/A</v>
      </c>
      <c r="AB40" s="87" t="str">
        <f ca="1">IFERROR(VLOOKUP(O38,項目!DATA_AREA,8,FALSE),"N/A")</f>
        <v>N/A</v>
      </c>
      <c r="AC40" s="87" t="str">
        <f ca="1">IFERROR(VLOOKUP(P38,項目!DATA_AREA,8,FALSE),"N/A")</f>
        <v>N/A</v>
      </c>
      <c r="AI40" s="59"/>
      <c r="AJ40" s="70"/>
      <c r="AK40" s="103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>
        <v>4</v>
      </c>
      <c r="L41" s="106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27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AND(K43&lt;&gt;"",R42="")</f>
        <v>0</v>
      </c>
      <c r="AI41" s="59"/>
      <c r="AJ41" s="70"/>
      <c r="AK41" s="103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8" t="s">
        <v>179</v>
      </c>
      <c r="L42" s="96"/>
      <c r="M42" s="77"/>
      <c r="N42" s="77"/>
      <c r="O42" s="77"/>
      <c r="P42" s="78"/>
      <c r="R42" s="87" t="str">
        <f>_xlfn.CONCAT(L42:P42)</f>
        <v/>
      </c>
      <c r="S42" s="70" t="str">
        <f>_xlfn.CONCAT(K43,R42)</f>
        <v/>
      </c>
      <c r="T42" s="19" t="b">
        <f t="shared" ca="1" si="0"/>
        <v>0</v>
      </c>
      <c r="U42" s="19" t="b">
        <f t="shared" si="27"/>
        <v>0</v>
      </c>
      <c r="V42" s="19" t="b">
        <f t="shared" ca="1" si="4"/>
        <v>0</v>
      </c>
      <c r="Y42" s="19" t="b">
        <f t="shared" ref="Y42:Y43" ca="1" si="28">OR(AND(L42&lt;&gt;"",ISNA(MATCH(L42,FIELDリスト,0))),COUNTIF($L42:$P42,L42)&gt;1)</f>
        <v>0</v>
      </c>
      <c r="Z42" s="19" t="b">
        <f t="shared" ref="Z42:Z43" ca="1" si="29">OR(AND(M42&lt;&gt;"",ISNA(MATCH(M42,FIELDリスト,0))),COUNTIF($L42:$P42,M42)&gt;1)</f>
        <v>0</v>
      </c>
      <c r="AA42" s="19" t="b">
        <f t="shared" ref="AA42:AA43" ca="1" si="30">OR(AND(N42&lt;&gt;"",ISNA(MATCH(N42,FIELDリスト,0))),COUNTIF($L42:$P42,N42)&gt;1)</f>
        <v>0</v>
      </c>
      <c r="AB42" s="19" t="b">
        <f t="shared" ref="AB42:AB43" ca="1" si="31">OR(AND(O42&lt;&gt;"",ISNA(MATCH(O42,FIELDリスト,0))),COUNTIF($L42:$P42,O42)&gt;1)</f>
        <v>0</v>
      </c>
      <c r="AC42" s="19" t="b">
        <f t="shared" ref="AC42:AC43" ca="1" si="32">OR(AND(P42&lt;&gt;"",ISNA(MATCH(P42,FIELDリスト,0))),COUNTIF($L42:$P42,P42)&gt;1)</f>
        <v>0</v>
      </c>
      <c r="AD42" s="19" t="b">
        <f>AND(S42&lt;&gt;"",COUNTIF($S$26:$S$48,S42)&gt;1)</f>
        <v>0</v>
      </c>
      <c r="AI42" s="59"/>
      <c r="AJ42" s="70"/>
      <c r="AK42" s="103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99"/>
      <c r="L43" s="97"/>
      <c r="M43" s="85"/>
      <c r="N43" s="85"/>
      <c r="O43" s="85"/>
      <c r="P43" s="86"/>
      <c r="R43" s="87" t="str">
        <f>_xlfn.CONCAT(L43:P43)</f>
        <v/>
      </c>
      <c r="T43" s="19" t="b">
        <f t="shared" ca="1" si="0"/>
        <v>0</v>
      </c>
      <c r="U43" s="19" t="b">
        <f t="shared" si="27"/>
        <v>0</v>
      </c>
      <c r="V43" s="19" t="b">
        <f t="shared" ca="1" si="4"/>
        <v>0</v>
      </c>
      <c r="Y43" s="19" t="b">
        <f ca="1">OR(AND(L43&lt;&gt;"",ISNA(MATCH(L43,FK_FIELD_4,0))),COUNTIF($L43:$P43,L43)&gt;1)</f>
        <v>0</v>
      </c>
      <c r="Z43" s="19" t="b">
        <f ca="1">OR(AND(M43&lt;&gt;"",ISNA(MATCH(M43,FK_FIELD_4,0))),COUNTIF($L43:$P43,M43)&gt;1)</f>
        <v>0</v>
      </c>
      <c r="AA43" s="19" t="b">
        <f ca="1">OR(AND(N43&lt;&gt;"",ISNA(MATCH(N43,FK_FIELD_4,0))),COUNTIF($L43:$P43,N43)&gt;1)</f>
        <v>0</v>
      </c>
      <c r="AB43" s="19" t="b">
        <f ca="1">OR(AND(O43&lt;&gt;"",ISNA(MATCH(O43,FK_FIELD_4,0))),COUNTIF($L43:$P43,O43)&gt;1)</f>
        <v>0</v>
      </c>
      <c r="AC43" s="19" t="b">
        <f ca="1">OR(AND(P43&lt;&gt;"",ISNA(MATCH(P43,FK_FIELD_4,0))),COUNTIF($L43:$P43,P43)&gt;1)</f>
        <v>0</v>
      </c>
      <c r="AI43" s="59"/>
      <c r="AJ43" s="70"/>
      <c r="AK43" s="103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0" t="s">
        <v>180</v>
      </c>
      <c r="L44" s="101"/>
      <c r="M44" s="100" t="s">
        <v>181</v>
      </c>
      <c r="N44" s="101"/>
      <c r="T44" s="19" t="b">
        <f t="shared" ca="1" si="0"/>
        <v>0</v>
      </c>
      <c r="U44" s="19" t="b">
        <f t="shared" si="27"/>
        <v>0</v>
      </c>
      <c r="V44" s="19" t="b">
        <f t="shared" ca="1" si="4"/>
        <v>0</v>
      </c>
      <c r="Y44" s="87" t="str">
        <f ca="1">IFERROR(VLOOKUP(L42,項目!DATA_AREA,8,FALSE),"N/A")</f>
        <v>N/A</v>
      </c>
      <c r="Z44" s="87" t="str">
        <f ca="1">IFERROR(VLOOKUP(M42,項目!DATA_AREA,8,FALSE),"N/A")</f>
        <v>N/A</v>
      </c>
      <c r="AA44" s="87" t="str">
        <f ca="1">IFERROR(VLOOKUP(N42,項目!DATA_AREA,8,FALSE),"N/A")</f>
        <v>N/A</v>
      </c>
      <c r="AB44" s="87" t="str">
        <f ca="1">IFERROR(VLOOKUP(O42,項目!DATA_AREA,8,FALSE),"N/A")</f>
        <v>N/A</v>
      </c>
      <c r="AC44" s="87" t="str">
        <f ca="1">IFERROR(VLOOKUP(P42,項目!DATA_AREA,8,FALSE),"N/A")</f>
        <v>N/A</v>
      </c>
      <c r="AI44" s="59"/>
      <c r="AJ44" s="70"/>
      <c r="AK44" s="103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27"/>
        <v>0</v>
      </c>
      <c r="V45" s="19" t="b">
        <f t="shared" ca="1" si="4"/>
        <v>0</v>
      </c>
      <c r="Y45" s="87" t="str">
        <f ca="1">IFERROR(VLOOKUP(L43,項目!DATA_AREA,8,FALSE),"N/A")</f>
        <v>N/A</v>
      </c>
      <c r="Z45" s="87" t="str">
        <f ca="1">IFERROR(VLOOKUP(M43,項目!DATA_AREA,8,FALSE),"N/A")</f>
        <v>N/A</v>
      </c>
      <c r="AA45" s="87" t="str">
        <f ca="1">IFERROR(VLOOKUP(N43,項目!DATA_AREA,8,FALSE),"N/A")</f>
        <v>N/A</v>
      </c>
      <c r="AB45" s="87" t="str">
        <f ca="1">IFERROR(VLOOKUP(O43,項目!DATA_AREA,8,FALSE),"N/A")</f>
        <v>N/A</v>
      </c>
      <c r="AC45" s="87" t="str">
        <f ca="1">IFERROR(VLOOKUP(P43,項目!DATA_AREA,8,FALSE),"N/A")</f>
        <v>N/A</v>
      </c>
      <c r="AI45" s="59"/>
      <c r="AJ45" s="70"/>
      <c r="AK45" s="103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>
        <v>5</v>
      </c>
      <c r="L46" s="106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27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AND(K48&lt;&gt;"",R47="")</f>
        <v>0</v>
      </c>
      <c r="AI46" s="59"/>
      <c r="AJ46" s="70"/>
      <c r="AK46" s="103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8" t="s">
        <v>179</v>
      </c>
      <c r="L47" s="96"/>
      <c r="M47" s="77"/>
      <c r="N47" s="77"/>
      <c r="O47" s="77"/>
      <c r="P47" s="78"/>
      <c r="R47" s="87" t="str">
        <f>_xlfn.CONCAT(L47:P47)</f>
        <v/>
      </c>
      <c r="S47" s="70" t="str">
        <f>_xlfn.CONCAT(L49,S48)</f>
        <v/>
      </c>
      <c r="T47" s="19" t="b">
        <f t="shared" ca="1" si="0"/>
        <v>0</v>
      </c>
      <c r="U47" s="19" t="b">
        <f t="shared" si="27"/>
        <v>0</v>
      </c>
      <c r="V47" s="19" t="b">
        <f t="shared" ca="1" si="4"/>
        <v>0</v>
      </c>
      <c r="Y47" s="19" t="b">
        <f t="shared" ref="Y47:Y48" ca="1" si="33">OR(AND(L47&lt;&gt;"",ISNA(MATCH(L47,FIELDリスト,0))),COUNTIF($L47:$P47,L47)&gt;1)</f>
        <v>0</v>
      </c>
      <c r="Z47" s="19" t="b">
        <f t="shared" ref="Z47:Z48" ca="1" si="34">OR(AND(M47&lt;&gt;"",ISNA(MATCH(M47,FIELDリスト,0))),COUNTIF($L47:$P47,M47)&gt;1)</f>
        <v>0</v>
      </c>
      <c r="AA47" s="19" t="b">
        <f t="shared" ref="AA47:AA48" ca="1" si="35">OR(AND(N47&lt;&gt;"",ISNA(MATCH(N47,FIELDリスト,0))),COUNTIF($L47:$P47,N47)&gt;1)</f>
        <v>0</v>
      </c>
      <c r="AB47" s="19" t="b">
        <f t="shared" ref="AB47:AB48" ca="1" si="36">OR(AND(O47&lt;&gt;"",ISNA(MATCH(O47,FIELDリスト,0))),COUNTIF($L47:$P47,O47)&gt;1)</f>
        <v>0</v>
      </c>
      <c r="AC47" s="19" t="b">
        <f t="shared" ref="AC47:AC48" ca="1" si="37">OR(AND(P47&lt;&gt;"",ISNA(MATCH(P47,FIELDリスト,0))),COUNTIF($L47:$P47,P47)&gt;1)</f>
        <v>0</v>
      </c>
      <c r="AD47" s="19" t="b">
        <f>AND(S47&lt;&gt;"",COUNTIF($S$26:$S$48,S47)&gt;1)</f>
        <v>0</v>
      </c>
      <c r="AI47" s="59"/>
      <c r="AJ47" s="70"/>
      <c r="AK47" s="103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99"/>
      <c r="L48" s="97"/>
      <c r="M48" s="85"/>
      <c r="N48" s="85"/>
      <c r="O48" s="85"/>
      <c r="P48" s="86"/>
      <c r="R48" s="87" t="str">
        <f>_xlfn.CONCAT(L48:P48)</f>
        <v/>
      </c>
      <c r="T48" s="19" t="b">
        <f t="shared" ca="1" si="0"/>
        <v>0</v>
      </c>
      <c r="U48" s="19" t="b">
        <f t="shared" si="27"/>
        <v>0</v>
      </c>
      <c r="V48" s="19" t="b">
        <f t="shared" ca="1" si="4"/>
        <v>0</v>
      </c>
      <c r="Y48" s="19" t="b">
        <f ca="1">OR(AND(L48&lt;&gt;"",ISNA(MATCH(L48,FK_FIELD_5,0))),COUNTIF($L48:$P48,L48)&gt;1)</f>
        <v>0</v>
      </c>
      <c r="Z48" s="19" t="b">
        <f ca="1">OR(AND(M48&lt;&gt;"",ISNA(MATCH(M48,FK_FIELD_5,0))),COUNTIF($L48:$P48,M48)&gt;1)</f>
        <v>0</v>
      </c>
      <c r="AA48" s="19" t="b">
        <f ca="1">OR(AND(N48&lt;&gt;"",ISNA(MATCH(N48,FK_FIELD_5,0))),COUNTIF($L48:$P48,N48)&gt;1)</f>
        <v>0</v>
      </c>
      <c r="AB48" s="19" t="b">
        <f ca="1">OR(AND(O48&lt;&gt;"",ISNA(MATCH(O48,FK_FIELD_5,0))),COUNTIF($L48:$P48,O48)&gt;1)</f>
        <v>0</v>
      </c>
      <c r="AC48" s="19" t="b">
        <f ca="1">OR(AND(P48&lt;&gt;"",ISNA(MATCH(P48,FK_FIELD_5,0))),COUNTIF($L48:$P48,P48)&gt;1)</f>
        <v>0</v>
      </c>
      <c r="AI48" s="59"/>
      <c r="AJ48" s="70"/>
      <c r="AK48" s="103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0" t="s">
        <v>180</v>
      </c>
      <c r="L49" s="101"/>
      <c r="M49" s="100" t="s">
        <v>181</v>
      </c>
      <c r="N49" s="101"/>
      <c r="T49" s="19" t="b">
        <f t="shared" ca="1" si="0"/>
        <v>0</v>
      </c>
      <c r="U49" s="19" t="b">
        <f t="shared" si="27"/>
        <v>0</v>
      </c>
      <c r="V49" s="19" t="b">
        <f t="shared" ca="1" si="4"/>
        <v>0</v>
      </c>
      <c r="Y49" s="87" t="str">
        <f ca="1">IFERROR(VLOOKUP(L47,項目!DATA_AREA,8,FALSE),"N/A")</f>
        <v>N/A</v>
      </c>
      <c r="Z49" s="87" t="str">
        <f ca="1">IFERROR(VLOOKUP(M47,項目!DATA_AREA,8,FALSE),"N/A")</f>
        <v>N/A</v>
      </c>
      <c r="AA49" s="87" t="str">
        <f ca="1">IFERROR(VLOOKUP(N47,項目!DATA_AREA,8,FALSE),"N/A")</f>
        <v>N/A</v>
      </c>
      <c r="AB49" s="87" t="str">
        <f ca="1">IFERROR(VLOOKUP(O47,項目!DATA_AREA,8,FALSE),"N/A")</f>
        <v>N/A</v>
      </c>
      <c r="AC49" s="87" t="str">
        <f ca="1">IFERROR(VLOOKUP(P47,項目!DATA_AREA,8,FALSE),"N/A")</f>
        <v>N/A</v>
      </c>
      <c r="AI49" s="59"/>
      <c r="AJ49" s="70"/>
      <c r="AK49" s="103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27"/>
        <v>0</v>
      </c>
      <c r="V50" s="19" t="b">
        <f t="shared" ca="1" si="4"/>
        <v>0</v>
      </c>
      <c r="Y50" s="87" t="str">
        <f ca="1">IFERROR(VLOOKUP(L48,項目!DATA_AREA,8,FALSE),"N/A")</f>
        <v>N/A</v>
      </c>
      <c r="Z50" s="87" t="str">
        <f ca="1">IFERROR(VLOOKUP(M48,項目!DATA_AREA,8,FALSE),"N/A")</f>
        <v>N/A</v>
      </c>
      <c r="AA50" s="87" t="str">
        <f ca="1">IFERROR(VLOOKUP(N48,項目!DATA_AREA,8,FALSE),"N/A")</f>
        <v>N/A</v>
      </c>
      <c r="AB50" s="87" t="str">
        <f ca="1">IFERROR(VLOOKUP(O48,項目!DATA_AREA,8,FALSE),"N/A")</f>
        <v>N/A</v>
      </c>
      <c r="AC50" s="87" t="str">
        <f ca="1">IFERROR(VLOOKUP(P48,項目!DATA_AREA,8,FALSE),"N/A")</f>
        <v>N/A</v>
      </c>
      <c r="AI50" s="59"/>
      <c r="AJ50" s="70"/>
      <c r="AK50" s="103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2"/>
      <c r="L51" s="102"/>
      <c r="M51" s="102"/>
      <c r="N51" s="102"/>
      <c r="O51" s="102"/>
      <c r="P51" s="102"/>
      <c r="T51" s="19" t="b">
        <f t="shared" ca="1" si="0"/>
        <v>0</v>
      </c>
      <c r="U51" s="19" t="b">
        <f t="shared" si="27"/>
        <v>0</v>
      </c>
      <c r="V51" s="19" t="b">
        <f t="shared" ca="1" si="4"/>
        <v>0</v>
      </c>
      <c r="AI51" s="59"/>
      <c r="AJ51" s="70"/>
      <c r="AK51" s="103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27"/>
        <v>0</v>
      </c>
      <c r="V52" s="19" t="b">
        <f t="shared" ca="1" si="4"/>
        <v>0</v>
      </c>
      <c r="AI52" s="59"/>
      <c r="AJ52" s="70"/>
      <c r="AK52" s="103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182</v>
      </c>
      <c r="T53" s="19" t="b">
        <f t="shared" ca="1" si="0"/>
        <v>0</v>
      </c>
      <c r="U53" s="19" t="b">
        <f t="shared" si="27"/>
        <v>0</v>
      </c>
      <c r="V53" s="19" t="b">
        <f t="shared" ca="1" si="4"/>
        <v>0</v>
      </c>
      <c r="AI53" s="59"/>
      <c r="AJ53" s="70"/>
      <c r="AK53" s="103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27"/>
        <v>0</v>
      </c>
      <c r="V54" s="19" t="b">
        <f t="shared" ca="1" si="4"/>
        <v>0</v>
      </c>
      <c r="AI54" s="59"/>
      <c r="AJ54" s="70"/>
      <c r="AK54" s="103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27"/>
        <v>0</v>
      </c>
      <c r="V55" s="19" t="b">
        <f t="shared" ca="1" si="4"/>
        <v>0</v>
      </c>
      <c r="AI55" s="59"/>
      <c r="AJ55" s="70"/>
      <c r="AK55" s="103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27"/>
        <v>0</v>
      </c>
      <c r="V56" s="19" t="b">
        <f t="shared" ca="1" si="4"/>
        <v>0</v>
      </c>
      <c r="AI56" s="59"/>
      <c r="AJ56" s="70"/>
      <c r="AK56" s="103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27"/>
        <v>0</v>
      </c>
      <c r="V57" s="19" t="b">
        <f t="shared" ca="1" si="4"/>
        <v>0</v>
      </c>
      <c r="AI57" s="59"/>
      <c r="AJ57" s="70"/>
      <c r="AK57" s="103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27"/>
        <v>0</v>
      </c>
      <c r="V58" s="19" t="b">
        <f t="shared" ca="1" si="4"/>
        <v>0</v>
      </c>
      <c r="AI58" s="59"/>
      <c r="AJ58" s="70"/>
      <c r="AK58" s="103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27"/>
        <v>0</v>
      </c>
      <c r="V59" s="19" t="b">
        <f t="shared" ca="1" si="4"/>
        <v>0</v>
      </c>
      <c r="AI59" s="59"/>
      <c r="AJ59" s="70"/>
      <c r="AK59" s="103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27"/>
        <v>0</v>
      </c>
      <c r="V60" s="19" t="b">
        <f t="shared" ca="1" si="4"/>
        <v>0</v>
      </c>
      <c r="AI60" s="59"/>
      <c r="AJ60" s="70"/>
      <c r="AK60" s="103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27"/>
        <v>0</v>
      </c>
      <c r="V61" s="19" t="b">
        <f t="shared" ca="1" si="4"/>
        <v>0</v>
      </c>
      <c r="AI61" s="59"/>
      <c r="AJ61" s="70"/>
      <c r="AK61" s="103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27"/>
        <v>0</v>
      </c>
      <c r="V62" s="19" t="b">
        <f t="shared" ca="1" si="4"/>
        <v>0</v>
      </c>
      <c r="AI62" s="59"/>
      <c r="AJ62" s="70"/>
      <c r="AK62" s="103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27"/>
        <v>0</v>
      </c>
      <c r="V63" s="19" t="b">
        <f t="shared" ca="1" si="4"/>
        <v>0</v>
      </c>
      <c r="AI63" s="59"/>
      <c r="AJ63" s="70"/>
      <c r="AK63" s="103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27"/>
        <v>0</v>
      </c>
      <c r="V64" s="19" t="b">
        <f t="shared" ca="1" si="4"/>
        <v>0</v>
      </c>
      <c r="AI64" s="59"/>
      <c r="AJ64" s="70"/>
      <c r="AK64" s="103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27"/>
        <v>0</v>
      </c>
      <c r="V65" s="19" t="b">
        <f t="shared" ca="1" si="4"/>
        <v>0</v>
      </c>
      <c r="AI65" s="59"/>
      <c r="AJ65" s="70"/>
      <c r="AK65" s="103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27"/>
        <v>0</v>
      </c>
      <c r="V66" s="19" t="b">
        <f t="shared" ca="1" si="4"/>
        <v>0</v>
      </c>
      <c r="AI66" s="59"/>
      <c r="AJ66" s="70"/>
      <c r="AK66" s="103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27"/>
        <v>0</v>
      </c>
      <c r="V67" s="19" t="b">
        <f t="shared" ca="1" si="4"/>
        <v>0</v>
      </c>
      <c r="AI67" s="59"/>
      <c r="AJ67" s="70"/>
      <c r="AK67" s="103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27"/>
        <v>0</v>
      </c>
      <c r="V68" s="19" t="b">
        <f t="shared" ca="1" si="4"/>
        <v>0</v>
      </c>
      <c r="AI68" s="59"/>
      <c r="AJ68" s="70"/>
      <c r="AK68" s="103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27"/>
        <v>0</v>
      </c>
      <c r="V69" s="19" t="b">
        <f t="shared" ca="1" si="4"/>
        <v>0</v>
      </c>
      <c r="AI69" s="59"/>
      <c r="AJ69" s="70"/>
      <c r="AK69" s="103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38">AND(B70&lt;&gt;"",ISNA(MATCH(B70,項目リスト,0)))</f>
        <v>0</v>
      </c>
      <c r="U70" s="19" t="b">
        <f t="shared" ref="U70:U105" si="39">COUNTIF(FIELD_NAME,B70)&gt;1</f>
        <v>0</v>
      </c>
      <c r="V70" s="19" t="b">
        <f t="shared" ca="1" si="4"/>
        <v>0</v>
      </c>
      <c r="AI70" s="59"/>
      <c r="AJ70" s="70"/>
      <c r="AK70" s="103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38"/>
        <v>0</v>
      </c>
      <c r="U71" s="19" t="b">
        <f t="shared" si="39"/>
        <v>0</v>
      </c>
      <c r="V71" s="19" t="b">
        <f t="shared" ca="1" si="4"/>
        <v>0</v>
      </c>
      <c r="AI71" s="59"/>
      <c r="AJ71" s="70"/>
      <c r="AK71" s="103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38"/>
        <v>0</v>
      </c>
      <c r="U72" s="19" t="b">
        <f t="shared" si="39"/>
        <v>0</v>
      </c>
      <c r="V72" s="19" t="b">
        <f t="shared" ca="1" si="4"/>
        <v>0</v>
      </c>
      <c r="AI72" s="59"/>
      <c r="AJ72" s="70"/>
      <c r="AK72" s="103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38"/>
        <v>0</v>
      </c>
      <c r="U73" s="19" t="b">
        <f t="shared" si="39"/>
        <v>0</v>
      </c>
      <c r="V73" s="19" t="b">
        <f t="shared" ref="V73:V105" ca="1" si="40">AND(E73="",H73&lt;&gt;"",H73)</f>
        <v>0</v>
      </c>
      <c r="AI73" s="59"/>
      <c r="AJ73" s="70"/>
      <c r="AK73" s="103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38"/>
        <v>0</v>
      </c>
      <c r="U74" s="19" t="b">
        <f t="shared" si="39"/>
        <v>0</v>
      </c>
      <c r="V74" s="19" t="b">
        <f t="shared" ca="1" si="40"/>
        <v>0</v>
      </c>
      <c r="AI74" s="59"/>
      <c r="AJ74" s="70"/>
      <c r="AK74" s="103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38"/>
        <v>0</v>
      </c>
      <c r="U75" s="19" t="b">
        <f t="shared" si="39"/>
        <v>0</v>
      </c>
      <c r="V75" s="19" t="b">
        <f t="shared" ca="1" si="40"/>
        <v>0</v>
      </c>
      <c r="AI75" s="59"/>
      <c r="AJ75" s="70"/>
      <c r="AK75" s="103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38"/>
        <v>0</v>
      </c>
      <c r="U76" s="19" t="b">
        <f t="shared" si="39"/>
        <v>0</v>
      </c>
      <c r="V76" s="19" t="b">
        <f t="shared" ca="1" si="40"/>
        <v>0</v>
      </c>
      <c r="AI76" s="59"/>
      <c r="AJ76" s="70"/>
      <c r="AK76" s="103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38"/>
        <v>0</v>
      </c>
      <c r="U77" s="19" t="b">
        <f t="shared" si="39"/>
        <v>0</v>
      </c>
      <c r="V77" s="19" t="b">
        <f t="shared" ca="1" si="40"/>
        <v>0</v>
      </c>
      <c r="AI77" s="59"/>
      <c r="AJ77" s="70"/>
      <c r="AK77" s="103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38"/>
        <v>0</v>
      </c>
      <c r="U78" s="19" t="b">
        <f t="shared" si="39"/>
        <v>0</v>
      </c>
      <c r="V78" s="19" t="b">
        <f t="shared" ca="1" si="40"/>
        <v>0</v>
      </c>
      <c r="AI78" s="59"/>
      <c r="AJ78" s="70"/>
      <c r="AK78" s="103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38"/>
        <v>0</v>
      </c>
      <c r="U79" s="19" t="b">
        <f t="shared" si="39"/>
        <v>0</v>
      </c>
      <c r="V79" s="19" t="b">
        <f t="shared" ca="1" si="40"/>
        <v>0</v>
      </c>
      <c r="AI79" s="59"/>
      <c r="AJ79" s="70"/>
      <c r="AK79" s="103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38"/>
        <v>0</v>
      </c>
      <c r="U80" s="19" t="b">
        <f t="shared" si="39"/>
        <v>0</v>
      </c>
      <c r="V80" s="19" t="b">
        <f t="shared" ca="1" si="40"/>
        <v>0</v>
      </c>
      <c r="AI80" s="59"/>
      <c r="AJ80" s="70"/>
      <c r="AK80" s="103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38"/>
        <v>0</v>
      </c>
      <c r="U81" s="19" t="b">
        <f t="shared" si="39"/>
        <v>0</v>
      </c>
      <c r="V81" s="19" t="b">
        <f t="shared" ca="1" si="40"/>
        <v>0</v>
      </c>
      <c r="AI81" s="59"/>
      <c r="AJ81" s="70"/>
      <c r="AK81" s="103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38"/>
        <v>0</v>
      </c>
      <c r="U82" s="19" t="b">
        <f t="shared" si="39"/>
        <v>0</v>
      </c>
      <c r="V82" s="19" t="b">
        <f t="shared" ca="1" si="40"/>
        <v>0</v>
      </c>
      <c r="AI82" s="59"/>
      <c r="AJ82" s="70"/>
      <c r="AK82" s="103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38"/>
        <v>0</v>
      </c>
      <c r="U83" s="19" t="b">
        <f t="shared" si="39"/>
        <v>0</v>
      </c>
      <c r="V83" s="19" t="b">
        <f t="shared" ca="1" si="40"/>
        <v>0</v>
      </c>
      <c r="AI83" s="59"/>
      <c r="AJ83" s="70"/>
      <c r="AK83" s="103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38"/>
        <v>0</v>
      </c>
      <c r="U84" s="19" t="b">
        <f t="shared" si="39"/>
        <v>0</v>
      </c>
      <c r="V84" s="19" t="b">
        <f t="shared" ca="1" si="40"/>
        <v>0</v>
      </c>
      <c r="AI84" s="59"/>
      <c r="AJ84" s="70"/>
      <c r="AK84" s="103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38"/>
        <v>0</v>
      </c>
      <c r="U85" s="19" t="b">
        <f t="shared" si="39"/>
        <v>0</v>
      </c>
      <c r="V85" s="19" t="b">
        <f t="shared" ca="1" si="40"/>
        <v>0</v>
      </c>
      <c r="AI85" s="59"/>
      <c r="AJ85" s="70"/>
      <c r="AK85" s="103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38"/>
        <v>0</v>
      </c>
      <c r="U86" s="19" t="b">
        <f t="shared" si="39"/>
        <v>0</v>
      </c>
      <c r="V86" s="19" t="b">
        <f t="shared" ca="1" si="40"/>
        <v>0</v>
      </c>
      <c r="AI86" s="59"/>
      <c r="AJ86" s="70"/>
      <c r="AK86" s="103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38"/>
        <v>0</v>
      </c>
      <c r="U87" s="19" t="b">
        <f t="shared" si="39"/>
        <v>0</v>
      </c>
      <c r="V87" s="19" t="b">
        <f t="shared" ca="1" si="40"/>
        <v>0</v>
      </c>
      <c r="AI87" s="59"/>
      <c r="AJ87" s="70"/>
      <c r="AK87" s="103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38"/>
        <v>0</v>
      </c>
      <c r="U88" s="19" t="b">
        <f t="shared" si="39"/>
        <v>0</v>
      </c>
      <c r="V88" s="19" t="b">
        <f t="shared" ca="1" si="40"/>
        <v>0</v>
      </c>
      <c r="AI88" s="59"/>
      <c r="AJ88" s="70"/>
      <c r="AK88" s="103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38"/>
        <v>0</v>
      </c>
      <c r="U89" s="19" t="b">
        <f t="shared" si="39"/>
        <v>0</v>
      </c>
      <c r="V89" s="19" t="b">
        <f t="shared" ca="1" si="40"/>
        <v>0</v>
      </c>
      <c r="AI89" s="59"/>
      <c r="AJ89" s="70"/>
      <c r="AK89" s="103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38"/>
        <v>0</v>
      </c>
      <c r="U90" s="19" t="b">
        <f t="shared" si="39"/>
        <v>0</v>
      </c>
      <c r="V90" s="19" t="b">
        <f t="shared" ca="1" si="40"/>
        <v>0</v>
      </c>
      <c r="AI90" s="59"/>
      <c r="AJ90" s="70"/>
      <c r="AK90" s="103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38"/>
        <v>0</v>
      </c>
      <c r="U91" s="19" t="b">
        <f t="shared" si="39"/>
        <v>0</v>
      </c>
      <c r="V91" s="19" t="b">
        <f t="shared" ca="1" si="40"/>
        <v>0</v>
      </c>
      <c r="AI91" s="59"/>
      <c r="AJ91" s="70"/>
      <c r="AK91" s="103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38"/>
        <v>0</v>
      </c>
      <c r="U92" s="19" t="b">
        <f t="shared" si="39"/>
        <v>0</v>
      </c>
      <c r="V92" s="19" t="b">
        <f t="shared" ca="1" si="40"/>
        <v>0</v>
      </c>
      <c r="AI92" s="59"/>
      <c r="AJ92" s="70"/>
      <c r="AK92" s="103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38"/>
        <v>0</v>
      </c>
      <c r="U93" s="19" t="b">
        <f t="shared" si="39"/>
        <v>0</v>
      </c>
      <c r="V93" s="19" t="b">
        <f t="shared" ca="1" si="40"/>
        <v>0</v>
      </c>
      <c r="AI93" s="59"/>
      <c r="AJ93" s="70"/>
      <c r="AK93" s="103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38"/>
        <v>0</v>
      </c>
      <c r="U94" s="19" t="b">
        <f t="shared" si="39"/>
        <v>0</v>
      </c>
      <c r="V94" s="19" t="b">
        <f t="shared" ca="1" si="40"/>
        <v>0</v>
      </c>
      <c r="AI94" s="59"/>
      <c r="AJ94" s="70"/>
      <c r="AK94" s="103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38"/>
        <v>0</v>
      </c>
      <c r="U95" s="19" t="b">
        <f t="shared" si="39"/>
        <v>0</v>
      </c>
      <c r="V95" s="19" t="b">
        <f t="shared" ca="1" si="40"/>
        <v>0</v>
      </c>
      <c r="AI95" s="59"/>
      <c r="AJ95" s="70"/>
      <c r="AK95" s="103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38"/>
        <v>0</v>
      </c>
      <c r="U96" s="19" t="b">
        <f t="shared" si="39"/>
        <v>0</v>
      </c>
      <c r="V96" s="19" t="b">
        <f t="shared" ca="1" si="40"/>
        <v>0</v>
      </c>
      <c r="AI96" s="59"/>
      <c r="AJ96" s="70"/>
      <c r="AK96" s="103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38"/>
        <v>0</v>
      </c>
      <c r="U97" s="19" t="b">
        <f t="shared" si="39"/>
        <v>0</v>
      </c>
      <c r="V97" s="19" t="b">
        <f t="shared" ca="1" si="40"/>
        <v>0</v>
      </c>
      <c r="AI97" s="59"/>
      <c r="AJ97" s="70"/>
      <c r="AK97" s="103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38"/>
        <v>0</v>
      </c>
      <c r="U98" s="19" t="b">
        <f t="shared" si="39"/>
        <v>0</v>
      </c>
      <c r="V98" s="19" t="b">
        <f t="shared" ca="1" si="40"/>
        <v>0</v>
      </c>
      <c r="AI98" s="59"/>
      <c r="AJ98" s="70"/>
      <c r="AK98" s="103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38"/>
        <v>0</v>
      </c>
      <c r="U99" s="19" t="b">
        <f t="shared" si="39"/>
        <v>0</v>
      </c>
      <c r="V99" s="19" t="b">
        <f t="shared" ca="1" si="40"/>
        <v>0</v>
      </c>
      <c r="AI99" s="59"/>
      <c r="AJ99" s="70"/>
      <c r="AK99" s="103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38"/>
        <v>0</v>
      </c>
      <c r="U100" s="19" t="b">
        <f t="shared" si="39"/>
        <v>0</v>
      </c>
      <c r="V100" s="19" t="b">
        <f t="shared" ca="1" si="40"/>
        <v>0</v>
      </c>
      <c r="AI100" s="59"/>
      <c r="AJ100" s="70"/>
      <c r="AK100" s="103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38"/>
        <v>0</v>
      </c>
      <c r="U101" s="19" t="b">
        <f t="shared" si="39"/>
        <v>0</v>
      </c>
      <c r="V101" s="19" t="b">
        <f t="shared" ca="1" si="40"/>
        <v>0</v>
      </c>
      <c r="AI101" s="59"/>
      <c r="AJ101" s="70"/>
      <c r="AK101" s="103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38"/>
        <v>0</v>
      </c>
      <c r="U102" s="19" t="b">
        <f t="shared" si="39"/>
        <v>0</v>
      </c>
      <c r="V102" s="19" t="b">
        <f t="shared" ca="1" si="40"/>
        <v>0</v>
      </c>
      <c r="AI102" s="59"/>
      <c r="AJ102" s="70"/>
      <c r="AK102" s="103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38"/>
        <v>0</v>
      </c>
      <c r="U103" s="19" t="b">
        <f t="shared" si="39"/>
        <v>0</v>
      </c>
      <c r="V103" s="19" t="b">
        <f t="shared" ca="1" si="40"/>
        <v>0</v>
      </c>
      <c r="AI103" s="59"/>
      <c r="AJ103" s="70"/>
      <c r="AK103" s="103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38"/>
        <v>0</v>
      </c>
      <c r="U104" s="19" t="b">
        <f t="shared" si="39"/>
        <v>0</v>
      </c>
      <c r="V104" s="19" t="b">
        <f t="shared" ca="1" si="40"/>
        <v>0</v>
      </c>
      <c r="AI104" s="59"/>
      <c r="AJ104" s="70"/>
      <c r="AK104" s="103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38"/>
        <v>0</v>
      </c>
      <c r="U105" s="19" t="b">
        <f t="shared" si="39"/>
        <v>0</v>
      </c>
      <c r="V105" s="19" t="b">
        <f t="shared" ca="1" si="40"/>
        <v>0</v>
      </c>
      <c r="AI105" s="59"/>
      <c r="AJ105" s="70"/>
      <c r="AK105" s="103"/>
      <c r="AL105" s="87"/>
      <c r="AM105" s="87"/>
      <c r="AN105" s="87"/>
      <c r="AO105" s="87"/>
      <c r="AP105" s="87"/>
    </row>
  </sheetData>
  <phoneticPr fontId="2"/>
  <conditionalFormatting sqref="B2:C2">
    <cfRule type="expression" dxfId="69" priority="13">
      <formula>ISERROR(B2)</formula>
    </cfRule>
  </conditionalFormatting>
  <conditionalFormatting sqref="B6:B105">
    <cfRule type="expression" dxfId="68" priority="11">
      <formula>COUNTIF(FIELD_NAME,B6)&gt;1</formula>
    </cfRule>
    <cfRule type="expression" dxfId="67" priority="12">
      <formula>AND($B6&lt;&gt;"",ISNA(MATCH($B6,項目リスト,0)))</formula>
    </cfRule>
  </conditionalFormatting>
  <conditionalFormatting sqref="B6">
    <cfRule type="expression" dxfId="66" priority="10">
      <formula>$AI$6="N/A"</formula>
    </cfRule>
  </conditionalFormatting>
  <conditionalFormatting sqref="D1">
    <cfRule type="cellIs" dxfId="65" priority="9" operator="greaterThan">
      <formula>0</formula>
    </cfRule>
  </conditionalFormatting>
  <conditionalFormatting sqref="L8:P8">
    <cfRule type="expression" dxfId="64" priority="15">
      <formula>Y8</formula>
    </cfRule>
    <cfRule type="expression" dxfId="63" priority="16">
      <formula>Y7</formula>
    </cfRule>
  </conditionalFormatting>
  <conditionalFormatting sqref="L13:P22 K33 K38 K43 K48">
    <cfRule type="expression" dxfId="62" priority="7">
      <formula>X13</formula>
    </cfRule>
    <cfRule type="expression" dxfId="61" priority="8">
      <formula>$AD13</formula>
    </cfRule>
  </conditionalFormatting>
  <conditionalFormatting sqref="L8">
    <cfRule type="expression" dxfId="60" priority="14">
      <formula>$AG$7</formula>
    </cfRule>
  </conditionalFormatting>
  <conditionalFormatting sqref="L55:P64">
    <cfRule type="expression" dxfId="59" priority="5">
      <formula>Y55</formula>
    </cfRule>
    <cfRule type="expression" dxfId="58" priority="6">
      <formula>$AD55</formula>
    </cfRule>
  </conditionalFormatting>
  <conditionalFormatting sqref="L27:P28 L32:P33 L37:P38 L42:P43 L47:P48">
    <cfRule type="expression" dxfId="57" priority="4">
      <formula>Y27</formula>
    </cfRule>
  </conditionalFormatting>
  <conditionalFormatting sqref="L27:P27 L32:P32 L37:P37 L42:P42 L47:P47">
    <cfRule type="expression" dxfId="55" priority="2">
      <formula>$AD27</formula>
    </cfRule>
    <cfRule type="expression" dxfId="56" priority="18">
      <formula>Y26</formula>
    </cfRule>
  </conditionalFormatting>
  <conditionalFormatting sqref="L28:P28 L33:P33 L38:P38 L43:P43 L48:P48">
    <cfRule type="expression" dxfId="53" priority="1">
      <formula>$AD27</formula>
    </cfRule>
    <cfRule type="expression" dxfId="54" priority="17">
      <formula>Y26</formula>
    </cfRule>
  </conditionalFormatting>
  <conditionalFormatting sqref="K28">
    <cfRule type="expression" dxfId="52" priority="19">
      <formula>X28</formula>
    </cfRule>
    <cfRule type="expression" dxfId="51" priority="20">
      <formula>$AD27</formula>
    </cfRule>
  </conditionalFormatting>
  <conditionalFormatting sqref="L27 L32 L37 L42 L47">
    <cfRule type="expression" dxfId="50" priority="3">
      <formula>$AD26</formula>
    </cfRule>
  </conditionalFormatting>
  <conditionalFormatting sqref="E6">
    <cfRule type="expression" dxfId="49" priority="21" stopIfTrue="1">
      <formula>$V6</formula>
    </cfRule>
  </conditionalFormatting>
  <conditionalFormatting sqref="E7">
    <cfRule type="expression" dxfId="48" priority="22" stopIfTrue="1">
      <formula>$V7</formula>
    </cfRule>
  </conditionalFormatting>
  <conditionalFormatting sqref="E8">
    <cfRule type="expression" dxfId="47" priority="23" stopIfTrue="1">
      <formula>$V8</formula>
    </cfRule>
  </conditionalFormatting>
  <conditionalFormatting sqref="E9">
    <cfRule type="expression" dxfId="46" priority="24" stopIfTrue="1">
      <formula>$V9</formula>
    </cfRule>
  </conditionalFormatting>
  <conditionalFormatting sqref="E10">
    <cfRule type="expression" dxfId="45" priority="25" stopIfTrue="1">
      <formula>$V10</formula>
    </cfRule>
  </conditionalFormatting>
  <dataValidations count="14">
    <dataValidation imeMode="off" allowBlank="1" showInputMessage="1" showErrorMessage="1" sqref="D5:F5 C2" xr:uid="{C005C50E-A7F6-4612-A42E-A1BB22BB61CC}"/>
    <dataValidation type="list" allowBlank="1" showInputMessage="1" showErrorMessage="1" sqref="L29 N29 L34 N34 L39 N39 L44 N44 L49 N49" xr:uid="{05A5CF31-DA40-4D39-A0CF-DBADC3C29BF2}">
      <formula1>FK_OPTION</formula1>
    </dataValidation>
    <dataValidation type="list" allowBlank="1" showInputMessage="1" showErrorMessage="1" sqref="L48:P48" xr:uid="{B37BBE78-D863-440F-954D-1E8CC68E760C}">
      <formula1>FK_FIELD_5</formula1>
    </dataValidation>
    <dataValidation type="list" allowBlank="1" showInputMessage="1" showErrorMessage="1" sqref="L43:P43" xr:uid="{D51608FA-29EE-4494-93D1-A5D84B183864}">
      <formula1>FK_FIELD_4</formula1>
    </dataValidation>
    <dataValidation type="list" allowBlank="1" showInputMessage="1" showErrorMessage="1" sqref="L38:P38" xr:uid="{72BED5A3-60F6-4A94-B3A0-493F0F65219F}">
      <formula1>FK_FIELD_3</formula1>
    </dataValidation>
    <dataValidation type="list" allowBlank="1" showInputMessage="1" showErrorMessage="1" sqref="L33:P33" xr:uid="{EBAA846E-76A6-48A2-A468-CD6E56EA8F44}">
      <formula1>FK_FIELD_2</formula1>
    </dataValidation>
    <dataValidation type="list" allowBlank="1" showInputMessage="1" showErrorMessage="1" sqref="L28:P28" xr:uid="{FA3E0459-A521-4427-89EE-8C50F22E2E56}">
      <formula1>FK_FIELD_1</formula1>
    </dataValidation>
    <dataValidation type="list" allowBlank="1" showInputMessage="1" showErrorMessage="1" sqref="K28 K33 K38 K43 K48" xr:uid="{C55BB66D-0A80-44B2-990E-CE67A5A9E060}">
      <formula1>TABLEリスト</formula1>
    </dataValidation>
    <dataValidation type="list" allowBlank="1" showInputMessage="1" showErrorMessage="1" sqref="F2" xr:uid="{F4FDE12A-DBD1-4672-8AA2-124A5E265104}">
      <formula1>"○,-"</formula1>
    </dataValidation>
    <dataValidation type="list" allowBlank="1" showInputMessage="1" showErrorMessage="1" sqref="L13:P22 L42:P42 L55:P64 L32:P32 L37:P37 L27:P27 L47:P47" xr:uid="{F251552A-977C-4DBD-8483-891F1CA48DB4}">
      <formula1>FIELDリスト</formula1>
    </dataValidation>
    <dataValidation type="list" allowBlank="1" showInputMessage="1" showErrorMessage="1" sqref="L8:P8" xr:uid="{6B47B408-9E02-4D3B-B44D-195121BD4A60}">
      <formula1>FIELDリストNN</formula1>
    </dataValidation>
    <dataValidation type="whole" imeMode="off" operator="equal" allowBlank="1" showInputMessage="1" showErrorMessage="1" error="NotNullの場合は[1]を入力する。" sqref="E6:E105" xr:uid="{7471583E-A1D6-41DD-888B-7467A22D5980}">
      <formula1>1</formula1>
    </dataValidation>
    <dataValidation type="list" allowBlank="1" showInputMessage="1" showErrorMessage="1" sqref="B6:B105" xr:uid="{EF9CA377-AF68-491C-BF2C-D79C5D95745E}">
      <formula1>項目リスト</formula1>
    </dataValidation>
    <dataValidation imeMode="on" allowBlank="1" showInputMessage="1" showErrorMessage="1" sqref="K12 A5 A1:A2 E2 K7 F6:H105 K54" xr:uid="{F2E8BD74-EF22-45C5-B84B-4767261046E3}"/>
  </dataValidations>
  <hyperlinks>
    <hyperlink ref="E1" location="一覧!R1C1" display="一覧へ" xr:uid="{35A63C0C-20FF-416E-8BF8-6E47FC6FF3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3405-A07C-4FD8-8BF5-3D783E7480BF}">
  <sheetPr codeName="template3">
    <tabColor rgb="FFFFFFFF"/>
  </sheetPr>
  <dimension ref="A1:AP105"/>
  <sheetViews>
    <sheetView showGridLines="0" topLeftCell="O1" workbookViewId="0">
      <pane ySplit="5" topLeftCell="A35" activePane="bottomLeft" state="frozen"/>
      <selection pane="bottomLeft" activeCell="X42" sqref="X42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184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4" t="s">
        <v>190</v>
      </c>
      <c r="AJ4" s="104" t="s">
        <v>191</v>
      </c>
      <c r="AK4" s="104" t="s">
        <v>8</v>
      </c>
      <c r="AL4" s="104" t="s">
        <v>185</v>
      </c>
      <c r="AM4" s="104" t="s">
        <v>186</v>
      </c>
      <c r="AN4" s="104" t="s">
        <v>187</v>
      </c>
      <c r="AO4" s="104" t="s">
        <v>188</v>
      </c>
      <c r="AP4" s="104" t="s">
        <v>189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103">
        <f>COUNTA(AK6:AK105)</f>
        <v>2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103" t="s">
        <v>183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27</v>
      </c>
      <c r="AJ7" s="70" t="s">
        <v>27</v>
      </c>
      <c r="AK7" s="103" t="s">
        <v>166</v>
      </c>
      <c r="AL7" s="87"/>
      <c r="AM7" s="87"/>
      <c r="AN7" s="87"/>
      <c r="AO7" s="87"/>
      <c r="AP7" s="87"/>
    </row>
    <row r="8" spans="1:42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 t="s">
        <v>27</v>
      </c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29</v>
      </c>
      <c r="AJ8" s="70"/>
      <c r="AK8" s="103"/>
      <c r="AL8" s="87"/>
      <c r="AM8" s="87"/>
      <c r="AN8" s="87"/>
      <c r="AO8" s="87"/>
      <c r="AP8" s="87"/>
    </row>
    <row r="9" spans="1:42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103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103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3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198</v>
      </c>
      <c r="AF12" s="7" t="s">
        <v>197</v>
      </c>
      <c r="AG12" s="7" t="b">
        <f ca="1">OR($Y$26:$AC$26,$Y$31:$AC$31,$Y$36:$AC$36,$Y$41:$AC$41,$Y$46:$AC$46)</f>
        <v>0</v>
      </c>
      <c r="AI12" s="59"/>
      <c r="AJ12" s="70"/>
      <c r="AK12" s="103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3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199</v>
      </c>
      <c r="AG14" s="7" t="b">
        <f>OR($AD$26,$AD$31,$AD$36,$AD$41,$AD$46)</f>
        <v>0</v>
      </c>
      <c r="AI14" s="59"/>
      <c r="AJ14" s="70"/>
      <c r="AK14" s="103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3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3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3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3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3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3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3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3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3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196</v>
      </c>
      <c r="AI24" s="59"/>
      <c r="AJ24" s="70"/>
      <c r="AK24" s="103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197</v>
      </c>
      <c r="AD25" s="7" t="s">
        <v>199</v>
      </c>
      <c r="AI25" s="59"/>
      <c r="AJ25" s="70"/>
      <c r="AK25" s="103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>
        <v>1</v>
      </c>
      <c r="L26" s="106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AND(K28&lt;&gt;"",R27="")</f>
        <v>0</v>
      </c>
      <c r="AE26" s="7" t="s">
        <v>199</v>
      </c>
      <c r="AI26" s="59"/>
      <c r="AJ26" s="70"/>
      <c r="AK26" s="103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8" t="s">
        <v>179</v>
      </c>
      <c r="L27" s="96"/>
      <c r="M27" s="77"/>
      <c r="N27" s="77"/>
      <c r="O27" s="77"/>
      <c r="P27" s="78"/>
      <c r="R27" s="87" t="str">
        <f>_xlfn.CONCAT(L27:P27)</f>
        <v/>
      </c>
      <c r="S27" s="70" t="str">
        <f>_xlfn.CONCAT(K28,R27)</f>
        <v/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t="shared" ref="Y27:Y28" ca="1" si="12">OR(AND(L27&lt;&gt;"",ISNA(MATCH(L27,FIELDリスト,0))),COUNTIF($L27:$P27,L27)&gt;1)</f>
        <v>0</v>
      </c>
      <c r="Z27" s="19" t="b">
        <f t="shared" ref="Z27:Z28" ca="1" si="13">OR(AND(M27&lt;&gt;"",ISNA(MATCH(M27,FIELDリスト,0))),COUNTIF($L27:$P27,M27)&gt;1)</f>
        <v>0</v>
      </c>
      <c r="AA27" s="19" t="b">
        <f t="shared" ref="AA27:AA28" ca="1" si="14">OR(AND(N27&lt;&gt;"",ISNA(MATCH(N27,FIELDリスト,0))),COUNTIF($L27:$P27,N27)&gt;1)</f>
        <v>0</v>
      </c>
      <c r="AB27" s="19" t="b">
        <f t="shared" ref="AB27:AB28" ca="1" si="15">OR(AND(O27&lt;&gt;"",ISNA(MATCH(O27,FIELDリスト,0))),COUNTIF($L27:$P27,O27)&gt;1)</f>
        <v>0</v>
      </c>
      <c r="AC27" s="19" t="b">
        <f t="shared" ref="AC27:AC28" ca="1" si="16">OR(AND(P27&lt;&gt;"",ISNA(MATCH(P27,FIELDリスト,0))),COUNTIF($L27:$P27,P27)&gt;1)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3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99"/>
      <c r="L28" s="97"/>
      <c r="M28" s="85"/>
      <c r="N28" s="85"/>
      <c r="O28" s="85"/>
      <c r="P28" s="86"/>
      <c r="R28" s="87" t="str">
        <f>_xlfn.CONCAT(L28:P28)</f>
        <v/>
      </c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OR(AND(L28&lt;&gt;"",ISNA(MATCH(L28,FK_FIELD_1,0))),COUNTIF($L28:$P28,L28)&gt;1)</f>
        <v>0</v>
      </c>
      <c r="Z28" s="19" t="b">
        <f ca="1">OR(AND(M28&lt;&gt;"",ISNA(MATCH(M28,FK_FIELD_1,0))),COUNTIF($L28:$P28,M28)&gt;1)</f>
        <v>0</v>
      </c>
      <c r="AA28" s="19" t="b">
        <f ca="1">OR(AND(N28&lt;&gt;"",ISNA(MATCH(N28,FK_FIELD_1,0))),COUNTIF($L28:$P28,N28)&gt;1)</f>
        <v>0</v>
      </c>
      <c r="AB28" s="19" t="b">
        <f ca="1">OR(AND(O28&lt;&gt;"",ISNA(MATCH(O28,FK_FIELD_1,0))),COUNTIF($L28:$P28,O28)&gt;1)</f>
        <v>0</v>
      </c>
      <c r="AC28" s="19" t="b">
        <f ca="1">OR(AND(P28&lt;&gt;"",ISNA(MATCH(P28,FK_FIELD_1,0))),COUNTIF($L28:$P28,P28)&gt;1)</f>
        <v>0</v>
      </c>
      <c r="AI28" s="59"/>
      <c r="AJ28" s="70"/>
      <c r="AK28" s="103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0" t="s">
        <v>180</v>
      </c>
      <c r="L29" s="101"/>
      <c r="M29" s="100" t="s">
        <v>181</v>
      </c>
      <c r="N29" s="101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IFERROR(VLOOKUP(L27,項目!DATA_AREA,8,FALSE),"N/A")</f>
        <v>N/A</v>
      </c>
      <c r="Z29" s="87" t="str">
        <f ca="1">IFERROR(VLOOKUP(M27,項目!DATA_AREA,8,FALSE),"N/A")</f>
        <v>N/A</v>
      </c>
      <c r="AA29" s="87" t="str">
        <f ca="1">IFERROR(VLOOKUP(N27,項目!DATA_AREA,8,FALSE),"N/A")</f>
        <v>N/A</v>
      </c>
      <c r="AB29" s="87" t="str">
        <f ca="1">IFERROR(VLOOKUP(O27,項目!DATA_AREA,8,FALSE),"N/A")</f>
        <v>N/A</v>
      </c>
      <c r="AC29" s="87" t="str">
        <f ca="1">IFERROR(VLOOKUP(P27,項目!DATA_AREA,8,FALSE),"N/A")</f>
        <v>N/A</v>
      </c>
      <c r="AI29" s="59"/>
      <c r="AJ29" s="70"/>
      <c r="AK29" s="103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IFERROR(VLOOKUP(L28,項目!DATA_AREA,8,FALSE),"N/A")</f>
        <v>N/A</v>
      </c>
      <c r="Z30" s="87" t="str">
        <f ca="1">IFERROR(VLOOKUP(M28,項目!DATA_AREA,8,FALSE),"N/A")</f>
        <v>N/A</v>
      </c>
      <c r="AA30" s="87" t="str">
        <f ca="1">IFERROR(VLOOKUP(N28,項目!DATA_AREA,8,FALSE),"N/A")</f>
        <v>N/A</v>
      </c>
      <c r="AB30" s="87" t="str">
        <f ca="1">IFERROR(VLOOKUP(O28,項目!DATA_AREA,8,FALSE),"N/A")</f>
        <v>N/A</v>
      </c>
      <c r="AC30" s="87" t="str">
        <f ca="1">IFERROR(VLOOKUP(P28,項目!DATA_AREA,8,FALSE),"N/A")</f>
        <v>N/A</v>
      </c>
      <c r="AI30" s="59"/>
      <c r="AJ30" s="70"/>
      <c r="AK30" s="103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>
        <v>2</v>
      </c>
      <c r="L31" s="106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AND(K33&lt;&gt;"",R32="")</f>
        <v>0</v>
      </c>
      <c r="AI31" s="59"/>
      <c r="AJ31" s="70"/>
      <c r="AK31" s="103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8" t="s">
        <v>179</v>
      </c>
      <c r="L32" s="96"/>
      <c r="M32" s="77"/>
      <c r="N32" s="77"/>
      <c r="O32" s="77"/>
      <c r="P32" s="78"/>
      <c r="R32" s="87" t="str">
        <f>_xlfn.CONCAT(L32:P32)</f>
        <v/>
      </c>
      <c r="S32" s="70" t="str">
        <f>_xlfn.CONCAT(K33,R32)</f>
        <v/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t="shared" ref="Y32:Y33" ca="1" si="17">OR(AND(L32&lt;&gt;"",ISNA(MATCH(L32,FIELDリスト,0))),COUNTIF($L32:$P32,L32)&gt;1)</f>
        <v>0</v>
      </c>
      <c r="Z32" s="19" t="b">
        <f t="shared" ref="Z32:Z33" ca="1" si="18">OR(AND(M32&lt;&gt;"",ISNA(MATCH(M32,FIELDリスト,0))),COUNTIF($L32:$P32,M32)&gt;1)</f>
        <v>0</v>
      </c>
      <c r="AA32" s="19" t="b">
        <f t="shared" ref="AA32:AA33" ca="1" si="19">OR(AND(N32&lt;&gt;"",ISNA(MATCH(N32,FIELDリスト,0))),COUNTIF($L32:$P32,N32)&gt;1)</f>
        <v>0</v>
      </c>
      <c r="AB32" s="19" t="b">
        <f t="shared" ref="AB32:AB33" ca="1" si="20">OR(AND(O32&lt;&gt;"",ISNA(MATCH(O32,FIELDリスト,0))),COUNTIF($L32:$P32,O32)&gt;1)</f>
        <v>0</v>
      </c>
      <c r="AC32" s="19" t="b">
        <f t="shared" ref="AC32:AC33" ca="1" si="21">OR(AND(P32&lt;&gt;"",ISNA(MATCH(P32,FIELDリスト,0))),COUNTIF($L32:$P32,P32)&gt;1)</f>
        <v>0</v>
      </c>
      <c r="AD32" s="19" t="b">
        <f>AND(S32&lt;&gt;"",COUNTIF($S$26:$S$48,S32)&gt;1)</f>
        <v>0</v>
      </c>
      <c r="AI32" s="59"/>
      <c r="AJ32" s="70"/>
      <c r="AK32" s="103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99"/>
      <c r="L33" s="97"/>
      <c r="M33" s="85"/>
      <c r="N33" s="85"/>
      <c r="O33" s="85"/>
      <c r="P33" s="86"/>
      <c r="R33" s="87" t="str">
        <f>_xlfn.CONCAT(L33:P33)</f>
        <v/>
      </c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OR(AND(L33&lt;&gt;"",ISNA(MATCH(L33,FK_FIELD_2,0))),COUNTIF($L33:$P33,L33)&gt;1)</f>
        <v>0</v>
      </c>
      <c r="Z33" s="19" t="b">
        <f ca="1">OR(AND(M33&lt;&gt;"",ISNA(MATCH(M33,FK_FIELD_2,0))),COUNTIF($L33:$P33,M33)&gt;1)</f>
        <v>0</v>
      </c>
      <c r="AA33" s="19" t="b">
        <f ca="1">OR(AND(N33&lt;&gt;"",ISNA(MATCH(N33,FK_FIELD_2,0))),COUNTIF($L33:$P33,N33)&gt;1)</f>
        <v>0</v>
      </c>
      <c r="AB33" s="19" t="b">
        <f ca="1">OR(AND(O33&lt;&gt;"",ISNA(MATCH(O33,FK_FIELD_2,0))),COUNTIF($L33:$P33,O33)&gt;1)</f>
        <v>0</v>
      </c>
      <c r="AC33" s="19" t="b">
        <f ca="1">OR(AND(P33&lt;&gt;"",ISNA(MATCH(P33,FK_FIELD_2,0))),COUNTIF($L33:$P33,P33)&gt;1)</f>
        <v>0</v>
      </c>
      <c r="AI33" s="59"/>
      <c r="AJ33" s="70"/>
      <c r="AK33" s="103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0" t="s">
        <v>180</v>
      </c>
      <c r="L34" s="101"/>
      <c r="M34" s="100" t="s">
        <v>181</v>
      </c>
      <c r="N34" s="101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IFERROR(VLOOKUP(L32,項目!DATA_AREA,8,FALSE),"N/A")</f>
        <v>N/A</v>
      </c>
      <c r="Z34" s="87" t="str">
        <f ca="1">IFERROR(VLOOKUP(M32,項目!DATA_AREA,8,FALSE),"N/A")</f>
        <v>N/A</v>
      </c>
      <c r="AA34" s="87" t="str">
        <f ca="1">IFERROR(VLOOKUP(N32,項目!DATA_AREA,8,FALSE),"N/A")</f>
        <v>N/A</v>
      </c>
      <c r="AB34" s="87" t="str">
        <f ca="1">IFERROR(VLOOKUP(O32,項目!DATA_AREA,8,FALSE),"N/A")</f>
        <v>N/A</v>
      </c>
      <c r="AC34" s="87" t="str">
        <f ca="1">IFERROR(VLOOKUP(P32,項目!DATA_AREA,8,FALSE),"N/A")</f>
        <v>N/A</v>
      </c>
      <c r="AI34" s="59"/>
      <c r="AJ34" s="70"/>
      <c r="AK34" s="103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IFERROR(VLOOKUP(L33,項目!DATA_AREA,8,FALSE),"N/A")</f>
        <v>N/A</v>
      </c>
      <c r="Z35" s="87" t="str">
        <f ca="1">IFERROR(VLOOKUP(M33,項目!DATA_AREA,8,FALSE),"N/A")</f>
        <v>N/A</v>
      </c>
      <c r="AA35" s="87" t="str">
        <f ca="1">IFERROR(VLOOKUP(N33,項目!DATA_AREA,8,FALSE),"N/A")</f>
        <v>N/A</v>
      </c>
      <c r="AB35" s="87" t="str">
        <f ca="1">IFERROR(VLOOKUP(O33,項目!DATA_AREA,8,FALSE),"N/A")</f>
        <v>N/A</v>
      </c>
      <c r="AC35" s="87" t="str">
        <f ca="1">IFERROR(VLOOKUP(P33,項目!DATA_AREA,8,FALSE),"N/A")</f>
        <v>N/A</v>
      </c>
      <c r="AI35" s="59"/>
      <c r="AJ35" s="70"/>
      <c r="AK35" s="103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>
        <v>3</v>
      </c>
      <c r="L36" s="106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AND(K38&lt;&gt;"",R37="")</f>
        <v>0</v>
      </c>
      <c r="AI36" s="59"/>
      <c r="AJ36" s="70"/>
      <c r="AK36" s="103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8" t="s">
        <v>179</v>
      </c>
      <c r="L37" s="96"/>
      <c r="M37" s="77"/>
      <c r="N37" s="77"/>
      <c r="O37" s="77"/>
      <c r="P37" s="78"/>
      <c r="R37" s="87" t="str">
        <f>_xlfn.CONCAT(L37:P37)</f>
        <v/>
      </c>
      <c r="S37" s="70" t="str">
        <f>_xlfn.CONCAT(K38,R37)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t="shared" ref="Y37:Y38" ca="1" si="22">OR(AND(L37&lt;&gt;"",ISNA(MATCH(L37,FIELDリスト,0))),COUNTIF($L37:$P37,L37)&gt;1)</f>
        <v>0</v>
      </c>
      <c r="Z37" s="19" t="b">
        <f t="shared" ref="Z37:Z38" ca="1" si="23">OR(AND(M37&lt;&gt;"",ISNA(MATCH(M37,FIELDリスト,0))),COUNTIF($L37:$P37,M37)&gt;1)</f>
        <v>0</v>
      </c>
      <c r="AA37" s="19" t="b">
        <f t="shared" ref="AA37:AA38" ca="1" si="24">OR(AND(N37&lt;&gt;"",ISNA(MATCH(N37,FIELDリスト,0))),COUNTIF($L37:$P37,N37)&gt;1)</f>
        <v>0</v>
      </c>
      <c r="AB37" s="19" t="b">
        <f t="shared" ref="AB37:AB38" ca="1" si="25">OR(AND(O37&lt;&gt;"",ISNA(MATCH(O37,FIELDリスト,0))),COUNTIF($L37:$P37,O37)&gt;1)</f>
        <v>0</v>
      </c>
      <c r="AC37" s="19" t="b">
        <f t="shared" ref="AC37:AC38" ca="1" si="26">OR(AND(P37&lt;&gt;"",ISNA(MATCH(P37,FIELDリスト,0))),COUNTIF($L37:$P37,P37)&gt;1)</f>
        <v>0</v>
      </c>
      <c r="AD37" s="19" t="b">
        <f>AND(S37&lt;&gt;"",COUNTIF($S$26:$S$48,S37)&gt;1)</f>
        <v>0</v>
      </c>
      <c r="AI37" s="59"/>
      <c r="AJ37" s="70"/>
      <c r="AK37" s="103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99"/>
      <c r="L38" s="97"/>
      <c r="M38" s="85"/>
      <c r="N38" s="85"/>
      <c r="O38" s="85"/>
      <c r="P38" s="86"/>
      <c r="R38" s="87" t="str">
        <f>_xlfn.CONCAT(L38:P38)</f>
        <v/>
      </c>
      <c r="T38" s="19" t="b">
        <f t="shared" ca="1" si="0"/>
        <v>0</v>
      </c>
      <c r="U38" s="19" t="b">
        <f t="shared" ref="U38:U69" si="27">COUNTIF(FIELD_NAME,B38)&gt;1</f>
        <v>0</v>
      </c>
      <c r="V38" s="19" t="b">
        <f t="shared" ca="1" si="4"/>
        <v>0</v>
      </c>
      <c r="Y38" s="19" t="b">
        <f ca="1">OR(AND(L38&lt;&gt;"",ISNA(MATCH(L38,FK_FIELD_3,0))),COUNTIF($L38:$P38,L38)&gt;1)</f>
        <v>0</v>
      </c>
      <c r="Z38" s="19" t="b">
        <f ca="1">OR(AND(M38&lt;&gt;"",ISNA(MATCH(M38,FK_FIELD_3,0))),COUNTIF($L38:$P38,M38)&gt;1)</f>
        <v>0</v>
      </c>
      <c r="AA38" s="19" t="b">
        <f ca="1">OR(AND(N38&lt;&gt;"",ISNA(MATCH(N38,FK_FIELD_3,0))),COUNTIF($L38:$P38,N38)&gt;1)</f>
        <v>0</v>
      </c>
      <c r="AB38" s="19" t="b">
        <f ca="1">OR(AND(O38&lt;&gt;"",ISNA(MATCH(O38,FK_FIELD_3,0))),COUNTIF($L38:$P38,O38)&gt;1)</f>
        <v>0</v>
      </c>
      <c r="AC38" s="19" t="b">
        <f ca="1">OR(AND(P38&lt;&gt;"",ISNA(MATCH(P38,FK_FIELD_3,0))),COUNTIF($L38:$P38,P38)&gt;1)</f>
        <v>0</v>
      </c>
      <c r="AI38" s="59"/>
      <c r="AJ38" s="70"/>
      <c r="AK38" s="103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0" t="s">
        <v>180</v>
      </c>
      <c r="L39" s="101"/>
      <c r="M39" s="100" t="s">
        <v>181</v>
      </c>
      <c r="N39" s="101"/>
      <c r="T39" s="19" t="b">
        <f t="shared" ca="1" si="0"/>
        <v>0</v>
      </c>
      <c r="U39" s="19" t="b">
        <f t="shared" si="27"/>
        <v>0</v>
      </c>
      <c r="V39" s="19" t="b">
        <f t="shared" ca="1" si="4"/>
        <v>0</v>
      </c>
      <c r="Y39" s="87" t="str">
        <f ca="1">IFERROR(VLOOKUP(L37,項目!DATA_AREA,8,FALSE),"N/A")</f>
        <v>N/A</v>
      </c>
      <c r="Z39" s="87" t="str">
        <f ca="1">IFERROR(VLOOKUP(M37,項目!DATA_AREA,8,FALSE),"N/A")</f>
        <v>N/A</v>
      </c>
      <c r="AA39" s="87" t="str">
        <f ca="1">IFERROR(VLOOKUP(N37,項目!DATA_AREA,8,FALSE),"N/A")</f>
        <v>N/A</v>
      </c>
      <c r="AB39" s="87" t="str">
        <f ca="1">IFERROR(VLOOKUP(O37,項目!DATA_AREA,8,FALSE),"N/A")</f>
        <v>N/A</v>
      </c>
      <c r="AC39" s="87" t="str">
        <f ca="1">IFERROR(VLOOKUP(P37,項目!DATA_AREA,8,FALSE),"N/A")</f>
        <v>N/A</v>
      </c>
      <c r="AI39" s="59"/>
      <c r="AJ39" s="70"/>
      <c r="AK39" s="103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27"/>
        <v>0</v>
      </c>
      <c r="V40" s="19" t="b">
        <f t="shared" ca="1" si="4"/>
        <v>0</v>
      </c>
      <c r="Y40" s="87" t="str">
        <f ca="1">IFERROR(VLOOKUP(L38,項目!DATA_AREA,8,FALSE),"N/A")</f>
        <v>N/A</v>
      </c>
      <c r="Z40" s="87" t="str">
        <f ca="1">IFERROR(VLOOKUP(M38,項目!DATA_AREA,8,FALSE),"N/A")</f>
        <v>N/A</v>
      </c>
      <c r="AA40" s="87" t="str">
        <f ca="1">IFERROR(VLOOKUP(N38,項目!DATA_AREA,8,FALSE),"N/A")</f>
        <v>N/A</v>
      </c>
      <c r="AB40" s="87" t="str">
        <f ca="1">IFERROR(VLOOKUP(O38,項目!DATA_AREA,8,FALSE),"N/A")</f>
        <v>N/A</v>
      </c>
      <c r="AC40" s="87" t="str">
        <f ca="1">IFERROR(VLOOKUP(P38,項目!DATA_AREA,8,FALSE),"N/A")</f>
        <v>N/A</v>
      </c>
      <c r="AI40" s="59"/>
      <c r="AJ40" s="70"/>
      <c r="AK40" s="103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>
        <v>4</v>
      </c>
      <c r="L41" s="106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27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AND(K43&lt;&gt;"",R42="")</f>
        <v>0</v>
      </c>
      <c r="AI41" s="59"/>
      <c r="AJ41" s="70"/>
      <c r="AK41" s="103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8" t="s">
        <v>179</v>
      </c>
      <c r="L42" s="96"/>
      <c r="M42" s="77"/>
      <c r="N42" s="77"/>
      <c r="O42" s="77"/>
      <c r="P42" s="78"/>
      <c r="R42" s="87" t="str">
        <f>_xlfn.CONCAT(L42:P42)</f>
        <v/>
      </c>
      <c r="S42" s="70" t="str">
        <f>_xlfn.CONCAT(K43,R42)</f>
        <v/>
      </c>
      <c r="T42" s="19" t="b">
        <f t="shared" ca="1" si="0"/>
        <v>0</v>
      </c>
      <c r="U42" s="19" t="b">
        <f t="shared" si="27"/>
        <v>0</v>
      </c>
      <c r="V42" s="19" t="b">
        <f t="shared" ca="1" si="4"/>
        <v>0</v>
      </c>
      <c r="Y42" s="19" t="b">
        <f t="shared" ref="Y42:Y43" ca="1" si="28">OR(AND(L42&lt;&gt;"",ISNA(MATCH(L42,FIELDリスト,0))),COUNTIF($L42:$P42,L42)&gt;1)</f>
        <v>0</v>
      </c>
      <c r="Z42" s="19" t="b">
        <f t="shared" ref="Z42:Z43" ca="1" si="29">OR(AND(M42&lt;&gt;"",ISNA(MATCH(M42,FIELDリスト,0))),COUNTIF($L42:$P42,M42)&gt;1)</f>
        <v>0</v>
      </c>
      <c r="AA42" s="19" t="b">
        <f t="shared" ref="AA42:AA43" ca="1" si="30">OR(AND(N42&lt;&gt;"",ISNA(MATCH(N42,FIELDリスト,0))),COUNTIF($L42:$P42,N42)&gt;1)</f>
        <v>0</v>
      </c>
      <c r="AB42" s="19" t="b">
        <f t="shared" ref="AB42:AB43" ca="1" si="31">OR(AND(O42&lt;&gt;"",ISNA(MATCH(O42,FIELDリスト,0))),COUNTIF($L42:$P42,O42)&gt;1)</f>
        <v>0</v>
      </c>
      <c r="AC42" s="19" t="b">
        <f t="shared" ref="AC42:AC43" ca="1" si="32">OR(AND(P42&lt;&gt;"",ISNA(MATCH(P42,FIELDリスト,0))),COUNTIF($L42:$P42,P42)&gt;1)</f>
        <v>0</v>
      </c>
      <c r="AD42" s="19" t="b">
        <f>AND(S42&lt;&gt;"",COUNTIF($S$26:$S$48,S42)&gt;1)</f>
        <v>0</v>
      </c>
      <c r="AI42" s="59"/>
      <c r="AJ42" s="70"/>
      <c r="AK42" s="103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99"/>
      <c r="L43" s="97"/>
      <c r="M43" s="85"/>
      <c r="N43" s="85"/>
      <c r="O43" s="85"/>
      <c r="P43" s="86"/>
      <c r="R43" s="87" t="str">
        <f>_xlfn.CONCAT(L43:P43)</f>
        <v/>
      </c>
      <c r="T43" s="19" t="b">
        <f t="shared" ca="1" si="0"/>
        <v>0</v>
      </c>
      <c r="U43" s="19" t="b">
        <f t="shared" si="27"/>
        <v>0</v>
      </c>
      <c r="V43" s="19" t="b">
        <f t="shared" ca="1" si="4"/>
        <v>0</v>
      </c>
      <c r="Y43" s="19" t="b">
        <f ca="1">OR(AND(L43&lt;&gt;"",ISNA(MATCH(L43,FK_FIELD_4,0))),COUNTIF($L43:$P43,L43)&gt;1)</f>
        <v>0</v>
      </c>
      <c r="Z43" s="19" t="b">
        <f ca="1">OR(AND(M43&lt;&gt;"",ISNA(MATCH(M43,FK_FIELD_4,0))),COUNTIF($L43:$P43,M43)&gt;1)</f>
        <v>0</v>
      </c>
      <c r="AA43" s="19" t="b">
        <f ca="1">OR(AND(N43&lt;&gt;"",ISNA(MATCH(N43,FK_FIELD_4,0))),COUNTIF($L43:$P43,N43)&gt;1)</f>
        <v>0</v>
      </c>
      <c r="AB43" s="19" t="b">
        <f ca="1">OR(AND(O43&lt;&gt;"",ISNA(MATCH(O43,FK_FIELD_4,0))),COUNTIF($L43:$P43,O43)&gt;1)</f>
        <v>0</v>
      </c>
      <c r="AC43" s="19" t="b">
        <f ca="1">OR(AND(P43&lt;&gt;"",ISNA(MATCH(P43,FK_FIELD_4,0))),COUNTIF($L43:$P43,P43)&gt;1)</f>
        <v>0</v>
      </c>
      <c r="AI43" s="59"/>
      <c r="AJ43" s="70"/>
      <c r="AK43" s="103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0" t="s">
        <v>180</v>
      </c>
      <c r="L44" s="101"/>
      <c r="M44" s="100" t="s">
        <v>181</v>
      </c>
      <c r="N44" s="101"/>
      <c r="T44" s="19" t="b">
        <f t="shared" ca="1" si="0"/>
        <v>0</v>
      </c>
      <c r="U44" s="19" t="b">
        <f t="shared" si="27"/>
        <v>0</v>
      </c>
      <c r="V44" s="19" t="b">
        <f t="shared" ca="1" si="4"/>
        <v>0</v>
      </c>
      <c r="Y44" s="87" t="str">
        <f ca="1">IFERROR(VLOOKUP(L42,項目!DATA_AREA,8,FALSE),"N/A")</f>
        <v>N/A</v>
      </c>
      <c r="Z44" s="87" t="str">
        <f ca="1">IFERROR(VLOOKUP(M42,項目!DATA_AREA,8,FALSE),"N/A")</f>
        <v>N/A</v>
      </c>
      <c r="AA44" s="87" t="str">
        <f ca="1">IFERROR(VLOOKUP(N42,項目!DATA_AREA,8,FALSE),"N/A")</f>
        <v>N/A</v>
      </c>
      <c r="AB44" s="87" t="str">
        <f ca="1">IFERROR(VLOOKUP(O42,項目!DATA_AREA,8,FALSE),"N/A")</f>
        <v>N/A</v>
      </c>
      <c r="AC44" s="87" t="str">
        <f ca="1">IFERROR(VLOOKUP(P42,項目!DATA_AREA,8,FALSE),"N/A")</f>
        <v>N/A</v>
      </c>
      <c r="AI44" s="59"/>
      <c r="AJ44" s="70"/>
      <c r="AK44" s="103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27"/>
        <v>0</v>
      </c>
      <c r="V45" s="19" t="b">
        <f t="shared" ca="1" si="4"/>
        <v>0</v>
      </c>
      <c r="Y45" s="87" t="str">
        <f ca="1">IFERROR(VLOOKUP(L43,項目!DATA_AREA,8,FALSE),"N/A")</f>
        <v>N/A</v>
      </c>
      <c r="Z45" s="87" t="str">
        <f ca="1">IFERROR(VLOOKUP(M43,項目!DATA_AREA,8,FALSE),"N/A")</f>
        <v>N/A</v>
      </c>
      <c r="AA45" s="87" t="str">
        <f ca="1">IFERROR(VLOOKUP(N43,項目!DATA_AREA,8,FALSE),"N/A")</f>
        <v>N/A</v>
      </c>
      <c r="AB45" s="87" t="str">
        <f ca="1">IFERROR(VLOOKUP(O43,項目!DATA_AREA,8,FALSE),"N/A")</f>
        <v>N/A</v>
      </c>
      <c r="AC45" s="87" t="str">
        <f ca="1">IFERROR(VLOOKUP(P43,項目!DATA_AREA,8,FALSE),"N/A")</f>
        <v>N/A</v>
      </c>
      <c r="AI45" s="59"/>
      <c r="AJ45" s="70"/>
      <c r="AK45" s="103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>
        <v>5</v>
      </c>
      <c r="L46" s="106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27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AND(K48&lt;&gt;"",R47="")</f>
        <v>0</v>
      </c>
      <c r="AI46" s="59"/>
      <c r="AJ46" s="70"/>
      <c r="AK46" s="103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8" t="s">
        <v>179</v>
      </c>
      <c r="L47" s="96"/>
      <c r="M47" s="77"/>
      <c r="N47" s="77"/>
      <c r="O47" s="77"/>
      <c r="P47" s="78"/>
      <c r="R47" s="87" t="str">
        <f>_xlfn.CONCAT(L47:P47)</f>
        <v/>
      </c>
      <c r="S47" s="70" t="str">
        <f>_xlfn.CONCAT(L49,S48)</f>
        <v/>
      </c>
      <c r="T47" s="19" t="b">
        <f t="shared" ca="1" si="0"/>
        <v>0</v>
      </c>
      <c r="U47" s="19" t="b">
        <f t="shared" si="27"/>
        <v>0</v>
      </c>
      <c r="V47" s="19" t="b">
        <f t="shared" ca="1" si="4"/>
        <v>0</v>
      </c>
      <c r="Y47" s="19" t="b">
        <f t="shared" ref="Y47:Y48" ca="1" si="33">OR(AND(L47&lt;&gt;"",ISNA(MATCH(L47,FIELDリスト,0))),COUNTIF($L47:$P47,L47)&gt;1)</f>
        <v>0</v>
      </c>
      <c r="Z47" s="19" t="b">
        <f t="shared" ref="Z47:Z48" ca="1" si="34">OR(AND(M47&lt;&gt;"",ISNA(MATCH(M47,FIELDリスト,0))),COUNTIF($L47:$P47,M47)&gt;1)</f>
        <v>0</v>
      </c>
      <c r="AA47" s="19" t="b">
        <f t="shared" ref="AA47:AA48" ca="1" si="35">OR(AND(N47&lt;&gt;"",ISNA(MATCH(N47,FIELDリスト,0))),COUNTIF($L47:$P47,N47)&gt;1)</f>
        <v>0</v>
      </c>
      <c r="AB47" s="19" t="b">
        <f t="shared" ref="AB47:AB48" ca="1" si="36">OR(AND(O47&lt;&gt;"",ISNA(MATCH(O47,FIELDリスト,0))),COUNTIF($L47:$P47,O47)&gt;1)</f>
        <v>0</v>
      </c>
      <c r="AC47" s="19" t="b">
        <f t="shared" ref="AC47:AC48" ca="1" si="37">OR(AND(P47&lt;&gt;"",ISNA(MATCH(P47,FIELDリスト,0))),COUNTIF($L47:$P47,P47)&gt;1)</f>
        <v>0</v>
      </c>
      <c r="AD47" s="19" t="b">
        <f>AND(S47&lt;&gt;"",COUNTIF($S$26:$S$48,S47)&gt;1)</f>
        <v>0</v>
      </c>
      <c r="AI47" s="59"/>
      <c r="AJ47" s="70"/>
      <c r="AK47" s="103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99"/>
      <c r="L48" s="97"/>
      <c r="M48" s="85"/>
      <c r="N48" s="85"/>
      <c r="O48" s="85"/>
      <c r="P48" s="86"/>
      <c r="R48" s="87" t="str">
        <f>_xlfn.CONCAT(L48:P48)</f>
        <v/>
      </c>
      <c r="T48" s="19" t="b">
        <f t="shared" ca="1" si="0"/>
        <v>0</v>
      </c>
      <c r="U48" s="19" t="b">
        <f t="shared" si="27"/>
        <v>0</v>
      </c>
      <c r="V48" s="19" t="b">
        <f t="shared" ca="1" si="4"/>
        <v>0</v>
      </c>
      <c r="Y48" s="19" t="b">
        <f ca="1">OR(AND(L48&lt;&gt;"",ISNA(MATCH(L48,FK_FIELD_5,0))),COUNTIF($L48:$P48,L48)&gt;1)</f>
        <v>0</v>
      </c>
      <c r="Z48" s="19" t="b">
        <f ca="1">OR(AND(M48&lt;&gt;"",ISNA(MATCH(M48,FK_FIELD_5,0))),COUNTIF($L48:$P48,M48)&gt;1)</f>
        <v>0</v>
      </c>
      <c r="AA48" s="19" t="b">
        <f ca="1">OR(AND(N48&lt;&gt;"",ISNA(MATCH(N48,FK_FIELD_5,0))),COUNTIF($L48:$P48,N48)&gt;1)</f>
        <v>0</v>
      </c>
      <c r="AB48" s="19" t="b">
        <f ca="1">OR(AND(O48&lt;&gt;"",ISNA(MATCH(O48,FK_FIELD_5,0))),COUNTIF($L48:$P48,O48)&gt;1)</f>
        <v>0</v>
      </c>
      <c r="AC48" s="19" t="b">
        <f ca="1">OR(AND(P48&lt;&gt;"",ISNA(MATCH(P48,FK_FIELD_5,0))),COUNTIF($L48:$P48,P48)&gt;1)</f>
        <v>0</v>
      </c>
      <c r="AI48" s="59"/>
      <c r="AJ48" s="70"/>
      <c r="AK48" s="103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0" t="s">
        <v>180</v>
      </c>
      <c r="L49" s="101"/>
      <c r="M49" s="100" t="s">
        <v>181</v>
      </c>
      <c r="N49" s="101"/>
      <c r="T49" s="19" t="b">
        <f t="shared" ca="1" si="0"/>
        <v>0</v>
      </c>
      <c r="U49" s="19" t="b">
        <f t="shared" si="27"/>
        <v>0</v>
      </c>
      <c r="V49" s="19" t="b">
        <f t="shared" ca="1" si="4"/>
        <v>0</v>
      </c>
      <c r="Y49" s="87" t="str">
        <f ca="1">IFERROR(VLOOKUP(L47,項目!DATA_AREA,8,FALSE),"N/A")</f>
        <v>N/A</v>
      </c>
      <c r="Z49" s="87" t="str">
        <f ca="1">IFERROR(VLOOKUP(M47,項目!DATA_AREA,8,FALSE),"N/A")</f>
        <v>N/A</v>
      </c>
      <c r="AA49" s="87" t="str">
        <f ca="1">IFERROR(VLOOKUP(N47,項目!DATA_AREA,8,FALSE),"N/A")</f>
        <v>N/A</v>
      </c>
      <c r="AB49" s="87" t="str">
        <f ca="1">IFERROR(VLOOKUP(O47,項目!DATA_AREA,8,FALSE),"N/A")</f>
        <v>N/A</v>
      </c>
      <c r="AC49" s="87" t="str">
        <f ca="1">IFERROR(VLOOKUP(P47,項目!DATA_AREA,8,FALSE),"N/A")</f>
        <v>N/A</v>
      </c>
      <c r="AI49" s="59"/>
      <c r="AJ49" s="70"/>
      <c r="AK49" s="103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27"/>
        <v>0</v>
      </c>
      <c r="V50" s="19" t="b">
        <f t="shared" ca="1" si="4"/>
        <v>0</v>
      </c>
      <c r="Y50" s="87" t="str">
        <f ca="1">IFERROR(VLOOKUP(L48,項目!DATA_AREA,8,FALSE),"N/A")</f>
        <v>N/A</v>
      </c>
      <c r="Z50" s="87" t="str">
        <f ca="1">IFERROR(VLOOKUP(M48,項目!DATA_AREA,8,FALSE),"N/A")</f>
        <v>N/A</v>
      </c>
      <c r="AA50" s="87" t="str">
        <f ca="1">IFERROR(VLOOKUP(N48,項目!DATA_AREA,8,FALSE),"N/A")</f>
        <v>N/A</v>
      </c>
      <c r="AB50" s="87" t="str">
        <f ca="1">IFERROR(VLOOKUP(O48,項目!DATA_AREA,8,FALSE),"N/A")</f>
        <v>N/A</v>
      </c>
      <c r="AC50" s="87" t="str">
        <f ca="1">IFERROR(VLOOKUP(P48,項目!DATA_AREA,8,FALSE),"N/A")</f>
        <v>N/A</v>
      </c>
      <c r="AI50" s="59"/>
      <c r="AJ50" s="70"/>
      <c r="AK50" s="103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2"/>
      <c r="L51" s="102"/>
      <c r="M51" s="102"/>
      <c r="N51" s="102"/>
      <c r="O51" s="102"/>
      <c r="P51" s="102"/>
      <c r="T51" s="19" t="b">
        <f t="shared" ca="1" si="0"/>
        <v>0</v>
      </c>
      <c r="U51" s="19" t="b">
        <f t="shared" si="27"/>
        <v>0</v>
      </c>
      <c r="V51" s="19" t="b">
        <f t="shared" ca="1" si="4"/>
        <v>0</v>
      </c>
      <c r="AI51" s="59"/>
      <c r="AJ51" s="70"/>
      <c r="AK51" s="103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27"/>
        <v>0</v>
      </c>
      <c r="V52" s="19" t="b">
        <f t="shared" ca="1" si="4"/>
        <v>0</v>
      </c>
      <c r="AI52" s="59"/>
      <c r="AJ52" s="70"/>
      <c r="AK52" s="103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182</v>
      </c>
      <c r="T53" s="19" t="b">
        <f t="shared" ca="1" si="0"/>
        <v>0</v>
      </c>
      <c r="U53" s="19" t="b">
        <f t="shared" si="27"/>
        <v>0</v>
      </c>
      <c r="V53" s="19" t="b">
        <f t="shared" ca="1" si="4"/>
        <v>0</v>
      </c>
      <c r="AI53" s="59"/>
      <c r="AJ53" s="70"/>
      <c r="AK53" s="103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27"/>
        <v>0</v>
      </c>
      <c r="V54" s="19" t="b">
        <f t="shared" ca="1" si="4"/>
        <v>0</v>
      </c>
      <c r="AI54" s="59"/>
      <c r="AJ54" s="70"/>
      <c r="AK54" s="103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27"/>
        <v>0</v>
      </c>
      <c r="V55" s="19" t="b">
        <f t="shared" ca="1" si="4"/>
        <v>0</v>
      </c>
      <c r="AI55" s="59"/>
      <c r="AJ55" s="70"/>
      <c r="AK55" s="103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27"/>
        <v>0</v>
      </c>
      <c r="V56" s="19" t="b">
        <f t="shared" ca="1" si="4"/>
        <v>0</v>
      </c>
      <c r="AI56" s="59"/>
      <c r="AJ56" s="70"/>
      <c r="AK56" s="103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27"/>
        <v>0</v>
      </c>
      <c r="V57" s="19" t="b">
        <f t="shared" ca="1" si="4"/>
        <v>0</v>
      </c>
      <c r="AI57" s="59"/>
      <c r="AJ57" s="70"/>
      <c r="AK57" s="103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27"/>
        <v>0</v>
      </c>
      <c r="V58" s="19" t="b">
        <f t="shared" ca="1" si="4"/>
        <v>0</v>
      </c>
      <c r="AI58" s="59"/>
      <c r="AJ58" s="70"/>
      <c r="AK58" s="103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27"/>
        <v>0</v>
      </c>
      <c r="V59" s="19" t="b">
        <f t="shared" ca="1" si="4"/>
        <v>0</v>
      </c>
      <c r="AI59" s="59"/>
      <c r="AJ59" s="70"/>
      <c r="AK59" s="103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27"/>
        <v>0</v>
      </c>
      <c r="V60" s="19" t="b">
        <f t="shared" ca="1" si="4"/>
        <v>0</v>
      </c>
      <c r="AI60" s="59"/>
      <c r="AJ60" s="70"/>
      <c r="AK60" s="103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27"/>
        <v>0</v>
      </c>
      <c r="V61" s="19" t="b">
        <f t="shared" ca="1" si="4"/>
        <v>0</v>
      </c>
      <c r="AI61" s="59"/>
      <c r="AJ61" s="70"/>
      <c r="AK61" s="103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27"/>
        <v>0</v>
      </c>
      <c r="V62" s="19" t="b">
        <f t="shared" ca="1" si="4"/>
        <v>0</v>
      </c>
      <c r="AI62" s="59"/>
      <c r="AJ62" s="70"/>
      <c r="AK62" s="103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27"/>
        <v>0</v>
      </c>
      <c r="V63" s="19" t="b">
        <f t="shared" ca="1" si="4"/>
        <v>0</v>
      </c>
      <c r="AI63" s="59"/>
      <c r="AJ63" s="70"/>
      <c r="AK63" s="103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27"/>
        <v>0</v>
      </c>
      <c r="V64" s="19" t="b">
        <f t="shared" ca="1" si="4"/>
        <v>0</v>
      </c>
      <c r="AI64" s="59"/>
      <c r="AJ64" s="70"/>
      <c r="AK64" s="103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27"/>
        <v>0</v>
      </c>
      <c r="V65" s="19" t="b">
        <f t="shared" ca="1" si="4"/>
        <v>0</v>
      </c>
      <c r="AI65" s="59"/>
      <c r="AJ65" s="70"/>
      <c r="AK65" s="103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27"/>
        <v>0</v>
      </c>
      <c r="V66" s="19" t="b">
        <f t="shared" ca="1" si="4"/>
        <v>0</v>
      </c>
      <c r="AI66" s="59"/>
      <c r="AJ66" s="70"/>
      <c r="AK66" s="103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27"/>
        <v>0</v>
      </c>
      <c r="V67" s="19" t="b">
        <f t="shared" ca="1" si="4"/>
        <v>0</v>
      </c>
      <c r="AI67" s="59"/>
      <c r="AJ67" s="70"/>
      <c r="AK67" s="103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27"/>
        <v>0</v>
      </c>
      <c r="V68" s="19" t="b">
        <f t="shared" ca="1" si="4"/>
        <v>0</v>
      </c>
      <c r="AI68" s="59"/>
      <c r="AJ68" s="70"/>
      <c r="AK68" s="103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27"/>
        <v>0</v>
      </c>
      <c r="V69" s="19" t="b">
        <f t="shared" ca="1" si="4"/>
        <v>0</v>
      </c>
      <c r="AI69" s="59"/>
      <c r="AJ69" s="70"/>
      <c r="AK69" s="103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38">AND(B70&lt;&gt;"",ISNA(MATCH(B70,項目リスト,0)))</f>
        <v>0</v>
      </c>
      <c r="U70" s="19" t="b">
        <f t="shared" ref="U70:U105" si="39">COUNTIF(FIELD_NAME,B70)&gt;1</f>
        <v>0</v>
      </c>
      <c r="V70" s="19" t="b">
        <f t="shared" ca="1" si="4"/>
        <v>0</v>
      </c>
      <c r="AI70" s="59"/>
      <c r="AJ70" s="70"/>
      <c r="AK70" s="103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38"/>
        <v>0</v>
      </c>
      <c r="U71" s="19" t="b">
        <f t="shared" si="39"/>
        <v>0</v>
      </c>
      <c r="V71" s="19" t="b">
        <f t="shared" ca="1" si="4"/>
        <v>0</v>
      </c>
      <c r="AI71" s="59"/>
      <c r="AJ71" s="70"/>
      <c r="AK71" s="103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38"/>
        <v>0</v>
      </c>
      <c r="U72" s="19" t="b">
        <f t="shared" si="39"/>
        <v>0</v>
      </c>
      <c r="V72" s="19" t="b">
        <f t="shared" ca="1" si="4"/>
        <v>0</v>
      </c>
      <c r="AI72" s="59"/>
      <c r="AJ72" s="70"/>
      <c r="AK72" s="103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38"/>
        <v>0</v>
      </c>
      <c r="U73" s="19" t="b">
        <f t="shared" si="39"/>
        <v>0</v>
      </c>
      <c r="V73" s="19" t="b">
        <f t="shared" ref="V73:V105" ca="1" si="40">AND(E73="",H73&lt;&gt;"",H73)</f>
        <v>0</v>
      </c>
      <c r="AI73" s="59"/>
      <c r="AJ73" s="70"/>
      <c r="AK73" s="103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38"/>
        <v>0</v>
      </c>
      <c r="U74" s="19" t="b">
        <f t="shared" si="39"/>
        <v>0</v>
      </c>
      <c r="V74" s="19" t="b">
        <f t="shared" ca="1" si="40"/>
        <v>0</v>
      </c>
      <c r="AI74" s="59"/>
      <c r="AJ74" s="70"/>
      <c r="AK74" s="103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38"/>
        <v>0</v>
      </c>
      <c r="U75" s="19" t="b">
        <f t="shared" si="39"/>
        <v>0</v>
      </c>
      <c r="V75" s="19" t="b">
        <f t="shared" ca="1" si="40"/>
        <v>0</v>
      </c>
      <c r="AI75" s="59"/>
      <c r="AJ75" s="70"/>
      <c r="AK75" s="103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38"/>
        <v>0</v>
      </c>
      <c r="U76" s="19" t="b">
        <f t="shared" si="39"/>
        <v>0</v>
      </c>
      <c r="V76" s="19" t="b">
        <f t="shared" ca="1" si="40"/>
        <v>0</v>
      </c>
      <c r="AI76" s="59"/>
      <c r="AJ76" s="70"/>
      <c r="AK76" s="103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38"/>
        <v>0</v>
      </c>
      <c r="U77" s="19" t="b">
        <f t="shared" si="39"/>
        <v>0</v>
      </c>
      <c r="V77" s="19" t="b">
        <f t="shared" ca="1" si="40"/>
        <v>0</v>
      </c>
      <c r="AI77" s="59"/>
      <c r="AJ77" s="70"/>
      <c r="AK77" s="103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38"/>
        <v>0</v>
      </c>
      <c r="U78" s="19" t="b">
        <f t="shared" si="39"/>
        <v>0</v>
      </c>
      <c r="V78" s="19" t="b">
        <f t="shared" ca="1" si="40"/>
        <v>0</v>
      </c>
      <c r="AI78" s="59"/>
      <c r="AJ78" s="70"/>
      <c r="AK78" s="103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38"/>
        <v>0</v>
      </c>
      <c r="U79" s="19" t="b">
        <f t="shared" si="39"/>
        <v>0</v>
      </c>
      <c r="V79" s="19" t="b">
        <f t="shared" ca="1" si="40"/>
        <v>0</v>
      </c>
      <c r="AI79" s="59"/>
      <c r="AJ79" s="70"/>
      <c r="AK79" s="103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38"/>
        <v>0</v>
      </c>
      <c r="U80" s="19" t="b">
        <f t="shared" si="39"/>
        <v>0</v>
      </c>
      <c r="V80" s="19" t="b">
        <f t="shared" ca="1" si="40"/>
        <v>0</v>
      </c>
      <c r="AI80" s="59"/>
      <c r="AJ80" s="70"/>
      <c r="AK80" s="103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38"/>
        <v>0</v>
      </c>
      <c r="U81" s="19" t="b">
        <f t="shared" si="39"/>
        <v>0</v>
      </c>
      <c r="V81" s="19" t="b">
        <f t="shared" ca="1" si="40"/>
        <v>0</v>
      </c>
      <c r="AI81" s="59"/>
      <c r="AJ81" s="70"/>
      <c r="AK81" s="103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38"/>
        <v>0</v>
      </c>
      <c r="U82" s="19" t="b">
        <f t="shared" si="39"/>
        <v>0</v>
      </c>
      <c r="V82" s="19" t="b">
        <f t="shared" ca="1" si="40"/>
        <v>0</v>
      </c>
      <c r="AI82" s="59"/>
      <c r="AJ82" s="70"/>
      <c r="AK82" s="103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38"/>
        <v>0</v>
      </c>
      <c r="U83" s="19" t="b">
        <f t="shared" si="39"/>
        <v>0</v>
      </c>
      <c r="V83" s="19" t="b">
        <f t="shared" ca="1" si="40"/>
        <v>0</v>
      </c>
      <c r="AI83" s="59"/>
      <c r="AJ83" s="70"/>
      <c r="AK83" s="103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38"/>
        <v>0</v>
      </c>
      <c r="U84" s="19" t="b">
        <f t="shared" si="39"/>
        <v>0</v>
      </c>
      <c r="V84" s="19" t="b">
        <f t="shared" ca="1" si="40"/>
        <v>0</v>
      </c>
      <c r="AI84" s="59"/>
      <c r="AJ84" s="70"/>
      <c r="AK84" s="103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38"/>
        <v>0</v>
      </c>
      <c r="U85" s="19" t="b">
        <f t="shared" si="39"/>
        <v>0</v>
      </c>
      <c r="V85" s="19" t="b">
        <f t="shared" ca="1" si="40"/>
        <v>0</v>
      </c>
      <c r="AI85" s="59"/>
      <c r="AJ85" s="70"/>
      <c r="AK85" s="103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38"/>
        <v>0</v>
      </c>
      <c r="U86" s="19" t="b">
        <f t="shared" si="39"/>
        <v>0</v>
      </c>
      <c r="V86" s="19" t="b">
        <f t="shared" ca="1" si="40"/>
        <v>0</v>
      </c>
      <c r="AI86" s="59"/>
      <c r="AJ86" s="70"/>
      <c r="AK86" s="103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38"/>
        <v>0</v>
      </c>
      <c r="U87" s="19" t="b">
        <f t="shared" si="39"/>
        <v>0</v>
      </c>
      <c r="V87" s="19" t="b">
        <f t="shared" ca="1" si="40"/>
        <v>0</v>
      </c>
      <c r="AI87" s="59"/>
      <c r="AJ87" s="70"/>
      <c r="AK87" s="103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38"/>
        <v>0</v>
      </c>
      <c r="U88" s="19" t="b">
        <f t="shared" si="39"/>
        <v>0</v>
      </c>
      <c r="V88" s="19" t="b">
        <f t="shared" ca="1" si="40"/>
        <v>0</v>
      </c>
      <c r="AI88" s="59"/>
      <c r="AJ88" s="70"/>
      <c r="AK88" s="103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38"/>
        <v>0</v>
      </c>
      <c r="U89" s="19" t="b">
        <f t="shared" si="39"/>
        <v>0</v>
      </c>
      <c r="V89" s="19" t="b">
        <f t="shared" ca="1" si="40"/>
        <v>0</v>
      </c>
      <c r="AI89" s="59"/>
      <c r="AJ89" s="70"/>
      <c r="AK89" s="103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38"/>
        <v>0</v>
      </c>
      <c r="U90" s="19" t="b">
        <f t="shared" si="39"/>
        <v>0</v>
      </c>
      <c r="V90" s="19" t="b">
        <f t="shared" ca="1" si="40"/>
        <v>0</v>
      </c>
      <c r="AI90" s="59"/>
      <c r="AJ90" s="70"/>
      <c r="AK90" s="103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38"/>
        <v>0</v>
      </c>
      <c r="U91" s="19" t="b">
        <f t="shared" si="39"/>
        <v>0</v>
      </c>
      <c r="V91" s="19" t="b">
        <f t="shared" ca="1" si="40"/>
        <v>0</v>
      </c>
      <c r="AI91" s="59"/>
      <c r="AJ91" s="70"/>
      <c r="AK91" s="103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38"/>
        <v>0</v>
      </c>
      <c r="U92" s="19" t="b">
        <f t="shared" si="39"/>
        <v>0</v>
      </c>
      <c r="V92" s="19" t="b">
        <f t="shared" ca="1" si="40"/>
        <v>0</v>
      </c>
      <c r="AI92" s="59"/>
      <c r="AJ92" s="70"/>
      <c r="AK92" s="103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38"/>
        <v>0</v>
      </c>
      <c r="U93" s="19" t="b">
        <f t="shared" si="39"/>
        <v>0</v>
      </c>
      <c r="V93" s="19" t="b">
        <f t="shared" ca="1" si="40"/>
        <v>0</v>
      </c>
      <c r="AI93" s="59"/>
      <c r="AJ93" s="70"/>
      <c r="AK93" s="103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38"/>
        <v>0</v>
      </c>
      <c r="U94" s="19" t="b">
        <f t="shared" si="39"/>
        <v>0</v>
      </c>
      <c r="V94" s="19" t="b">
        <f t="shared" ca="1" si="40"/>
        <v>0</v>
      </c>
      <c r="AI94" s="59"/>
      <c r="AJ94" s="70"/>
      <c r="AK94" s="103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38"/>
        <v>0</v>
      </c>
      <c r="U95" s="19" t="b">
        <f t="shared" si="39"/>
        <v>0</v>
      </c>
      <c r="V95" s="19" t="b">
        <f t="shared" ca="1" si="40"/>
        <v>0</v>
      </c>
      <c r="AI95" s="59"/>
      <c r="AJ95" s="70"/>
      <c r="AK95" s="103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38"/>
        <v>0</v>
      </c>
      <c r="U96" s="19" t="b">
        <f t="shared" si="39"/>
        <v>0</v>
      </c>
      <c r="V96" s="19" t="b">
        <f t="shared" ca="1" si="40"/>
        <v>0</v>
      </c>
      <c r="AI96" s="59"/>
      <c r="AJ96" s="70"/>
      <c r="AK96" s="103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38"/>
        <v>0</v>
      </c>
      <c r="U97" s="19" t="b">
        <f t="shared" si="39"/>
        <v>0</v>
      </c>
      <c r="V97" s="19" t="b">
        <f t="shared" ca="1" si="40"/>
        <v>0</v>
      </c>
      <c r="AI97" s="59"/>
      <c r="AJ97" s="70"/>
      <c r="AK97" s="103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38"/>
        <v>0</v>
      </c>
      <c r="U98" s="19" t="b">
        <f t="shared" si="39"/>
        <v>0</v>
      </c>
      <c r="V98" s="19" t="b">
        <f t="shared" ca="1" si="40"/>
        <v>0</v>
      </c>
      <c r="AI98" s="59"/>
      <c r="AJ98" s="70"/>
      <c r="AK98" s="103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38"/>
        <v>0</v>
      </c>
      <c r="U99" s="19" t="b">
        <f t="shared" si="39"/>
        <v>0</v>
      </c>
      <c r="V99" s="19" t="b">
        <f t="shared" ca="1" si="40"/>
        <v>0</v>
      </c>
      <c r="AI99" s="59"/>
      <c r="AJ99" s="70"/>
      <c r="AK99" s="103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38"/>
        <v>0</v>
      </c>
      <c r="U100" s="19" t="b">
        <f t="shared" si="39"/>
        <v>0</v>
      </c>
      <c r="V100" s="19" t="b">
        <f t="shared" ca="1" si="40"/>
        <v>0</v>
      </c>
      <c r="AI100" s="59"/>
      <c r="AJ100" s="70"/>
      <c r="AK100" s="103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38"/>
        <v>0</v>
      </c>
      <c r="U101" s="19" t="b">
        <f t="shared" si="39"/>
        <v>0</v>
      </c>
      <c r="V101" s="19" t="b">
        <f t="shared" ca="1" si="40"/>
        <v>0</v>
      </c>
      <c r="AI101" s="59"/>
      <c r="AJ101" s="70"/>
      <c r="AK101" s="103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38"/>
        <v>0</v>
      </c>
      <c r="U102" s="19" t="b">
        <f t="shared" si="39"/>
        <v>0</v>
      </c>
      <c r="V102" s="19" t="b">
        <f t="shared" ca="1" si="40"/>
        <v>0</v>
      </c>
      <c r="AI102" s="59"/>
      <c r="AJ102" s="70"/>
      <c r="AK102" s="103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38"/>
        <v>0</v>
      </c>
      <c r="U103" s="19" t="b">
        <f t="shared" si="39"/>
        <v>0</v>
      </c>
      <c r="V103" s="19" t="b">
        <f t="shared" ca="1" si="40"/>
        <v>0</v>
      </c>
      <c r="AI103" s="59"/>
      <c r="AJ103" s="70"/>
      <c r="AK103" s="103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38"/>
        <v>0</v>
      </c>
      <c r="U104" s="19" t="b">
        <f t="shared" si="39"/>
        <v>0</v>
      </c>
      <c r="V104" s="19" t="b">
        <f t="shared" ca="1" si="40"/>
        <v>0</v>
      </c>
      <c r="AI104" s="59"/>
      <c r="AJ104" s="70"/>
      <c r="AK104" s="103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38"/>
        <v>0</v>
      </c>
      <c r="U105" s="19" t="b">
        <f t="shared" si="39"/>
        <v>0</v>
      </c>
      <c r="V105" s="19" t="b">
        <f t="shared" ca="1" si="40"/>
        <v>0</v>
      </c>
      <c r="AI105" s="59"/>
      <c r="AJ105" s="70"/>
      <c r="AK105" s="103"/>
      <c r="AL105" s="87"/>
      <c r="AM105" s="87"/>
      <c r="AN105" s="87"/>
      <c r="AO105" s="87"/>
      <c r="AP105" s="87"/>
    </row>
  </sheetData>
  <phoneticPr fontId="2"/>
  <conditionalFormatting sqref="B2:C2">
    <cfRule type="expression" dxfId="43" priority="13">
      <formula>ISERROR(B2)</formula>
    </cfRule>
  </conditionalFormatting>
  <conditionalFormatting sqref="B6:B105">
    <cfRule type="expression" dxfId="42" priority="11">
      <formula>COUNTIF(FIELD_NAME,B6)&gt;1</formula>
    </cfRule>
    <cfRule type="expression" dxfId="41" priority="12">
      <formula>AND($B6&lt;&gt;"",ISNA(MATCH($B6,項目リスト,0)))</formula>
    </cfRule>
  </conditionalFormatting>
  <conditionalFormatting sqref="B6">
    <cfRule type="expression" dxfId="40" priority="10">
      <formula>$AI$6="N/A"</formula>
    </cfRule>
  </conditionalFormatting>
  <conditionalFormatting sqref="D1">
    <cfRule type="cellIs" dxfId="39" priority="9" operator="greaterThan">
      <formula>0</formula>
    </cfRule>
  </conditionalFormatting>
  <conditionalFormatting sqref="L8:P8">
    <cfRule type="expression" dxfId="38" priority="15">
      <formula>Y8</formula>
    </cfRule>
    <cfRule type="expression" dxfId="37" priority="16">
      <formula>Y7</formula>
    </cfRule>
  </conditionalFormatting>
  <conditionalFormatting sqref="L13:P22 K33 K38 K43 K48">
    <cfRule type="expression" dxfId="36" priority="7">
      <formula>X13</formula>
    </cfRule>
    <cfRule type="expression" dxfId="35" priority="8">
      <formula>$AD13</formula>
    </cfRule>
  </conditionalFormatting>
  <conditionalFormatting sqref="L8">
    <cfRule type="expression" dxfId="34" priority="14">
      <formula>$AG$7</formula>
    </cfRule>
  </conditionalFormatting>
  <conditionalFormatting sqref="L55:P64">
    <cfRule type="expression" dxfId="33" priority="5">
      <formula>Y55</formula>
    </cfRule>
    <cfRule type="expression" dxfId="32" priority="6">
      <formula>$AD55</formula>
    </cfRule>
  </conditionalFormatting>
  <conditionalFormatting sqref="L27:P28 L32:P33 L37:P38 L42:P43 L47:P48">
    <cfRule type="expression" dxfId="31" priority="4">
      <formula>Y27</formula>
    </cfRule>
  </conditionalFormatting>
  <conditionalFormatting sqref="L27:P27 L32:P32 L37:P37 L42:P42 L47:P47">
    <cfRule type="expression" dxfId="29" priority="2">
      <formula>$AD27</formula>
    </cfRule>
    <cfRule type="expression" dxfId="30" priority="18">
      <formula>Y26</formula>
    </cfRule>
  </conditionalFormatting>
  <conditionalFormatting sqref="L28:P28 L33:P33 L38:P38 L43:P43 L48:P48">
    <cfRule type="expression" dxfId="27" priority="1">
      <formula>$AD27</formula>
    </cfRule>
    <cfRule type="expression" dxfId="28" priority="17">
      <formula>Y26</formula>
    </cfRule>
  </conditionalFormatting>
  <conditionalFormatting sqref="K28">
    <cfRule type="expression" dxfId="26" priority="19">
      <formula>X28</formula>
    </cfRule>
    <cfRule type="expression" dxfId="25" priority="20">
      <formula>$AD27</formula>
    </cfRule>
  </conditionalFormatting>
  <conditionalFormatting sqref="L27 L32 L37 L42 L47">
    <cfRule type="expression" dxfId="24" priority="3">
      <formula>$AD26</formula>
    </cfRule>
  </conditionalFormatting>
  <conditionalFormatting sqref="E6">
    <cfRule type="expression" dxfId="23" priority="21" stopIfTrue="1">
      <formula>$V6</formula>
    </cfRule>
  </conditionalFormatting>
  <conditionalFormatting sqref="E7">
    <cfRule type="expression" dxfId="22" priority="22" stopIfTrue="1">
      <formula>$V7</formula>
    </cfRule>
  </conditionalFormatting>
  <conditionalFormatting sqref="E8">
    <cfRule type="expression" dxfId="21" priority="23" stopIfTrue="1">
      <formula>$V8</formula>
    </cfRule>
  </conditionalFormatting>
  <conditionalFormatting sqref="E9">
    <cfRule type="expression" dxfId="20" priority="24" stopIfTrue="1">
      <formula>$V9</formula>
    </cfRule>
  </conditionalFormatting>
  <dataValidations count="14">
    <dataValidation imeMode="off" allowBlank="1" showInputMessage="1" showErrorMessage="1" sqref="D5:F5 C2" xr:uid="{9CF48BDC-DC57-49CE-A7D2-28E62EE79CD8}"/>
    <dataValidation type="list" allowBlank="1" showInputMessage="1" showErrorMessage="1" sqref="L29 N29 L34 N34 L39 N39 L44 N44 L49 N49" xr:uid="{8C467047-AC49-43CE-AFAF-387C26BA9EAF}">
      <formula1>FK_OPTION</formula1>
    </dataValidation>
    <dataValidation type="list" allowBlank="1" showInputMessage="1" showErrorMessage="1" sqref="L48:P48" xr:uid="{11007DFD-569B-49B1-B580-1579061ACB8B}">
      <formula1>FK_FIELD_5</formula1>
    </dataValidation>
    <dataValidation type="list" allowBlank="1" showInputMessage="1" showErrorMessage="1" sqref="L43:P43" xr:uid="{4A3236AE-4782-49A8-9994-571B58D7D591}">
      <formula1>FK_FIELD_4</formula1>
    </dataValidation>
    <dataValidation type="list" allowBlank="1" showInputMessage="1" showErrorMessage="1" sqref="L38:P38" xr:uid="{48E0D3E0-E9A4-43BD-92F4-E7A70DBD7297}">
      <formula1>FK_FIELD_3</formula1>
    </dataValidation>
    <dataValidation type="list" allowBlank="1" showInputMessage="1" showErrorMessage="1" sqref="L33:P33" xr:uid="{27E3686D-59B4-4300-B73A-B7873DC29A9A}">
      <formula1>FK_FIELD_2</formula1>
    </dataValidation>
    <dataValidation type="list" allowBlank="1" showInputMessage="1" showErrorMessage="1" sqref="L28:P28" xr:uid="{CC280FA0-7621-4F04-B4D0-08C67F425A4B}">
      <formula1>FK_FIELD_1</formula1>
    </dataValidation>
    <dataValidation type="list" allowBlank="1" showInputMessage="1" showErrorMessage="1" sqref="K28 K33 K38 K43 K48" xr:uid="{CE1E0E36-CE6A-4854-8EAA-FFB8AB0A3EEF}">
      <formula1>TABLEリスト</formula1>
    </dataValidation>
    <dataValidation type="list" allowBlank="1" showInputMessage="1" showErrorMessage="1" sqref="F2" xr:uid="{BDEF1827-E878-40B3-A53E-40A8F81DB4AE}">
      <formula1>"○,-"</formula1>
    </dataValidation>
    <dataValidation type="list" allowBlank="1" showInputMessage="1" showErrorMessage="1" sqref="L13:P22 L42:P42 L55:P64 L32:P32 L37:P37 L27:P27 L47:P47" xr:uid="{981A0430-C35A-4238-AA7E-13E15A0D8F32}">
      <formula1>FIELDリスト</formula1>
    </dataValidation>
    <dataValidation type="list" allowBlank="1" showInputMessage="1" showErrorMessage="1" sqref="L8:P8" xr:uid="{3F8E8A20-3A27-4430-BFE8-C7C109430297}">
      <formula1>FIELDリストNN</formula1>
    </dataValidation>
    <dataValidation type="whole" imeMode="off" operator="equal" allowBlank="1" showInputMessage="1" showErrorMessage="1" error="NotNullの場合は[1]を入力する。" sqref="E6:E105" xr:uid="{684CDF82-A791-49FF-B779-9A267C240F22}">
      <formula1>1</formula1>
    </dataValidation>
    <dataValidation type="list" allowBlank="1" showInputMessage="1" showErrorMessage="1" sqref="B6:B105" xr:uid="{ED154736-E7B7-4BCF-8D58-3BCEE82623C4}">
      <formula1>項目リスト</formula1>
    </dataValidation>
    <dataValidation imeMode="on" allowBlank="1" showInputMessage="1" showErrorMessage="1" sqref="K12 A5 A1:A2 E2 K7 F6:H105 K54" xr:uid="{9691C716-F49C-42D7-B155-A4C4FF57AE78}"/>
  </dataValidations>
  <hyperlinks>
    <hyperlink ref="E1" location="一覧!R1C1" display="一覧へ" xr:uid="{BFCC62BD-E33A-404E-A900-2A2B5881B5C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192</v>
      </c>
    </row>
    <row r="6" spans="1:8">
      <c r="A6" s="68" t="s">
        <v>146</v>
      </c>
      <c r="C6" s="88"/>
    </row>
    <row r="7" spans="1:8">
      <c r="E7" s="105" t="s">
        <v>193</v>
      </c>
    </row>
    <row r="8" spans="1:8">
      <c r="A8" t="s">
        <v>149</v>
      </c>
      <c r="E8" s="105" t="s">
        <v>194</v>
      </c>
    </row>
    <row r="9" spans="1:8">
      <c r="A9" s="68" t="s">
        <v>147</v>
      </c>
      <c r="E9" s="105" t="s">
        <v>195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71</vt:i4>
      </vt:variant>
    </vt:vector>
  </HeadingPairs>
  <TitlesOfParts>
    <vt:vector size="7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2024-02-23T12:36:00Z</dcterms:modified>
</cp:coreProperties>
</file>