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efine-table\"/>
    </mc:Choice>
  </mc:AlternateContent>
  <xr:revisionPtr revIDLastSave="0" documentId="13_ncr:1_{04EBADEE-A2DF-4548-BE53-F11FD44C26E6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得意先" sheetId="170" r:id="rId4"/>
    <sheet name="受注" sheetId="171" r:id="rId5"/>
    <sheet name="受注明細" sheetId="172" r:id="rId6"/>
    <sheet name="WORK" sheetId="5" state="hidden" r:id="rId7"/>
  </sheets>
  <functionGroups builtInGroupCount="19"/>
  <definedNames>
    <definedName name="CURRENT_DATETIME">45342.3099884259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4">受注!$D$1</definedName>
    <definedName name="ERRORS" localSheetId="5">受注明細!$D$1</definedName>
    <definedName name="ERRORS" localSheetId="3">得意先!$D$1</definedName>
    <definedName name="FIELD_AREA" localSheetId="2">テンプレート!$AI$6:$AJ$105</definedName>
    <definedName name="FIELD_AREA" localSheetId="4">受注!$AI$6:$AJ$105</definedName>
    <definedName name="FIELD_AREA" localSheetId="5">受注明細!$AI$6:$AJ$105</definedName>
    <definedName name="FIELD_AREA" localSheetId="3">得意先!$AI$6:$AJ$105</definedName>
    <definedName name="FIELD_COUNT" localSheetId="2">テンプレート!$AI$5</definedName>
    <definedName name="FIELD_COUNT" localSheetId="4">受注!$AI$5</definedName>
    <definedName name="FIELD_COUNT" localSheetId="5">受注明細!$AI$5</definedName>
    <definedName name="FIELD_COUNT" localSheetId="3">得意先!$AI$5</definedName>
    <definedName name="FIELD_COUNT">#REF!</definedName>
    <definedName name="FIELD_COUNT_NN" localSheetId="2">テンプレート!$AJ$5</definedName>
    <definedName name="FIELD_COUNT_NN" localSheetId="4">受注!$AJ$5</definedName>
    <definedName name="FIELD_COUNT_NN" localSheetId="5">受注明細!$AJ$5</definedName>
    <definedName name="FIELD_COUNT_NN" localSheetId="3">得意先!$AJ$5</definedName>
    <definedName name="FIELD_COUNT_NN">#REF!</definedName>
    <definedName name="FIELD_NAME" localSheetId="2">テンプレート!$B$6:$B$105</definedName>
    <definedName name="FIELD_NAME" localSheetId="4">受注!$B$6:$B$105</definedName>
    <definedName name="FIELD_NAME" localSheetId="5">受注明細!$B$6:$B$105</definedName>
    <definedName name="FIELD_NAME" localSheetId="3">得意先!$B$6:$B$105</definedName>
    <definedName name="FIELD_NAME">#REF!</definedName>
    <definedName name="FIELD_NAME__" localSheetId="2">OFFSET(テンプレート!FIELD_NAME,,,,2)</definedName>
    <definedName name="FIELD_NAME__" localSheetId="4">OFFSET(受注!FIELD_NAME,,,,2)</definedName>
    <definedName name="FIELD_NAME__" localSheetId="5">OFFSET(受注明細!FIELD_NAME,,,,2)</definedName>
    <definedName name="FIELD_NAME__" localSheetId="3">OFFSET(得意先!FIELD_NAME,,,,2)</definedName>
    <definedName name="FIELD_NN" localSheetId="2">テンプレート!$E$6:$E$105</definedName>
    <definedName name="FIELD_NN" localSheetId="4">受注!$E$6:$E$105</definedName>
    <definedName name="FIELD_NN" localSheetId="5">受注明細!$E$6:$E$105</definedName>
    <definedName name="FIELD_NN" localSheetId="3">得意先!$E$6:$E$105</definedName>
    <definedName name="FIELDリスト" localSheetId="2">OFFSET(テンプレート!$AI$6,,,テンプレート!FIELD_COUNT,)</definedName>
    <definedName name="FIELDリスト" localSheetId="4">OFFSET(受注!$AI$6,,,受注!FIELD_COUNT,)</definedName>
    <definedName name="FIELDリスト" localSheetId="5">OFFSET(受注明細!$AI$6,,,受注明細!FIELD_COUNT,)</definedName>
    <definedName name="FIELDリスト" localSheetId="3">OFFSET(得意先!$AI$6,,,得意先!FIELD_COUNT,)</definedName>
    <definedName name="FIELDリストNN" localSheetId="2">OFFSET(テンプレート!$AJ$6,,,テンプレート!FIELD_COUNT_NN,)</definedName>
    <definedName name="FIELDリストNN" localSheetId="4">OFFSET(受注!$AJ$6,,,受注!FIELD_COUNT_NN,)</definedName>
    <definedName name="FIELDリストNN" localSheetId="5">OFFSET(受注明細!$AJ$6,,,受注明細!FIELD_COUNT_NN,)</definedName>
    <definedName name="FIELDリストNN" localSheetId="3">OFFSET(得意先!$AJ$6,,,得意先!FIELD_COUNT_NN,)</definedName>
    <definedName name="FK_ENABLE_1" localSheetId="2">テンプレート!$AL$106:$AL$116</definedName>
    <definedName name="FK_ENABLE_1" localSheetId="4">受注!$AL$106:$AL$116</definedName>
    <definedName name="FK_ENABLE_1" localSheetId="5">受注明細!$AL$106:$AL$116</definedName>
    <definedName name="FK_ENABLE_1" localSheetId="3">得意先!$AL$106:$AL$116</definedName>
    <definedName name="FK_ENABLE_2" localSheetId="2">テンプレート!$AM$106:$AM$116</definedName>
    <definedName name="FK_ENABLE_2" localSheetId="4">受注!$AM$106:$AM$116</definedName>
    <definedName name="FK_ENABLE_2" localSheetId="5">受注明細!$AM$106:$AM$116</definedName>
    <definedName name="FK_ENABLE_2" localSheetId="3">得意先!$AM$106:$AM$116</definedName>
    <definedName name="FK_ENABLE_3" localSheetId="2">テンプレート!$AN$106:$AN$116</definedName>
    <definedName name="FK_ENABLE_3" localSheetId="4">受注!$AN$106:$AN$116</definedName>
    <definedName name="FK_ENABLE_3" localSheetId="5">受注明細!$AN$106:$AN$116</definedName>
    <definedName name="FK_ENABLE_3" localSheetId="3">得意先!$AN$106:$AN$116</definedName>
    <definedName name="FK_ENABLE_4" localSheetId="2">テンプレート!$AO$106:$AO$116</definedName>
    <definedName name="FK_ENABLE_4" localSheetId="4">受注!$AO$106:$AO$116</definedName>
    <definedName name="FK_ENABLE_4" localSheetId="5">受注明細!$AO$106:$AO$116</definedName>
    <definedName name="FK_ENABLE_4" localSheetId="3">得意先!$AO$106:$AO$116</definedName>
    <definedName name="FK_ENABLE_5" localSheetId="2">テンプレート!$AP$106:$AP$116</definedName>
    <definedName name="FK_ENABLE_5" localSheetId="4">受注!$AP$106:$AP$116</definedName>
    <definedName name="FK_ENABLE_5" localSheetId="5">受注明細!$AP$106:$AP$116</definedName>
    <definedName name="FK_ENABLE_5" localSheetId="3">得意先!$AP$106:$AP$116</definedName>
    <definedName name="FK_FIELD_1" localSheetId="2">OFFSET(テンプレート!$AL$6,,,テンプレート!$AL$5,)</definedName>
    <definedName name="FK_FIELD_1" localSheetId="4">OFFSET(受注!$AL$6,,,受注!$AL$5,)</definedName>
    <definedName name="FK_FIELD_1" localSheetId="5">OFFSET(受注明細!$AL$6,,,受注明細!$AL$5,)</definedName>
    <definedName name="FK_FIELD_1" localSheetId="3">OFFSET(得意先!$AL$6,,,得意先!$AL$5,)</definedName>
    <definedName name="FK_FIELD_2" localSheetId="2">OFFSET(テンプレート!$AM$6,,,テンプレート!$AM$5,)</definedName>
    <definedName name="FK_FIELD_2" localSheetId="4">OFFSET(受注!$AM$6,,,受注!$AM$5,)</definedName>
    <definedName name="FK_FIELD_2" localSheetId="5">OFFSET(受注明細!$AM$6,,,受注明細!$AM$5,)</definedName>
    <definedName name="FK_FIELD_2" localSheetId="3">OFFSET(得意先!$AM$6,,,得意先!$AM$5,)</definedName>
    <definedName name="FK_FIELD_3" localSheetId="2">OFFSET(テンプレート!$AN$6,,,テンプレート!$AN$5,)</definedName>
    <definedName name="FK_FIELD_3" localSheetId="4">OFFSET(受注!$AN$6,,,受注!$AN$5,)</definedName>
    <definedName name="FK_FIELD_3" localSheetId="5">OFFSET(受注明細!$AN$6,,,受注明細!$AN$5,)</definedName>
    <definedName name="FK_FIELD_3" localSheetId="3">OFFSET(得意先!$AN$6,,,得意先!$AN$5,)</definedName>
    <definedName name="FK_FIELD_4" localSheetId="2">OFFSET(テンプレート!$AO$6,,,テンプレート!$AO$5,)</definedName>
    <definedName name="FK_FIELD_4" localSheetId="4">OFFSET(受注!$AO$6,,,受注!$AO$5,)</definedName>
    <definedName name="FK_FIELD_4" localSheetId="5">OFFSET(受注明細!$AO$6,,,受注明細!$AO$5,)</definedName>
    <definedName name="FK_FIELD_4" localSheetId="3">OFFSET(得意先!$AO$6,,,得意先!$AO$5,)</definedName>
    <definedName name="FK_FIELD_5" localSheetId="2">OFFSET(テンプレート!$AP$6,,,テンプレート!$AP$5,)</definedName>
    <definedName name="FK_FIELD_5" localSheetId="4">OFFSET(受注!$AP$6,,,受注!$AP$5,)</definedName>
    <definedName name="FK_FIELD_5" localSheetId="5">OFFSET(受注明細!$AP$6,,,受注明細!$AP$5,)</definedName>
    <definedName name="FK_FIELD_5" localSheetId="3">OFFSET(得意先!$AP$6,,,得意先!$AP$5,)</definedName>
    <definedName name="FK_OPTION">WORK!$E$6:$E$9</definedName>
    <definedName name="INVALID">FALSE</definedName>
    <definedName name="IS_MASTER" localSheetId="2">テンプレート!$F$2</definedName>
    <definedName name="IS_MASTER" localSheetId="4">受注!$F$2</definedName>
    <definedName name="IS_MASTER" localSheetId="5">受注明細!$F$2</definedName>
    <definedName name="IS_MASTER" localSheetId="3">得意先!$F$2</definedName>
    <definedName name="MODIFY_DATETIME">45342.3099884259</definedName>
    <definedName name="PK_AREA" localSheetId="2">テンプレート!$L$8:$P$8</definedName>
    <definedName name="PK_AREA" localSheetId="4">受注!$L$8:$P$8</definedName>
    <definedName name="PK_AREA" localSheetId="5">受注明細!$L$8:$P$8</definedName>
    <definedName name="PK_AREA" localSheetId="3">得意先!$L$8:$P$8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4">受注!$AK$6:$AK$105</definedName>
    <definedName name="TABLE_AREA" localSheetId="5">受注明細!$AK$6:$AK$105</definedName>
    <definedName name="TABLE_AREA" localSheetId="3">得意先!$AK$6:$AK$105</definedName>
    <definedName name="TABLE_COUNT" localSheetId="2">テンプレート!$AK$5</definedName>
    <definedName name="TABLE_COUNT" localSheetId="4">受注!$AK$5</definedName>
    <definedName name="TABLE_COUNT" localSheetId="5">受注明細!$AK$5</definedName>
    <definedName name="TABLE_COUNT" localSheetId="3">得意先!$AK$5</definedName>
    <definedName name="TABLE_COUNT">#REF!</definedName>
    <definedName name="TABLE_EN" localSheetId="2">テンプレート!$C$2</definedName>
    <definedName name="TABLE_EN" localSheetId="4">受注!$C$2</definedName>
    <definedName name="TABLE_EN" localSheetId="5">受注明細!$C$2</definedName>
    <definedName name="TABLE_EN" localSheetId="3">得意先!$C$2</definedName>
    <definedName name="TABLE_JP" localSheetId="2">テンプレート!$B$2</definedName>
    <definedName name="TABLE_JP" localSheetId="4">受注!$B$2</definedName>
    <definedName name="TABLE_JP" localSheetId="5">受注明細!$B$2</definedName>
    <definedName name="TABLE_JP" localSheetId="3">得意先!$B$2</definedName>
    <definedName name="TABLE_NO" localSheetId="2">テンプレート!$D$2</definedName>
    <definedName name="TABLE_NO" localSheetId="4">受注!$D$2</definedName>
    <definedName name="TABLE_NO" localSheetId="5">受注明細!$D$2</definedName>
    <definedName name="TABLE_NO" localSheetId="3">得意先!$D$2</definedName>
    <definedName name="TABLEリスト" localSheetId="2">OFFSET(テンプレート!$AK$6,,,テンプレート!TABLE_COUNT,)</definedName>
    <definedName name="TABLEリスト" localSheetId="4">OFFSET(受注!$AK$6,,,受注!TABLE_COUNT,)</definedName>
    <definedName name="TABLEリスト" localSheetId="5">OFFSET(受注明細!$AK$6,,,受注明細!TABLE_COUNT,)</definedName>
    <definedName name="TABLEリスト" localSheetId="3">OFFSET(得意先!$AK$6,,,得意先!TABLE_COUNT,)</definedName>
    <definedName name="UNIQUE_AREA" localSheetId="2">テンプレート!$L$13:$P$22</definedName>
    <definedName name="UNIQUE_AREA" localSheetId="4">受注!$L$13:$P$22</definedName>
    <definedName name="UNIQUE_AREA" localSheetId="5">受注明細!$L$13:$P$22</definedName>
    <definedName name="UNIQUE_AREA" localSheetId="3">得意先!$L$13:$P$22</definedName>
    <definedName name="UNIQUE_EXIST" localSheetId="2">テンプレート!$R$11</definedName>
    <definedName name="UNIQUE_EXIST" localSheetId="4">受注!$R$11</definedName>
    <definedName name="UNIQUE_EXIST" localSheetId="5">受注明細!$R$11</definedName>
    <definedName name="UNIQUE_EXIST" localSheetId="3">得意先!$R$11</definedName>
    <definedName name="UNIQUE_LIST" localSheetId="2">テンプレート!$R$13:$R$22</definedName>
    <definedName name="UNIQUE_LIST" localSheetId="4">受注!$R$13:$R$22</definedName>
    <definedName name="UNIQUE_LIST" localSheetId="5">受注明細!$R$13:$R$22</definedName>
    <definedName name="UNIQUE_LIST" localSheetId="3">得意先!$R$13:$R$22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172" l="1"/>
  <c r="T105" i="172"/>
  <c r="H105" i="172"/>
  <c r="G105" i="172"/>
  <c r="D105" i="172"/>
  <c r="C105" i="172"/>
  <c r="U104" i="172"/>
  <c r="T104" i="172"/>
  <c r="H104" i="172"/>
  <c r="G104" i="172"/>
  <c r="D104" i="172"/>
  <c r="C104" i="172"/>
  <c r="U103" i="172"/>
  <c r="T103" i="172"/>
  <c r="H103" i="172"/>
  <c r="G103" i="172"/>
  <c r="D103" i="172"/>
  <c r="C103" i="172"/>
  <c r="U102" i="172"/>
  <c r="T102" i="172"/>
  <c r="H102" i="172"/>
  <c r="G102" i="172"/>
  <c r="D102" i="172"/>
  <c r="C102" i="172"/>
  <c r="U101" i="172"/>
  <c r="T101" i="172"/>
  <c r="H101" i="172"/>
  <c r="G101" i="172"/>
  <c r="D101" i="172"/>
  <c r="C101" i="172"/>
  <c r="U100" i="172"/>
  <c r="T100" i="172"/>
  <c r="H100" i="172"/>
  <c r="G100" i="172"/>
  <c r="D100" i="172"/>
  <c r="C100" i="172"/>
  <c r="U99" i="172"/>
  <c r="T99" i="172"/>
  <c r="H99" i="172"/>
  <c r="G99" i="172"/>
  <c r="D99" i="172"/>
  <c r="C99" i="172"/>
  <c r="U98" i="172"/>
  <c r="T98" i="172"/>
  <c r="H98" i="172"/>
  <c r="G98" i="172"/>
  <c r="D98" i="172"/>
  <c r="C98" i="172"/>
  <c r="U97" i="172"/>
  <c r="T97" i="172"/>
  <c r="H97" i="172"/>
  <c r="G97" i="172"/>
  <c r="D97" i="172"/>
  <c r="C97" i="172"/>
  <c r="U96" i="172"/>
  <c r="T96" i="172"/>
  <c r="H96" i="172"/>
  <c r="G96" i="172"/>
  <c r="D96" i="172"/>
  <c r="C96" i="172"/>
  <c r="U95" i="172"/>
  <c r="T95" i="172"/>
  <c r="H95" i="172"/>
  <c r="G95" i="172"/>
  <c r="D95" i="172"/>
  <c r="C95" i="172"/>
  <c r="U94" i="172"/>
  <c r="T94" i="172"/>
  <c r="H94" i="172"/>
  <c r="G94" i="172"/>
  <c r="D94" i="172"/>
  <c r="C94" i="172"/>
  <c r="U93" i="172"/>
  <c r="T93" i="172"/>
  <c r="H93" i="172"/>
  <c r="G93" i="172"/>
  <c r="D93" i="172"/>
  <c r="C93" i="172"/>
  <c r="U92" i="172"/>
  <c r="T92" i="172"/>
  <c r="H92" i="172"/>
  <c r="G92" i="172"/>
  <c r="D92" i="172"/>
  <c r="C92" i="172"/>
  <c r="U91" i="172"/>
  <c r="T91" i="172"/>
  <c r="H91" i="172"/>
  <c r="G91" i="172"/>
  <c r="D91" i="172"/>
  <c r="C91" i="172"/>
  <c r="U90" i="172"/>
  <c r="T90" i="172"/>
  <c r="H90" i="172"/>
  <c r="G90" i="172"/>
  <c r="D90" i="172"/>
  <c r="C90" i="172"/>
  <c r="U89" i="172"/>
  <c r="T89" i="172"/>
  <c r="H89" i="172"/>
  <c r="G89" i="172"/>
  <c r="D89" i="172"/>
  <c r="C89" i="172"/>
  <c r="U88" i="172"/>
  <c r="T88" i="172"/>
  <c r="H88" i="172"/>
  <c r="G88" i="172"/>
  <c r="D88" i="172"/>
  <c r="C88" i="172"/>
  <c r="U87" i="172"/>
  <c r="T87" i="172"/>
  <c r="H87" i="172"/>
  <c r="G87" i="172"/>
  <c r="D87" i="172"/>
  <c r="C87" i="172"/>
  <c r="U86" i="172"/>
  <c r="T86" i="172"/>
  <c r="H86" i="172"/>
  <c r="G86" i="172"/>
  <c r="D86" i="172"/>
  <c r="C86" i="172"/>
  <c r="U85" i="172"/>
  <c r="T85" i="172"/>
  <c r="H85" i="172"/>
  <c r="G85" i="172"/>
  <c r="D85" i="172"/>
  <c r="C85" i="172"/>
  <c r="U84" i="172"/>
  <c r="T84" i="172"/>
  <c r="H84" i="172"/>
  <c r="G84" i="172"/>
  <c r="D84" i="172"/>
  <c r="C84" i="172"/>
  <c r="U83" i="172"/>
  <c r="T83" i="172"/>
  <c r="H83" i="172"/>
  <c r="G83" i="172"/>
  <c r="D83" i="172"/>
  <c r="C83" i="172"/>
  <c r="U82" i="172"/>
  <c r="T82" i="172"/>
  <c r="H82" i="172"/>
  <c r="G82" i="172"/>
  <c r="D82" i="172"/>
  <c r="C82" i="172"/>
  <c r="U81" i="172"/>
  <c r="T81" i="172"/>
  <c r="H81" i="172"/>
  <c r="G81" i="172"/>
  <c r="D81" i="172"/>
  <c r="C81" i="172"/>
  <c r="U80" i="172"/>
  <c r="T80" i="172"/>
  <c r="H80" i="172"/>
  <c r="G80" i="172"/>
  <c r="D80" i="172"/>
  <c r="C80" i="172"/>
  <c r="U79" i="172"/>
  <c r="T79" i="172"/>
  <c r="H79" i="172"/>
  <c r="G79" i="172"/>
  <c r="D79" i="172"/>
  <c r="C79" i="172"/>
  <c r="U78" i="172"/>
  <c r="T78" i="172"/>
  <c r="H78" i="172"/>
  <c r="G78" i="172"/>
  <c r="D78" i="172"/>
  <c r="C78" i="172"/>
  <c r="U77" i="172"/>
  <c r="T77" i="172"/>
  <c r="H77" i="172"/>
  <c r="G77" i="172"/>
  <c r="D77" i="172"/>
  <c r="C77" i="172"/>
  <c r="U76" i="172"/>
  <c r="T76" i="172"/>
  <c r="H76" i="172"/>
  <c r="G76" i="172"/>
  <c r="D76" i="172"/>
  <c r="C76" i="172"/>
  <c r="U75" i="172"/>
  <c r="T75" i="172"/>
  <c r="H75" i="172"/>
  <c r="G75" i="172"/>
  <c r="D75" i="172"/>
  <c r="C75" i="172"/>
  <c r="U74" i="172"/>
  <c r="T74" i="172"/>
  <c r="H74" i="172"/>
  <c r="G74" i="172"/>
  <c r="D74" i="172"/>
  <c r="C74" i="172"/>
  <c r="U73" i="172"/>
  <c r="T73" i="172"/>
  <c r="H73" i="172"/>
  <c r="G73" i="172"/>
  <c r="D73" i="172"/>
  <c r="C73" i="172"/>
  <c r="U72" i="172"/>
  <c r="T72" i="172"/>
  <c r="H72" i="172"/>
  <c r="G72" i="172"/>
  <c r="D72" i="172"/>
  <c r="C72" i="172"/>
  <c r="U71" i="172"/>
  <c r="T71" i="172"/>
  <c r="H71" i="172"/>
  <c r="G71" i="172"/>
  <c r="D71" i="172"/>
  <c r="C71" i="172"/>
  <c r="U70" i="172"/>
  <c r="T70" i="172"/>
  <c r="H70" i="172"/>
  <c r="G70" i="172"/>
  <c r="D70" i="172"/>
  <c r="C70" i="172"/>
  <c r="U69" i="172"/>
  <c r="T69" i="172"/>
  <c r="H69" i="172"/>
  <c r="G69" i="172"/>
  <c r="D69" i="172"/>
  <c r="C69" i="172"/>
  <c r="U68" i="172"/>
  <c r="T68" i="172"/>
  <c r="H68" i="172"/>
  <c r="G68" i="172"/>
  <c r="D68" i="172"/>
  <c r="C68" i="172"/>
  <c r="U67" i="172"/>
  <c r="T67" i="172"/>
  <c r="H67" i="172"/>
  <c r="G67" i="172"/>
  <c r="D67" i="172"/>
  <c r="C67" i="172"/>
  <c r="U66" i="172"/>
  <c r="T66" i="172"/>
  <c r="H66" i="172"/>
  <c r="G66" i="172"/>
  <c r="D66" i="172"/>
  <c r="C66" i="172"/>
  <c r="U65" i="172"/>
  <c r="T65" i="172"/>
  <c r="H65" i="172"/>
  <c r="G65" i="172"/>
  <c r="D65" i="172"/>
  <c r="C65" i="172"/>
  <c r="U64" i="172"/>
  <c r="T64" i="172"/>
  <c r="H64" i="172"/>
  <c r="G64" i="172"/>
  <c r="D64" i="172"/>
  <c r="C64" i="172"/>
  <c r="U63" i="172"/>
  <c r="T63" i="172"/>
  <c r="R63" i="172"/>
  <c r="H63" i="172"/>
  <c r="G63" i="172"/>
  <c r="D63" i="172"/>
  <c r="C63" i="172"/>
  <c r="U62" i="172"/>
  <c r="T62" i="172"/>
  <c r="H62" i="172"/>
  <c r="G62" i="172"/>
  <c r="D62" i="172"/>
  <c r="C62" i="172"/>
  <c r="U61" i="172"/>
  <c r="T61" i="172"/>
  <c r="R61" i="172"/>
  <c r="H61" i="172"/>
  <c r="G61" i="172"/>
  <c r="D61" i="172"/>
  <c r="C61" i="172"/>
  <c r="U60" i="172"/>
  <c r="T60" i="172"/>
  <c r="H60" i="172"/>
  <c r="G60" i="172"/>
  <c r="D60" i="172"/>
  <c r="C60" i="172"/>
  <c r="U59" i="172"/>
  <c r="T59" i="172"/>
  <c r="R59" i="172"/>
  <c r="H59" i="172"/>
  <c r="G59" i="172"/>
  <c r="D59" i="172"/>
  <c r="C59" i="172"/>
  <c r="U58" i="172"/>
  <c r="T58" i="172"/>
  <c r="H58" i="172"/>
  <c r="G58" i="172"/>
  <c r="D58" i="172"/>
  <c r="C58" i="172"/>
  <c r="U57" i="172"/>
  <c r="T57" i="172"/>
  <c r="R57" i="172"/>
  <c r="AD57" i="172" s="1"/>
  <c r="H57" i="172"/>
  <c r="G57" i="172"/>
  <c r="D57" i="172"/>
  <c r="C57" i="172"/>
  <c r="U56" i="172"/>
  <c r="T56" i="172"/>
  <c r="H56" i="172"/>
  <c r="G56" i="172"/>
  <c r="D56" i="172"/>
  <c r="C56" i="172"/>
  <c r="U55" i="172"/>
  <c r="T55" i="172"/>
  <c r="R55" i="172"/>
  <c r="AD55" i="172" s="1"/>
  <c r="H55" i="172"/>
  <c r="G55" i="172"/>
  <c r="D55" i="172"/>
  <c r="C55" i="172"/>
  <c r="U54" i="172"/>
  <c r="T54" i="172"/>
  <c r="H54" i="172"/>
  <c r="G54" i="172"/>
  <c r="D54" i="172"/>
  <c r="C54" i="172"/>
  <c r="U53" i="172"/>
  <c r="T53" i="172"/>
  <c r="H53" i="172"/>
  <c r="G53" i="172"/>
  <c r="D53" i="172"/>
  <c r="C53" i="172"/>
  <c r="U52" i="172"/>
  <c r="T52" i="172"/>
  <c r="H52" i="172"/>
  <c r="G52" i="172"/>
  <c r="D52" i="172"/>
  <c r="C52" i="172"/>
  <c r="U51" i="172"/>
  <c r="T51" i="172"/>
  <c r="H51" i="172"/>
  <c r="G51" i="172"/>
  <c r="D51" i="172"/>
  <c r="C51" i="172"/>
  <c r="AC50" i="172"/>
  <c r="AB50" i="172"/>
  <c r="AA50" i="172"/>
  <c r="Z50" i="172"/>
  <c r="Y50" i="172"/>
  <c r="U50" i="172"/>
  <c r="T50" i="172"/>
  <c r="H50" i="172"/>
  <c r="G50" i="172"/>
  <c r="D50" i="172"/>
  <c r="C50" i="172"/>
  <c r="AC49" i="172"/>
  <c r="AB49" i="172"/>
  <c r="AA49" i="172"/>
  <c r="Z49" i="172"/>
  <c r="Y49" i="172"/>
  <c r="U49" i="172"/>
  <c r="T49" i="172"/>
  <c r="R49" i="172"/>
  <c r="H49" i="172"/>
  <c r="G49" i="172"/>
  <c r="D49" i="172"/>
  <c r="C49" i="172"/>
  <c r="U48" i="172"/>
  <c r="T48" i="172"/>
  <c r="H48" i="172"/>
  <c r="G48" i="172"/>
  <c r="D48" i="172"/>
  <c r="C48" i="172"/>
  <c r="U47" i="172"/>
  <c r="T47" i="172"/>
  <c r="S47" i="172"/>
  <c r="R47" i="172"/>
  <c r="H47" i="172"/>
  <c r="G47" i="172"/>
  <c r="D47" i="172"/>
  <c r="C47" i="172"/>
  <c r="AD46" i="172"/>
  <c r="U46" i="172"/>
  <c r="T46" i="172"/>
  <c r="H46" i="172"/>
  <c r="G46" i="172"/>
  <c r="D46" i="172"/>
  <c r="C46" i="172"/>
  <c r="AC45" i="172"/>
  <c r="AB45" i="172"/>
  <c r="AA45" i="172"/>
  <c r="Z45" i="172"/>
  <c r="Y45" i="172"/>
  <c r="U45" i="172"/>
  <c r="T45" i="172"/>
  <c r="H45" i="172"/>
  <c r="G45" i="172"/>
  <c r="D45" i="172"/>
  <c r="C45" i="172"/>
  <c r="AC44" i="172"/>
  <c r="AB44" i="172"/>
  <c r="AA44" i="172"/>
  <c r="Z44" i="172"/>
  <c r="Y44" i="172"/>
  <c r="U44" i="172"/>
  <c r="T44" i="172"/>
  <c r="R44" i="172"/>
  <c r="H44" i="172"/>
  <c r="G44" i="172"/>
  <c r="D44" i="172"/>
  <c r="C44" i="172"/>
  <c r="U43" i="172"/>
  <c r="T43" i="172"/>
  <c r="H43" i="172"/>
  <c r="G43" i="172"/>
  <c r="D43" i="172"/>
  <c r="C43" i="172"/>
  <c r="U42" i="172"/>
  <c r="T42" i="172"/>
  <c r="S42" i="172"/>
  <c r="R42" i="172"/>
  <c r="AD41" i="172" s="1"/>
  <c r="H42" i="172"/>
  <c r="G42" i="172"/>
  <c r="D42" i="172"/>
  <c r="C42" i="172"/>
  <c r="U41" i="172"/>
  <c r="T41" i="172"/>
  <c r="H41" i="172"/>
  <c r="G41" i="172"/>
  <c r="D41" i="172"/>
  <c r="C41" i="172"/>
  <c r="AC40" i="172"/>
  <c r="AB40" i="172"/>
  <c r="AA40" i="172"/>
  <c r="Z40" i="172"/>
  <c r="Y40" i="172"/>
  <c r="U40" i="172"/>
  <c r="T40" i="172"/>
  <c r="H40" i="172"/>
  <c r="G40" i="172"/>
  <c r="D40" i="172"/>
  <c r="C40" i="172"/>
  <c r="AC39" i="172"/>
  <c r="AB39" i="172"/>
  <c r="AA39" i="172"/>
  <c r="Z39" i="172"/>
  <c r="Y39" i="172"/>
  <c r="U39" i="172"/>
  <c r="T39" i="172"/>
  <c r="R39" i="172"/>
  <c r="H39" i="172"/>
  <c r="G39" i="172"/>
  <c r="D39" i="172"/>
  <c r="C39" i="172"/>
  <c r="U38" i="172"/>
  <c r="T38" i="172"/>
  <c r="H38" i="172"/>
  <c r="G38" i="172"/>
  <c r="D38" i="172"/>
  <c r="C38" i="172"/>
  <c r="U37" i="172"/>
  <c r="T37" i="172"/>
  <c r="R37" i="172"/>
  <c r="S37" i="172" s="1"/>
  <c r="H37" i="172"/>
  <c r="G37" i="172"/>
  <c r="D37" i="172"/>
  <c r="C37" i="172"/>
  <c r="AD36" i="172"/>
  <c r="U36" i="172"/>
  <c r="T36" i="172"/>
  <c r="H36" i="172"/>
  <c r="G36" i="172"/>
  <c r="D36" i="172"/>
  <c r="C36" i="172"/>
  <c r="AC35" i="172"/>
  <c r="AB35" i="172"/>
  <c r="AA35" i="172"/>
  <c r="Z35" i="172"/>
  <c r="Y35" i="172"/>
  <c r="U35" i="172"/>
  <c r="T35" i="172"/>
  <c r="H35" i="172"/>
  <c r="G35" i="172"/>
  <c r="D35" i="172"/>
  <c r="C35" i="172"/>
  <c r="AC34" i="172"/>
  <c r="AB34" i="172"/>
  <c r="AA34" i="172"/>
  <c r="Z34" i="172"/>
  <c r="Y34" i="172"/>
  <c r="U34" i="172"/>
  <c r="T34" i="172"/>
  <c r="R34" i="172"/>
  <c r="H34" i="172"/>
  <c r="G34" i="172"/>
  <c r="D34" i="172"/>
  <c r="C34" i="172"/>
  <c r="U33" i="172"/>
  <c r="T33" i="172"/>
  <c r="H33" i="172"/>
  <c r="G33" i="172"/>
  <c r="D33" i="172"/>
  <c r="C33" i="172"/>
  <c r="U32" i="172"/>
  <c r="T32" i="172"/>
  <c r="R32" i="172"/>
  <c r="S32" i="172" s="1"/>
  <c r="H32" i="172"/>
  <c r="G32" i="172"/>
  <c r="D32" i="172"/>
  <c r="C32" i="172"/>
  <c r="AD31" i="172"/>
  <c r="U31" i="172"/>
  <c r="T31" i="172"/>
  <c r="H31" i="172"/>
  <c r="G31" i="172"/>
  <c r="D31" i="172"/>
  <c r="C31" i="172"/>
  <c r="AC30" i="172"/>
  <c r="AB30" i="172"/>
  <c r="AA30" i="172"/>
  <c r="Z30" i="172"/>
  <c r="Y30" i="172"/>
  <c r="U30" i="172"/>
  <c r="T30" i="172"/>
  <c r="H30" i="172"/>
  <c r="G30" i="172"/>
  <c r="D30" i="172"/>
  <c r="C30" i="172"/>
  <c r="AC29" i="172"/>
  <c r="AB29" i="172"/>
  <c r="AA29" i="172"/>
  <c r="Z29" i="172"/>
  <c r="Y29" i="172"/>
  <c r="U29" i="172"/>
  <c r="T29" i="172"/>
  <c r="R29" i="172"/>
  <c r="H29" i="172"/>
  <c r="G29" i="172"/>
  <c r="D29" i="172"/>
  <c r="C29" i="172"/>
  <c r="U28" i="172"/>
  <c r="T28" i="172"/>
  <c r="H28" i="172"/>
  <c r="G28" i="172"/>
  <c r="D28" i="172"/>
  <c r="C28" i="172"/>
  <c r="U27" i="172"/>
  <c r="T27" i="172"/>
  <c r="R27" i="172"/>
  <c r="S27" i="172" s="1"/>
  <c r="H27" i="172"/>
  <c r="G27" i="172"/>
  <c r="D27" i="172"/>
  <c r="C27" i="172"/>
  <c r="U26" i="172"/>
  <c r="T26" i="172"/>
  <c r="H26" i="172"/>
  <c r="G26" i="172"/>
  <c r="D26" i="172"/>
  <c r="C26" i="172"/>
  <c r="U25" i="172"/>
  <c r="T25" i="172"/>
  <c r="H25" i="172"/>
  <c r="G25" i="172"/>
  <c r="D25" i="172"/>
  <c r="C25" i="172"/>
  <c r="U24" i="172"/>
  <c r="T24" i="172"/>
  <c r="H24" i="172"/>
  <c r="G24" i="172"/>
  <c r="D24" i="172"/>
  <c r="C24" i="172"/>
  <c r="U23" i="172"/>
  <c r="T23" i="172"/>
  <c r="H23" i="172"/>
  <c r="G23" i="172"/>
  <c r="D23" i="172"/>
  <c r="C23" i="172"/>
  <c r="U22" i="172"/>
  <c r="T22" i="172"/>
  <c r="R22" i="172"/>
  <c r="AD22" i="172" s="1"/>
  <c r="H22" i="172"/>
  <c r="G22" i="172"/>
  <c r="D22" i="172"/>
  <c r="C22" i="172"/>
  <c r="U21" i="172"/>
  <c r="T21" i="172"/>
  <c r="R21" i="172"/>
  <c r="AD21" i="172" s="1"/>
  <c r="H21" i="172"/>
  <c r="G21" i="172"/>
  <c r="D21" i="172"/>
  <c r="C21" i="172"/>
  <c r="U20" i="172"/>
  <c r="T20" i="172"/>
  <c r="R20" i="172"/>
  <c r="AD20" i="172" s="1"/>
  <c r="H20" i="172"/>
  <c r="G20" i="172"/>
  <c r="D20" i="172"/>
  <c r="C20" i="172"/>
  <c r="U19" i="172"/>
  <c r="T19" i="172"/>
  <c r="R19" i="172"/>
  <c r="AD19" i="172" s="1"/>
  <c r="H19" i="172"/>
  <c r="G19" i="172"/>
  <c r="D19" i="172"/>
  <c r="C19" i="172"/>
  <c r="U18" i="172"/>
  <c r="T18" i="172"/>
  <c r="R18" i="172"/>
  <c r="AD18" i="172" s="1"/>
  <c r="H18" i="172"/>
  <c r="G18" i="172"/>
  <c r="D18" i="172"/>
  <c r="C18" i="172"/>
  <c r="U17" i="172"/>
  <c r="T17" i="172"/>
  <c r="R17" i="172"/>
  <c r="AD17" i="172" s="1"/>
  <c r="H17" i="172"/>
  <c r="G17" i="172"/>
  <c r="D17" i="172"/>
  <c r="C17" i="172"/>
  <c r="U16" i="172"/>
  <c r="T16" i="172"/>
  <c r="R16" i="172"/>
  <c r="AD16" i="172" s="1"/>
  <c r="H16" i="172"/>
  <c r="G16" i="172"/>
  <c r="D16" i="172"/>
  <c r="C16" i="172"/>
  <c r="U15" i="172"/>
  <c r="T15" i="172"/>
  <c r="R15" i="172"/>
  <c r="AD15" i="172" s="1"/>
  <c r="H15" i="172"/>
  <c r="G15" i="172"/>
  <c r="D15" i="172"/>
  <c r="C15" i="172"/>
  <c r="U14" i="172"/>
  <c r="T14" i="172"/>
  <c r="R14" i="172"/>
  <c r="AD14" i="172" s="1"/>
  <c r="H14" i="172"/>
  <c r="G14" i="172"/>
  <c r="D14" i="172"/>
  <c r="C14" i="172"/>
  <c r="U13" i="172"/>
  <c r="T13" i="172"/>
  <c r="R13" i="172"/>
  <c r="AD13" i="172" s="1"/>
  <c r="H13" i="172"/>
  <c r="G13" i="172"/>
  <c r="D13" i="172"/>
  <c r="C13" i="172"/>
  <c r="U12" i="172"/>
  <c r="T12" i="172"/>
  <c r="H12" i="172"/>
  <c r="G12" i="172"/>
  <c r="D12" i="172"/>
  <c r="C12" i="172"/>
  <c r="U11" i="172"/>
  <c r="T11" i="172"/>
  <c r="H11" i="172"/>
  <c r="G11" i="172"/>
  <c r="D11" i="172"/>
  <c r="C11" i="172"/>
  <c r="U10" i="172"/>
  <c r="T10" i="172"/>
  <c r="H10" i="172"/>
  <c r="G10" i="172"/>
  <c r="D10" i="172"/>
  <c r="C10" i="172"/>
  <c r="U9" i="172"/>
  <c r="T9" i="172"/>
  <c r="H9" i="172"/>
  <c r="G9" i="172"/>
  <c r="D9" i="172"/>
  <c r="C9" i="172"/>
  <c r="AC8" i="172"/>
  <c r="AB8" i="172"/>
  <c r="AA8" i="172"/>
  <c r="Z8" i="172"/>
  <c r="Y8" i="172"/>
  <c r="U8" i="172"/>
  <c r="T8" i="172"/>
  <c r="R8" i="172"/>
  <c r="H8" i="172"/>
  <c r="G8" i="172"/>
  <c r="D8" i="172"/>
  <c r="C8" i="172"/>
  <c r="AG7" i="172"/>
  <c r="U7" i="172"/>
  <c r="T7" i="172"/>
  <c r="H7" i="172"/>
  <c r="G7" i="172"/>
  <c r="D7" i="172"/>
  <c r="C7" i="172"/>
  <c r="AQ6" i="172"/>
  <c r="U6" i="172"/>
  <c r="T6" i="172"/>
  <c r="H6" i="172"/>
  <c r="G6" i="172"/>
  <c r="D6" i="172"/>
  <c r="C6" i="172"/>
  <c r="AK5" i="172"/>
  <c r="AJ5" i="172"/>
  <c r="Y7" i="172" s="1"/>
  <c r="AI5" i="172"/>
  <c r="Y61" i="172" s="1"/>
  <c r="AG3" i="172"/>
  <c r="C2" i="172" a="1"/>
  <c r="C2" i="172" s="1"/>
  <c r="B2" i="172" a="1"/>
  <c r="B2" i="172" s="1"/>
  <c r="C1" i="172"/>
  <c r="B1" i="172"/>
  <c r="U105" i="171"/>
  <c r="T105" i="171"/>
  <c r="H105" i="171"/>
  <c r="G105" i="171"/>
  <c r="D105" i="171"/>
  <c r="C105" i="171"/>
  <c r="U104" i="171"/>
  <c r="T104" i="171"/>
  <c r="H104" i="171"/>
  <c r="G104" i="171"/>
  <c r="D104" i="171"/>
  <c r="C104" i="171"/>
  <c r="U103" i="171"/>
  <c r="T103" i="171"/>
  <c r="H103" i="171"/>
  <c r="G103" i="171"/>
  <c r="D103" i="171"/>
  <c r="C103" i="171"/>
  <c r="U102" i="171"/>
  <c r="T102" i="171"/>
  <c r="H102" i="171"/>
  <c r="G102" i="171"/>
  <c r="D102" i="171"/>
  <c r="C102" i="171"/>
  <c r="U101" i="171"/>
  <c r="T101" i="171"/>
  <c r="H101" i="171"/>
  <c r="G101" i="171"/>
  <c r="D101" i="171"/>
  <c r="C101" i="171"/>
  <c r="U100" i="171"/>
  <c r="T100" i="171"/>
  <c r="H100" i="171"/>
  <c r="G100" i="171"/>
  <c r="D100" i="171"/>
  <c r="C100" i="171"/>
  <c r="U99" i="171"/>
  <c r="T99" i="171"/>
  <c r="H99" i="171"/>
  <c r="G99" i="171"/>
  <c r="D99" i="171"/>
  <c r="C99" i="171"/>
  <c r="U98" i="171"/>
  <c r="T98" i="171"/>
  <c r="H98" i="171"/>
  <c r="G98" i="171"/>
  <c r="D98" i="171"/>
  <c r="C98" i="171"/>
  <c r="U97" i="171"/>
  <c r="T97" i="171"/>
  <c r="H97" i="171"/>
  <c r="G97" i="171"/>
  <c r="D97" i="171"/>
  <c r="C97" i="171"/>
  <c r="U96" i="171"/>
  <c r="T96" i="171"/>
  <c r="H96" i="171"/>
  <c r="G96" i="171"/>
  <c r="D96" i="171"/>
  <c r="C96" i="171"/>
  <c r="U95" i="171"/>
  <c r="T95" i="171"/>
  <c r="H95" i="171"/>
  <c r="G95" i="171"/>
  <c r="D95" i="171"/>
  <c r="C95" i="171"/>
  <c r="U94" i="171"/>
  <c r="T94" i="171"/>
  <c r="H94" i="171"/>
  <c r="G94" i="171"/>
  <c r="D94" i="171"/>
  <c r="C94" i="171"/>
  <c r="U93" i="171"/>
  <c r="T93" i="171"/>
  <c r="H93" i="171"/>
  <c r="G93" i="171"/>
  <c r="D93" i="171"/>
  <c r="C93" i="171"/>
  <c r="U92" i="171"/>
  <c r="T92" i="171"/>
  <c r="H92" i="171"/>
  <c r="G92" i="171"/>
  <c r="D92" i="171"/>
  <c r="C92" i="171"/>
  <c r="U91" i="171"/>
  <c r="T91" i="171"/>
  <c r="H91" i="171"/>
  <c r="G91" i="171"/>
  <c r="D91" i="171"/>
  <c r="C91" i="171"/>
  <c r="U90" i="171"/>
  <c r="T90" i="171"/>
  <c r="H90" i="171"/>
  <c r="G90" i="171"/>
  <c r="D90" i="171"/>
  <c r="C90" i="171"/>
  <c r="U89" i="171"/>
  <c r="T89" i="171"/>
  <c r="H89" i="171"/>
  <c r="G89" i="171"/>
  <c r="D89" i="171"/>
  <c r="C89" i="171"/>
  <c r="U88" i="171"/>
  <c r="T88" i="171"/>
  <c r="H88" i="171"/>
  <c r="G88" i="171"/>
  <c r="D88" i="171"/>
  <c r="C88" i="171"/>
  <c r="U87" i="171"/>
  <c r="T87" i="171"/>
  <c r="H87" i="171"/>
  <c r="G87" i="171"/>
  <c r="D87" i="171"/>
  <c r="C87" i="171"/>
  <c r="U86" i="171"/>
  <c r="T86" i="171"/>
  <c r="H86" i="171"/>
  <c r="G86" i="171"/>
  <c r="D86" i="171"/>
  <c r="C86" i="171"/>
  <c r="U85" i="171"/>
  <c r="T85" i="171"/>
  <c r="H85" i="171"/>
  <c r="G85" i="171"/>
  <c r="D85" i="171"/>
  <c r="C85" i="171"/>
  <c r="U84" i="171"/>
  <c r="T84" i="171"/>
  <c r="H84" i="171"/>
  <c r="G84" i="171"/>
  <c r="D84" i="171"/>
  <c r="C84" i="171"/>
  <c r="U83" i="171"/>
  <c r="T83" i="171"/>
  <c r="H83" i="171"/>
  <c r="G83" i="171"/>
  <c r="D83" i="171"/>
  <c r="C83" i="171"/>
  <c r="U82" i="171"/>
  <c r="T82" i="171"/>
  <c r="H82" i="171"/>
  <c r="G82" i="171"/>
  <c r="D82" i="171"/>
  <c r="C82" i="171"/>
  <c r="U81" i="171"/>
  <c r="T81" i="171"/>
  <c r="H81" i="171"/>
  <c r="G81" i="171"/>
  <c r="D81" i="171"/>
  <c r="C81" i="171"/>
  <c r="U80" i="171"/>
  <c r="T80" i="171"/>
  <c r="H80" i="171"/>
  <c r="G80" i="171"/>
  <c r="D80" i="171"/>
  <c r="C80" i="171"/>
  <c r="U79" i="171"/>
  <c r="T79" i="171"/>
  <c r="H79" i="171"/>
  <c r="G79" i="171"/>
  <c r="D79" i="171"/>
  <c r="C79" i="171"/>
  <c r="U78" i="171"/>
  <c r="T78" i="171"/>
  <c r="H78" i="171"/>
  <c r="G78" i="171"/>
  <c r="D78" i="171"/>
  <c r="C78" i="171"/>
  <c r="U77" i="171"/>
  <c r="T77" i="171"/>
  <c r="H77" i="171"/>
  <c r="G77" i="171"/>
  <c r="D77" i="171"/>
  <c r="C77" i="171"/>
  <c r="U76" i="171"/>
  <c r="T76" i="171"/>
  <c r="H76" i="171"/>
  <c r="G76" i="171"/>
  <c r="D76" i="171"/>
  <c r="C76" i="171"/>
  <c r="U75" i="171"/>
  <c r="T75" i="171"/>
  <c r="H75" i="171"/>
  <c r="G75" i="171"/>
  <c r="D75" i="171"/>
  <c r="C75" i="171"/>
  <c r="U74" i="171"/>
  <c r="T74" i="171"/>
  <c r="H74" i="171"/>
  <c r="G74" i="171"/>
  <c r="D74" i="171"/>
  <c r="C74" i="171"/>
  <c r="U73" i="171"/>
  <c r="T73" i="171"/>
  <c r="H73" i="171"/>
  <c r="G73" i="171"/>
  <c r="D73" i="171"/>
  <c r="C73" i="171"/>
  <c r="U72" i="171"/>
  <c r="T72" i="171"/>
  <c r="H72" i="171"/>
  <c r="G72" i="171"/>
  <c r="D72" i="171"/>
  <c r="C72" i="171"/>
  <c r="U71" i="171"/>
  <c r="T71" i="171"/>
  <c r="H71" i="171"/>
  <c r="G71" i="171"/>
  <c r="D71" i="171"/>
  <c r="C71" i="171"/>
  <c r="U70" i="171"/>
  <c r="T70" i="171"/>
  <c r="H70" i="171"/>
  <c r="G70" i="171"/>
  <c r="D70" i="171"/>
  <c r="C70" i="171"/>
  <c r="U69" i="171"/>
  <c r="T69" i="171"/>
  <c r="H69" i="171"/>
  <c r="G69" i="171"/>
  <c r="D69" i="171"/>
  <c r="C69" i="171"/>
  <c r="U68" i="171"/>
  <c r="T68" i="171"/>
  <c r="H68" i="171"/>
  <c r="G68" i="171"/>
  <c r="D68" i="171"/>
  <c r="C68" i="171"/>
  <c r="U67" i="171"/>
  <c r="T67" i="171"/>
  <c r="H67" i="171"/>
  <c r="G67" i="171"/>
  <c r="D67" i="171"/>
  <c r="C67" i="171"/>
  <c r="U66" i="171"/>
  <c r="T66" i="171"/>
  <c r="H66" i="171"/>
  <c r="G66" i="171"/>
  <c r="D66" i="171"/>
  <c r="C66" i="171"/>
  <c r="U65" i="171"/>
  <c r="T65" i="171"/>
  <c r="H65" i="171"/>
  <c r="G65" i="171"/>
  <c r="D65" i="171"/>
  <c r="C65" i="171"/>
  <c r="U64" i="171"/>
  <c r="T64" i="171"/>
  <c r="H64" i="171"/>
  <c r="G64" i="171"/>
  <c r="D64" i="171"/>
  <c r="C64" i="171"/>
  <c r="U63" i="171"/>
  <c r="T63" i="171"/>
  <c r="R63" i="171"/>
  <c r="H63" i="171"/>
  <c r="G63" i="171"/>
  <c r="D63" i="171"/>
  <c r="C63" i="171"/>
  <c r="U62" i="171"/>
  <c r="T62" i="171"/>
  <c r="H62" i="171"/>
  <c r="G62" i="171"/>
  <c r="D62" i="171"/>
  <c r="C62" i="171"/>
  <c r="U61" i="171"/>
  <c r="T61" i="171"/>
  <c r="R61" i="171"/>
  <c r="H61" i="171"/>
  <c r="G61" i="171"/>
  <c r="D61" i="171"/>
  <c r="C61" i="171"/>
  <c r="U60" i="171"/>
  <c r="T60" i="171"/>
  <c r="H60" i="171"/>
  <c r="G60" i="171"/>
  <c r="D60" i="171"/>
  <c r="C60" i="171"/>
  <c r="U59" i="171"/>
  <c r="T59" i="171"/>
  <c r="R59" i="171"/>
  <c r="H59" i="171"/>
  <c r="G59" i="171"/>
  <c r="D59" i="171"/>
  <c r="C59" i="171"/>
  <c r="U58" i="171"/>
  <c r="T58" i="171"/>
  <c r="H58" i="171"/>
  <c r="G58" i="171"/>
  <c r="D58" i="171"/>
  <c r="C58" i="171"/>
  <c r="U57" i="171"/>
  <c r="T57" i="171"/>
  <c r="R57" i="171"/>
  <c r="H57" i="171"/>
  <c r="G57" i="171"/>
  <c r="D57" i="171"/>
  <c r="C57" i="171"/>
  <c r="U56" i="171"/>
  <c r="T56" i="171"/>
  <c r="H56" i="171"/>
  <c r="G56" i="171"/>
  <c r="D56" i="171"/>
  <c r="C56" i="171"/>
  <c r="U55" i="171"/>
  <c r="T55" i="171"/>
  <c r="R55" i="171"/>
  <c r="AD55" i="171" s="1"/>
  <c r="H55" i="171"/>
  <c r="G55" i="171"/>
  <c r="D55" i="171"/>
  <c r="C55" i="171"/>
  <c r="U54" i="171"/>
  <c r="T54" i="171"/>
  <c r="H54" i="171"/>
  <c r="G54" i="171"/>
  <c r="D54" i="171"/>
  <c r="C54" i="171"/>
  <c r="U53" i="171"/>
  <c r="T53" i="171"/>
  <c r="H53" i="171"/>
  <c r="G53" i="171"/>
  <c r="D53" i="171"/>
  <c r="C53" i="171"/>
  <c r="U52" i="171"/>
  <c r="T52" i="171"/>
  <c r="H52" i="171"/>
  <c r="G52" i="171"/>
  <c r="D52" i="171"/>
  <c r="C52" i="171"/>
  <c r="U51" i="171"/>
  <c r="T51" i="171"/>
  <c r="H51" i="171"/>
  <c r="G51" i="171"/>
  <c r="D51" i="171"/>
  <c r="C51" i="171"/>
  <c r="AC50" i="171"/>
  <c r="AB50" i="171"/>
  <c r="AA50" i="171"/>
  <c r="Z50" i="171"/>
  <c r="Y50" i="171"/>
  <c r="U50" i="171"/>
  <c r="T50" i="171"/>
  <c r="H50" i="171"/>
  <c r="G50" i="171"/>
  <c r="D50" i="171"/>
  <c r="C50" i="171"/>
  <c r="AC49" i="171"/>
  <c r="AB49" i="171"/>
  <c r="AA49" i="171"/>
  <c r="Z49" i="171"/>
  <c r="Y49" i="171"/>
  <c r="U49" i="171"/>
  <c r="T49" i="171"/>
  <c r="R49" i="171"/>
  <c r="H49" i="171"/>
  <c r="G49" i="171"/>
  <c r="D49" i="171"/>
  <c r="C49" i="171"/>
  <c r="U48" i="171"/>
  <c r="T48" i="171"/>
  <c r="H48" i="171"/>
  <c r="G48" i="171"/>
  <c r="D48" i="171"/>
  <c r="C48" i="171"/>
  <c r="U47" i="171"/>
  <c r="T47" i="171"/>
  <c r="S47" i="171"/>
  <c r="R47" i="171"/>
  <c r="H47" i="171"/>
  <c r="G47" i="171"/>
  <c r="D47" i="171"/>
  <c r="C47" i="171"/>
  <c r="AD46" i="171"/>
  <c r="U46" i="171"/>
  <c r="T46" i="171"/>
  <c r="H46" i="171"/>
  <c r="G46" i="171"/>
  <c r="D46" i="171"/>
  <c r="C46" i="171"/>
  <c r="AC45" i="171"/>
  <c r="AB45" i="171"/>
  <c r="AA45" i="171"/>
  <c r="Z45" i="171"/>
  <c r="Y45" i="171"/>
  <c r="U45" i="171"/>
  <c r="T45" i="171"/>
  <c r="H45" i="171"/>
  <c r="G45" i="171"/>
  <c r="D45" i="171"/>
  <c r="C45" i="171"/>
  <c r="AC44" i="171"/>
  <c r="AB44" i="171"/>
  <c r="AA44" i="171"/>
  <c r="Z44" i="171"/>
  <c r="Y44" i="171"/>
  <c r="U44" i="171"/>
  <c r="T44" i="171"/>
  <c r="R44" i="171"/>
  <c r="H44" i="171"/>
  <c r="G44" i="171"/>
  <c r="D44" i="171"/>
  <c r="C44" i="171"/>
  <c r="U43" i="171"/>
  <c r="T43" i="171"/>
  <c r="H43" i="171"/>
  <c r="G43" i="171"/>
  <c r="D43" i="171"/>
  <c r="C43" i="171"/>
  <c r="U42" i="171"/>
  <c r="T42" i="171"/>
  <c r="R42" i="171"/>
  <c r="S42" i="171" s="1"/>
  <c r="H42" i="171"/>
  <c r="G42" i="171"/>
  <c r="D42" i="171"/>
  <c r="C42" i="171"/>
  <c r="AD41" i="171"/>
  <c r="U41" i="171"/>
  <c r="T41" i="171"/>
  <c r="H41" i="171"/>
  <c r="G41" i="171"/>
  <c r="D41" i="171"/>
  <c r="C41" i="171"/>
  <c r="AC40" i="171"/>
  <c r="AB40" i="171"/>
  <c r="AA40" i="171"/>
  <c r="Z40" i="171"/>
  <c r="Y40" i="171"/>
  <c r="U40" i="171"/>
  <c r="T40" i="171"/>
  <c r="H40" i="171"/>
  <c r="G40" i="171"/>
  <c r="D40" i="171"/>
  <c r="C40" i="171"/>
  <c r="AC39" i="171"/>
  <c r="AB39" i="171"/>
  <c r="AA39" i="171"/>
  <c r="Z39" i="171"/>
  <c r="Y39" i="171"/>
  <c r="U39" i="171"/>
  <c r="T39" i="171"/>
  <c r="R39" i="171"/>
  <c r="H39" i="171"/>
  <c r="G39" i="171"/>
  <c r="D39" i="171"/>
  <c r="C39" i="171"/>
  <c r="U38" i="171"/>
  <c r="T38" i="171"/>
  <c r="H38" i="171"/>
  <c r="G38" i="171"/>
  <c r="D38" i="171"/>
  <c r="C38" i="171"/>
  <c r="U37" i="171"/>
  <c r="T37" i="171"/>
  <c r="R37" i="171"/>
  <c r="AD36" i="171" s="1"/>
  <c r="H37" i="171"/>
  <c r="G37" i="171"/>
  <c r="D37" i="171"/>
  <c r="C37" i="171"/>
  <c r="U36" i="171"/>
  <c r="T36" i="171"/>
  <c r="H36" i="171"/>
  <c r="G36" i="171"/>
  <c r="D36" i="171"/>
  <c r="C36" i="171"/>
  <c r="AC35" i="171"/>
  <c r="AB35" i="171"/>
  <c r="AA35" i="171"/>
  <c r="Z35" i="171"/>
  <c r="Y35" i="171"/>
  <c r="U35" i="171"/>
  <c r="T35" i="171"/>
  <c r="H35" i="171"/>
  <c r="G35" i="171"/>
  <c r="D35" i="171"/>
  <c r="C35" i="171"/>
  <c r="AC34" i="171"/>
  <c r="AB34" i="171"/>
  <c r="AA34" i="171"/>
  <c r="Z34" i="171"/>
  <c r="Y34" i="171"/>
  <c r="U34" i="171"/>
  <c r="T34" i="171"/>
  <c r="R34" i="171"/>
  <c r="H34" i="171"/>
  <c r="G34" i="171"/>
  <c r="D34" i="171"/>
  <c r="C34" i="171"/>
  <c r="U33" i="171"/>
  <c r="T33" i="171"/>
  <c r="H33" i="171"/>
  <c r="G33" i="171"/>
  <c r="D33" i="171"/>
  <c r="C33" i="171"/>
  <c r="U32" i="171"/>
  <c r="T32" i="171"/>
  <c r="R32" i="171"/>
  <c r="AD31" i="171" s="1"/>
  <c r="H32" i="171"/>
  <c r="G32" i="171"/>
  <c r="D32" i="171"/>
  <c r="C32" i="171"/>
  <c r="U31" i="171"/>
  <c r="T31" i="171"/>
  <c r="H31" i="171"/>
  <c r="G31" i="171"/>
  <c r="D31" i="171"/>
  <c r="C31" i="171"/>
  <c r="AC30" i="171"/>
  <c r="AB30" i="171"/>
  <c r="AA30" i="171"/>
  <c r="Z30" i="171"/>
  <c r="Y30" i="171"/>
  <c r="U30" i="171"/>
  <c r="T30" i="171"/>
  <c r="H30" i="171"/>
  <c r="G30" i="171"/>
  <c r="D30" i="171"/>
  <c r="C30" i="171"/>
  <c r="AC29" i="171"/>
  <c r="AB29" i="171"/>
  <c r="AA29" i="171"/>
  <c r="Z29" i="171"/>
  <c r="Y29" i="171"/>
  <c r="U29" i="171"/>
  <c r="T29" i="171"/>
  <c r="R29" i="171"/>
  <c r="H29" i="171"/>
  <c r="G29" i="171"/>
  <c r="D29" i="171"/>
  <c r="C29" i="171"/>
  <c r="U28" i="171"/>
  <c r="T28" i="171"/>
  <c r="H28" i="171"/>
  <c r="G28" i="171"/>
  <c r="D28" i="171"/>
  <c r="C28" i="171"/>
  <c r="U27" i="171"/>
  <c r="T27" i="171"/>
  <c r="R27" i="171"/>
  <c r="S27" i="171" s="1"/>
  <c r="H27" i="171"/>
  <c r="G27" i="171"/>
  <c r="D27" i="171"/>
  <c r="C27" i="171"/>
  <c r="U26" i="171"/>
  <c r="T26" i="171"/>
  <c r="H26" i="171"/>
  <c r="G26" i="171"/>
  <c r="D26" i="171"/>
  <c r="C26" i="171"/>
  <c r="U25" i="171"/>
  <c r="T25" i="171"/>
  <c r="H25" i="171"/>
  <c r="G25" i="171"/>
  <c r="D25" i="171"/>
  <c r="C25" i="171"/>
  <c r="U24" i="171"/>
  <c r="T24" i="171"/>
  <c r="H24" i="171"/>
  <c r="G24" i="171"/>
  <c r="D24" i="171"/>
  <c r="C24" i="171"/>
  <c r="U23" i="171"/>
  <c r="T23" i="171"/>
  <c r="H23" i="171"/>
  <c r="G23" i="171"/>
  <c r="D23" i="171"/>
  <c r="C23" i="171"/>
  <c r="U22" i="171"/>
  <c r="T22" i="171"/>
  <c r="R22" i="171"/>
  <c r="AD22" i="171" s="1"/>
  <c r="H22" i="171"/>
  <c r="G22" i="171"/>
  <c r="D22" i="171"/>
  <c r="C22" i="171"/>
  <c r="U21" i="171"/>
  <c r="T21" i="171"/>
  <c r="R21" i="171"/>
  <c r="AD21" i="171" s="1"/>
  <c r="H21" i="171"/>
  <c r="G21" i="171"/>
  <c r="D21" i="171"/>
  <c r="C21" i="171"/>
  <c r="U20" i="171"/>
  <c r="T20" i="171"/>
  <c r="R20" i="171"/>
  <c r="AD20" i="171" s="1"/>
  <c r="H20" i="171"/>
  <c r="G20" i="171"/>
  <c r="D20" i="171"/>
  <c r="C20" i="171"/>
  <c r="U19" i="171"/>
  <c r="T19" i="171"/>
  <c r="R19" i="171"/>
  <c r="AD19" i="171" s="1"/>
  <c r="H19" i="171"/>
  <c r="G19" i="171"/>
  <c r="D19" i="171"/>
  <c r="C19" i="171"/>
  <c r="U18" i="171"/>
  <c r="T18" i="171"/>
  <c r="R18" i="171"/>
  <c r="AD18" i="171" s="1"/>
  <c r="H18" i="171"/>
  <c r="G18" i="171"/>
  <c r="D18" i="171"/>
  <c r="C18" i="171"/>
  <c r="U17" i="171"/>
  <c r="T17" i="171"/>
  <c r="R17" i="171"/>
  <c r="AD17" i="171" s="1"/>
  <c r="H17" i="171"/>
  <c r="G17" i="171"/>
  <c r="D17" i="171"/>
  <c r="C17" i="171"/>
  <c r="U16" i="171"/>
  <c r="T16" i="171"/>
  <c r="R16" i="171"/>
  <c r="AD16" i="171" s="1"/>
  <c r="H16" i="171"/>
  <c r="G16" i="171"/>
  <c r="D16" i="171"/>
  <c r="C16" i="171"/>
  <c r="U15" i="171"/>
  <c r="T15" i="171"/>
  <c r="R15" i="171"/>
  <c r="AD15" i="171" s="1"/>
  <c r="H15" i="171"/>
  <c r="G15" i="171"/>
  <c r="D15" i="171"/>
  <c r="C15" i="171"/>
  <c r="U14" i="171"/>
  <c r="T14" i="171"/>
  <c r="R14" i="171"/>
  <c r="AD14" i="171" s="1"/>
  <c r="H14" i="171"/>
  <c r="G14" i="171"/>
  <c r="D14" i="171"/>
  <c r="C14" i="171"/>
  <c r="U13" i="171"/>
  <c r="T13" i="171"/>
  <c r="R13" i="171"/>
  <c r="AD13" i="171" s="1"/>
  <c r="H13" i="171"/>
  <c r="G13" i="171"/>
  <c r="D13" i="171"/>
  <c r="C13" i="171"/>
  <c r="U12" i="171"/>
  <c r="T12" i="171"/>
  <c r="H12" i="171"/>
  <c r="G12" i="171"/>
  <c r="D12" i="171"/>
  <c r="C12" i="171"/>
  <c r="U11" i="171"/>
  <c r="T11" i="171"/>
  <c r="H11" i="171"/>
  <c r="G11" i="171"/>
  <c r="D11" i="171"/>
  <c r="C11" i="171"/>
  <c r="U10" i="171"/>
  <c r="T10" i="171"/>
  <c r="H10" i="171"/>
  <c r="G10" i="171"/>
  <c r="D10" i="171"/>
  <c r="C10" i="171"/>
  <c r="U9" i="171"/>
  <c r="T9" i="171"/>
  <c r="H9" i="171"/>
  <c r="G9" i="171"/>
  <c r="D9" i="171"/>
  <c r="C9" i="171"/>
  <c r="AC8" i="171"/>
  <c r="AB8" i="171"/>
  <c r="AA8" i="171"/>
  <c r="Z8" i="171"/>
  <c r="Y8" i="171"/>
  <c r="U8" i="171"/>
  <c r="T8" i="171"/>
  <c r="R8" i="171"/>
  <c r="H8" i="171"/>
  <c r="G8" i="171"/>
  <c r="D8" i="171"/>
  <c r="C8" i="171"/>
  <c r="AG7" i="171"/>
  <c r="U7" i="171"/>
  <c r="T7" i="171"/>
  <c r="H7" i="171"/>
  <c r="G7" i="171"/>
  <c r="D7" i="171"/>
  <c r="C7" i="171"/>
  <c r="AQ6" i="171"/>
  <c r="U6" i="171"/>
  <c r="T6" i="171"/>
  <c r="H6" i="171"/>
  <c r="G6" i="171"/>
  <c r="D6" i="171"/>
  <c r="C6" i="171"/>
  <c r="AK5" i="171"/>
  <c r="AJ5" i="171"/>
  <c r="AC7" i="171" s="1"/>
  <c r="AI5" i="171"/>
  <c r="AC63" i="171" s="1"/>
  <c r="AG3" i="171"/>
  <c r="C2" i="171" a="1"/>
  <c r="C2" i="171" s="1"/>
  <c r="B2" i="171" a="1"/>
  <c r="B2" i="171" s="1"/>
  <c r="C1" i="171"/>
  <c r="B1" i="171"/>
  <c r="U105" i="170"/>
  <c r="T105" i="170"/>
  <c r="H105" i="170"/>
  <c r="G105" i="170"/>
  <c r="D105" i="170"/>
  <c r="C105" i="170"/>
  <c r="U104" i="170"/>
  <c r="T104" i="170"/>
  <c r="H104" i="170"/>
  <c r="G104" i="170"/>
  <c r="D104" i="170"/>
  <c r="C104" i="170"/>
  <c r="U103" i="170"/>
  <c r="T103" i="170"/>
  <c r="H103" i="170"/>
  <c r="G103" i="170"/>
  <c r="D103" i="170"/>
  <c r="C103" i="170"/>
  <c r="U102" i="170"/>
  <c r="T102" i="170"/>
  <c r="H102" i="170"/>
  <c r="G102" i="170"/>
  <c r="D102" i="170"/>
  <c r="C102" i="170"/>
  <c r="U101" i="170"/>
  <c r="T101" i="170"/>
  <c r="H101" i="170"/>
  <c r="G101" i="170"/>
  <c r="D101" i="170"/>
  <c r="C101" i="170"/>
  <c r="U100" i="170"/>
  <c r="T100" i="170"/>
  <c r="H100" i="170"/>
  <c r="G100" i="170"/>
  <c r="D100" i="170"/>
  <c r="C100" i="170"/>
  <c r="U99" i="170"/>
  <c r="T99" i="170"/>
  <c r="H99" i="170"/>
  <c r="G99" i="170"/>
  <c r="D99" i="170"/>
  <c r="C99" i="170"/>
  <c r="U98" i="170"/>
  <c r="T98" i="170"/>
  <c r="H98" i="170"/>
  <c r="G98" i="170"/>
  <c r="D98" i="170"/>
  <c r="C98" i="170"/>
  <c r="U97" i="170"/>
  <c r="T97" i="170"/>
  <c r="H97" i="170"/>
  <c r="G97" i="170"/>
  <c r="D97" i="170"/>
  <c r="C97" i="170"/>
  <c r="U96" i="170"/>
  <c r="T96" i="170"/>
  <c r="H96" i="170"/>
  <c r="G96" i="170"/>
  <c r="D96" i="170"/>
  <c r="C96" i="170"/>
  <c r="U95" i="170"/>
  <c r="T95" i="170"/>
  <c r="H95" i="170"/>
  <c r="G95" i="170"/>
  <c r="D95" i="170"/>
  <c r="C95" i="170"/>
  <c r="U94" i="170"/>
  <c r="T94" i="170"/>
  <c r="H94" i="170"/>
  <c r="G94" i="170"/>
  <c r="D94" i="170"/>
  <c r="C94" i="170"/>
  <c r="U93" i="170"/>
  <c r="T93" i="170"/>
  <c r="H93" i="170"/>
  <c r="G93" i="170"/>
  <c r="D93" i="170"/>
  <c r="C93" i="170"/>
  <c r="U92" i="170"/>
  <c r="T92" i="170"/>
  <c r="H92" i="170"/>
  <c r="G92" i="170"/>
  <c r="D92" i="170"/>
  <c r="C92" i="170"/>
  <c r="U91" i="170"/>
  <c r="T91" i="170"/>
  <c r="H91" i="170"/>
  <c r="G91" i="170"/>
  <c r="D91" i="170"/>
  <c r="C91" i="170"/>
  <c r="U90" i="170"/>
  <c r="T90" i="170"/>
  <c r="H90" i="170"/>
  <c r="G90" i="170"/>
  <c r="D90" i="170"/>
  <c r="C90" i="170"/>
  <c r="U89" i="170"/>
  <c r="T89" i="170"/>
  <c r="H89" i="170"/>
  <c r="G89" i="170"/>
  <c r="D89" i="170"/>
  <c r="C89" i="170"/>
  <c r="U88" i="170"/>
  <c r="T88" i="170"/>
  <c r="H88" i="170"/>
  <c r="G88" i="170"/>
  <c r="D88" i="170"/>
  <c r="C88" i="170"/>
  <c r="U87" i="170"/>
  <c r="T87" i="170"/>
  <c r="H87" i="170"/>
  <c r="G87" i="170"/>
  <c r="D87" i="170"/>
  <c r="C87" i="170"/>
  <c r="U86" i="170"/>
  <c r="T86" i="170"/>
  <c r="H86" i="170"/>
  <c r="G86" i="170"/>
  <c r="D86" i="170"/>
  <c r="C86" i="170"/>
  <c r="U85" i="170"/>
  <c r="T85" i="170"/>
  <c r="H85" i="170"/>
  <c r="G85" i="170"/>
  <c r="D85" i="170"/>
  <c r="C85" i="170"/>
  <c r="U84" i="170"/>
  <c r="T84" i="170"/>
  <c r="H84" i="170"/>
  <c r="G84" i="170"/>
  <c r="D84" i="170"/>
  <c r="C84" i="170"/>
  <c r="U83" i="170"/>
  <c r="T83" i="170"/>
  <c r="H83" i="170"/>
  <c r="G83" i="170"/>
  <c r="D83" i="170"/>
  <c r="C83" i="170"/>
  <c r="U82" i="170"/>
  <c r="T82" i="170"/>
  <c r="H82" i="170"/>
  <c r="G82" i="170"/>
  <c r="D82" i="170"/>
  <c r="C82" i="170"/>
  <c r="U81" i="170"/>
  <c r="T81" i="170"/>
  <c r="H81" i="170"/>
  <c r="G81" i="170"/>
  <c r="D81" i="170"/>
  <c r="C81" i="170"/>
  <c r="U80" i="170"/>
  <c r="T80" i="170"/>
  <c r="H80" i="170"/>
  <c r="G80" i="170"/>
  <c r="D80" i="170"/>
  <c r="C80" i="170"/>
  <c r="U79" i="170"/>
  <c r="T79" i="170"/>
  <c r="H79" i="170"/>
  <c r="G79" i="170"/>
  <c r="D79" i="170"/>
  <c r="C79" i="170"/>
  <c r="U78" i="170"/>
  <c r="T78" i="170"/>
  <c r="H78" i="170"/>
  <c r="G78" i="170"/>
  <c r="D78" i="170"/>
  <c r="C78" i="170"/>
  <c r="U77" i="170"/>
  <c r="T77" i="170"/>
  <c r="H77" i="170"/>
  <c r="G77" i="170"/>
  <c r="D77" i="170"/>
  <c r="C77" i="170"/>
  <c r="U76" i="170"/>
  <c r="T76" i="170"/>
  <c r="H76" i="170"/>
  <c r="G76" i="170"/>
  <c r="D76" i="170"/>
  <c r="C76" i="170"/>
  <c r="U75" i="170"/>
  <c r="T75" i="170"/>
  <c r="H75" i="170"/>
  <c r="G75" i="170"/>
  <c r="D75" i="170"/>
  <c r="C75" i="170"/>
  <c r="U74" i="170"/>
  <c r="T74" i="170"/>
  <c r="H74" i="170"/>
  <c r="G74" i="170"/>
  <c r="D74" i="170"/>
  <c r="C74" i="170"/>
  <c r="U73" i="170"/>
  <c r="T73" i="170"/>
  <c r="H73" i="170"/>
  <c r="G73" i="170"/>
  <c r="D73" i="170"/>
  <c r="C73" i="170"/>
  <c r="U72" i="170"/>
  <c r="T72" i="170"/>
  <c r="H72" i="170"/>
  <c r="G72" i="170"/>
  <c r="D72" i="170"/>
  <c r="C72" i="170"/>
  <c r="U71" i="170"/>
  <c r="T71" i="170"/>
  <c r="H71" i="170"/>
  <c r="G71" i="170"/>
  <c r="D71" i="170"/>
  <c r="C71" i="170"/>
  <c r="U70" i="170"/>
  <c r="T70" i="170"/>
  <c r="H70" i="170"/>
  <c r="G70" i="170"/>
  <c r="D70" i="170"/>
  <c r="C70" i="170"/>
  <c r="U69" i="170"/>
  <c r="T69" i="170"/>
  <c r="H69" i="170"/>
  <c r="G69" i="170"/>
  <c r="D69" i="170"/>
  <c r="C69" i="170"/>
  <c r="U68" i="170"/>
  <c r="T68" i="170"/>
  <c r="H68" i="170"/>
  <c r="G68" i="170"/>
  <c r="D68" i="170"/>
  <c r="C68" i="170"/>
  <c r="U67" i="170"/>
  <c r="T67" i="170"/>
  <c r="H67" i="170"/>
  <c r="G67" i="170"/>
  <c r="D67" i="170"/>
  <c r="C67" i="170"/>
  <c r="U66" i="170"/>
  <c r="T66" i="170"/>
  <c r="H66" i="170"/>
  <c r="G66" i="170"/>
  <c r="D66" i="170"/>
  <c r="C66" i="170"/>
  <c r="U65" i="170"/>
  <c r="T65" i="170"/>
  <c r="H65" i="170"/>
  <c r="G65" i="170"/>
  <c r="D65" i="170"/>
  <c r="C65" i="170"/>
  <c r="U64" i="170"/>
  <c r="T64" i="170"/>
  <c r="H64" i="170"/>
  <c r="G64" i="170"/>
  <c r="D64" i="170"/>
  <c r="C64" i="170"/>
  <c r="U63" i="170"/>
  <c r="T63" i="170"/>
  <c r="R63" i="170"/>
  <c r="H63" i="170"/>
  <c r="G63" i="170"/>
  <c r="D63" i="170"/>
  <c r="C63" i="170"/>
  <c r="U62" i="170"/>
  <c r="T62" i="170"/>
  <c r="H62" i="170"/>
  <c r="G62" i="170"/>
  <c r="D62" i="170"/>
  <c r="C62" i="170"/>
  <c r="U61" i="170"/>
  <c r="T61" i="170"/>
  <c r="R61" i="170"/>
  <c r="H61" i="170"/>
  <c r="G61" i="170"/>
  <c r="D61" i="170"/>
  <c r="C61" i="170"/>
  <c r="U60" i="170"/>
  <c r="T60" i="170"/>
  <c r="H60" i="170"/>
  <c r="G60" i="170"/>
  <c r="D60" i="170"/>
  <c r="C60" i="170"/>
  <c r="U59" i="170"/>
  <c r="T59" i="170"/>
  <c r="R59" i="170"/>
  <c r="H59" i="170"/>
  <c r="G59" i="170"/>
  <c r="D59" i="170"/>
  <c r="C59" i="170"/>
  <c r="U58" i="170"/>
  <c r="T58" i="170"/>
  <c r="H58" i="170"/>
  <c r="G58" i="170"/>
  <c r="D58" i="170"/>
  <c r="C58" i="170"/>
  <c r="U57" i="170"/>
  <c r="T57" i="170"/>
  <c r="R57" i="170"/>
  <c r="AD57" i="170" s="1"/>
  <c r="H57" i="170"/>
  <c r="G57" i="170"/>
  <c r="D57" i="170"/>
  <c r="C57" i="170"/>
  <c r="U56" i="170"/>
  <c r="T56" i="170"/>
  <c r="H56" i="170"/>
  <c r="G56" i="170"/>
  <c r="D56" i="170"/>
  <c r="C56" i="170"/>
  <c r="U55" i="170"/>
  <c r="T55" i="170"/>
  <c r="R55" i="170"/>
  <c r="H55" i="170"/>
  <c r="G55" i="170"/>
  <c r="D55" i="170"/>
  <c r="C55" i="170"/>
  <c r="U54" i="170"/>
  <c r="T54" i="170"/>
  <c r="H54" i="170"/>
  <c r="G54" i="170"/>
  <c r="D54" i="170"/>
  <c r="C54" i="170"/>
  <c r="U53" i="170"/>
  <c r="T53" i="170"/>
  <c r="H53" i="170"/>
  <c r="G53" i="170"/>
  <c r="D53" i="170"/>
  <c r="C53" i="170"/>
  <c r="U52" i="170"/>
  <c r="T52" i="170"/>
  <c r="H52" i="170"/>
  <c r="G52" i="170"/>
  <c r="D52" i="170"/>
  <c r="C52" i="170"/>
  <c r="U51" i="170"/>
  <c r="T51" i="170"/>
  <c r="H51" i="170"/>
  <c r="G51" i="170"/>
  <c r="D51" i="170"/>
  <c r="C51" i="170"/>
  <c r="AC50" i="170"/>
  <c r="AB50" i="170"/>
  <c r="AA50" i="170"/>
  <c r="Z50" i="170"/>
  <c r="Y50" i="170"/>
  <c r="U50" i="170"/>
  <c r="T50" i="170"/>
  <c r="H50" i="170"/>
  <c r="G50" i="170"/>
  <c r="D50" i="170"/>
  <c r="C50" i="170"/>
  <c r="AC49" i="170"/>
  <c r="AB49" i="170"/>
  <c r="AA49" i="170"/>
  <c r="Z49" i="170"/>
  <c r="Y49" i="170"/>
  <c r="U49" i="170"/>
  <c r="T49" i="170"/>
  <c r="R49" i="170"/>
  <c r="H49" i="170"/>
  <c r="G49" i="170"/>
  <c r="D49" i="170"/>
  <c r="C49" i="170"/>
  <c r="U48" i="170"/>
  <c r="T48" i="170"/>
  <c r="H48" i="170"/>
  <c r="G48" i="170"/>
  <c r="D48" i="170"/>
  <c r="C48" i="170"/>
  <c r="U47" i="170"/>
  <c r="T47" i="170"/>
  <c r="R47" i="170"/>
  <c r="AD46" i="170" s="1"/>
  <c r="H47" i="170"/>
  <c r="G47" i="170"/>
  <c r="D47" i="170"/>
  <c r="C47" i="170"/>
  <c r="U46" i="170"/>
  <c r="T46" i="170"/>
  <c r="H46" i="170"/>
  <c r="G46" i="170"/>
  <c r="D46" i="170"/>
  <c r="C46" i="170"/>
  <c r="AC45" i="170"/>
  <c r="AB45" i="170"/>
  <c r="AA45" i="170"/>
  <c r="Z45" i="170"/>
  <c r="Y45" i="170"/>
  <c r="U45" i="170"/>
  <c r="T45" i="170"/>
  <c r="H45" i="170"/>
  <c r="G45" i="170"/>
  <c r="D45" i="170"/>
  <c r="C45" i="170"/>
  <c r="AC44" i="170"/>
  <c r="AB44" i="170"/>
  <c r="AA44" i="170"/>
  <c r="Z44" i="170"/>
  <c r="Y44" i="170"/>
  <c r="U44" i="170"/>
  <c r="T44" i="170"/>
  <c r="R44" i="170"/>
  <c r="H44" i="170"/>
  <c r="G44" i="170"/>
  <c r="D44" i="170"/>
  <c r="C44" i="170"/>
  <c r="U43" i="170"/>
  <c r="T43" i="170"/>
  <c r="H43" i="170"/>
  <c r="G43" i="170"/>
  <c r="D43" i="170"/>
  <c r="C43" i="170"/>
  <c r="U42" i="170"/>
  <c r="T42" i="170"/>
  <c r="S42" i="170"/>
  <c r="R42" i="170"/>
  <c r="H42" i="170"/>
  <c r="G42" i="170"/>
  <c r="D42" i="170"/>
  <c r="C42" i="170"/>
  <c r="AD41" i="170"/>
  <c r="U41" i="170"/>
  <c r="T41" i="170"/>
  <c r="H41" i="170"/>
  <c r="G41" i="170"/>
  <c r="D41" i="170"/>
  <c r="C41" i="170"/>
  <c r="AC40" i="170"/>
  <c r="AB40" i="170"/>
  <c r="AA40" i="170"/>
  <c r="Z40" i="170"/>
  <c r="Y40" i="170"/>
  <c r="U40" i="170"/>
  <c r="T40" i="170"/>
  <c r="H40" i="170"/>
  <c r="G40" i="170"/>
  <c r="D40" i="170"/>
  <c r="C40" i="170"/>
  <c r="AC39" i="170"/>
  <c r="AB39" i="170"/>
  <c r="AA39" i="170"/>
  <c r="Z39" i="170"/>
  <c r="Y39" i="170"/>
  <c r="U39" i="170"/>
  <c r="T39" i="170"/>
  <c r="R39" i="170"/>
  <c r="H39" i="170"/>
  <c r="G39" i="170"/>
  <c r="D39" i="170"/>
  <c r="C39" i="170"/>
  <c r="U38" i="170"/>
  <c r="T38" i="170"/>
  <c r="H38" i="170"/>
  <c r="G38" i="170"/>
  <c r="D38" i="170"/>
  <c r="C38" i="170"/>
  <c r="U37" i="170"/>
  <c r="T37" i="170"/>
  <c r="S37" i="170"/>
  <c r="R37" i="170"/>
  <c r="H37" i="170"/>
  <c r="G37" i="170"/>
  <c r="D37" i="170"/>
  <c r="C37" i="170"/>
  <c r="AD36" i="170"/>
  <c r="U36" i="170"/>
  <c r="T36" i="170"/>
  <c r="H36" i="170"/>
  <c r="G36" i="170"/>
  <c r="D36" i="170"/>
  <c r="C36" i="170"/>
  <c r="AC35" i="170"/>
  <c r="AB35" i="170"/>
  <c r="AA35" i="170"/>
  <c r="Z35" i="170"/>
  <c r="Y35" i="170"/>
  <c r="U35" i="170"/>
  <c r="T35" i="170"/>
  <c r="H35" i="170"/>
  <c r="G35" i="170"/>
  <c r="D35" i="170"/>
  <c r="C35" i="170"/>
  <c r="AC34" i="170"/>
  <c r="AB34" i="170"/>
  <c r="AA34" i="170"/>
  <c r="Z34" i="170"/>
  <c r="Y34" i="170"/>
  <c r="U34" i="170"/>
  <c r="T34" i="170"/>
  <c r="R34" i="170"/>
  <c r="H34" i="170"/>
  <c r="G34" i="170"/>
  <c r="D34" i="170"/>
  <c r="C34" i="170"/>
  <c r="U33" i="170"/>
  <c r="T33" i="170"/>
  <c r="H33" i="170"/>
  <c r="G33" i="170"/>
  <c r="D33" i="170"/>
  <c r="C33" i="170"/>
  <c r="U32" i="170"/>
  <c r="T32" i="170"/>
  <c r="R32" i="170"/>
  <c r="S32" i="170" s="1"/>
  <c r="H32" i="170"/>
  <c r="G32" i="170"/>
  <c r="D32" i="170"/>
  <c r="C32" i="170"/>
  <c r="AD31" i="170"/>
  <c r="U31" i="170"/>
  <c r="T31" i="170"/>
  <c r="H31" i="170"/>
  <c r="G31" i="170"/>
  <c r="D31" i="170"/>
  <c r="C31" i="170"/>
  <c r="AC30" i="170"/>
  <c r="AB30" i="170"/>
  <c r="AA30" i="170"/>
  <c r="Z30" i="170"/>
  <c r="Y30" i="170"/>
  <c r="U30" i="170"/>
  <c r="T30" i="170"/>
  <c r="H30" i="170"/>
  <c r="G30" i="170"/>
  <c r="D30" i="170"/>
  <c r="C30" i="170"/>
  <c r="AC29" i="170"/>
  <c r="AB29" i="170"/>
  <c r="AA29" i="170"/>
  <c r="Z29" i="170"/>
  <c r="Y29" i="170"/>
  <c r="U29" i="170"/>
  <c r="T29" i="170"/>
  <c r="R29" i="170"/>
  <c r="H29" i="170"/>
  <c r="G29" i="170"/>
  <c r="D29" i="170"/>
  <c r="C29" i="170"/>
  <c r="U28" i="170"/>
  <c r="T28" i="170"/>
  <c r="H28" i="170"/>
  <c r="G28" i="170"/>
  <c r="D28" i="170"/>
  <c r="C28" i="170"/>
  <c r="U27" i="170"/>
  <c r="T27" i="170"/>
  <c r="R27" i="170"/>
  <c r="S27" i="170" s="1"/>
  <c r="H27" i="170"/>
  <c r="G27" i="170"/>
  <c r="D27" i="170"/>
  <c r="C27" i="170"/>
  <c r="U26" i="170"/>
  <c r="T26" i="170"/>
  <c r="H26" i="170"/>
  <c r="G26" i="170"/>
  <c r="D26" i="170"/>
  <c r="C26" i="170"/>
  <c r="U25" i="170"/>
  <c r="T25" i="170"/>
  <c r="H25" i="170"/>
  <c r="G25" i="170"/>
  <c r="D25" i="170"/>
  <c r="C25" i="170"/>
  <c r="U24" i="170"/>
  <c r="T24" i="170"/>
  <c r="H24" i="170"/>
  <c r="G24" i="170"/>
  <c r="D24" i="170"/>
  <c r="C24" i="170"/>
  <c r="U23" i="170"/>
  <c r="T23" i="170"/>
  <c r="H23" i="170"/>
  <c r="G23" i="170"/>
  <c r="D23" i="170"/>
  <c r="C23" i="170"/>
  <c r="U22" i="170"/>
  <c r="T22" i="170"/>
  <c r="R22" i="170"/>
  <c r="H22" i="170"/>
  <c r="G22" i="170"/>
  <c r="D22" i="170"/>
  <c r="C22" i="170"/>
  <c r="U21" i="170"/>
  <c r="T21" i="170"/>
  <c r="R21" i="170"/>
  <c r="H21" i="170"/>
  <c r="G21" i="170"/>
  <c r="D21" i="170"/>
  <c r="C21" i="170"/>
  <c r="U20" i="170"/>
  <c r="T20" i="170"/>
  <c r="R20" i="170"/>
  <c r="H20" i="170"/>
  <c r="G20" i="170"/>
  <c r="D20" i="170"/>
  <c r="C20" i="170"/>
  <c r="U19" i="170"/>
  <c r="T19" i="170"/>
  <c r="R19" i="170"/>
  <c r="H19" i="170"/>
  <c r="G19" i="170"/>
  <c r="D19" i="170"/>
  <c r="C19" i="170"/>
  <c r="U18" i="170"/>
  <c r="T18" i="170"/>
  <c r="R18" i="170"/>
  <c r="H18" i="170"/>
  <c r="G18" i="170"/>
  <c r="D18" i="170"/>
  <c r="C18" i="170"/>
  <c r="U17" i="170"/>
  <c r="T17" i="170"/>
  <c r="R17" i="170"/>
  <c r="H17" i="170"/>
  <c r="G17" i="170"/>
  <c r="D17" i="170"/>
  <c r="C17" i="170"/>
  <c r="U16" i="170"/>
  <c r="T16" i="170"/>
  <c r="R16" i="170"/>
  <c r="H16" i="170"/>
  <c r="G16" i="170"/>
  <c r="D16" i="170"/>
  <c r="C16" i="170"/>
  <c r="U15" i="170"/>
  <c r="T15" i="170"/>
  <c r="R15" i="170"/>
  <c r="H15" i="170"/>
  <c r="G15" i="170"/>
  <c r="D15" i="170"/>
  <c r="C15" i="170"/>
  <c r="U14" i="170"/>
  <c r="T14" i="170"/>
  <c r="R14" i="170"/>
  <c r="H14" i="170"/>
  <c r="G14" i="170"/>
  <c r="D14" i="170"/>
  <c r="C14" i="170"/>
  <c r="U13" i="170"/>
  <c r="T13" i="170"/>
  <c r="R13" i="170"/>
  <c r="H13" i="170"/>
  <c r="G13" i="170"/>
  <c r="D13" i="170"/>
  <c r="C13" i="170"/>
  <c r="U12" i="170"/>
  <c r="T12" i="170"/>
  <c r="H12" i="170"/>
  <c r="G12" i="170"/>
  <c r="D12" i="170"/>
  <c r="C12" i="170"/>
  <c r="U11" i="170"/>
  <c r="T11" i="170"/>
  <c r="H11" i="170"/>
  <c r="G11" i="170"/>
  <c r="D11" i="170"/>
  <c r="C11" i="170"/>
  <c r="U10" i="170"/>
  <c r="T10" i="170"/>
  <c r="H10" i="170"/>
  <c r="G10" i="170"/>
  <c r="D10" i="170"/>
  <c r="C10" i="170"/>
  <c r="U9" i="170"/>
  <c r="T9" i="170"/>
  <c r="H9" i="170"/>
  <c r="G9" i="170"/>
  <c r="D9" i="170"/>
  <c r="C9" i="170"/>
  <c r="AC8" i="170"/>
  <c r="AB8" i="170"/>
  <c r="AA8" i="170"/>
  <c r="Z8" i="170"/>
  <c r="Y8" i="170"/>
  <c r="AG9" i="170" s="1"/>
  <c r="AQ9" i="170" s="1"/>
  <c r="U8" i="170"/>
  <c r="T8" i="170"/>
  <c r="R8" i="170"/>
  <c r="H8" i="170"/>
  <c r="G8" i="170"/>
  <c r="D8" i="170"/>
  <c r="C8" i="170"/>
  <c r="AG7" i="170"/>
  <c r="U7" i="170"/>
  <c r="T7" i="170"/>
  <c r="H7" i="170"/>
  <c r="G7" i="170"/>
  <c r="D7" i="170"/>
  <c r="C7" i="170"/>
  <c r="AQ6" i="170"/>
  <c r="U6" i="170"/>
  <c r="T6" i="170"/>
  <c r="H6" i="170"/>
  <c r="G6" i="170"/>
  <c r="D6" i="170"/>
  <c r="C6" i="170"/>
  <c r="AK5" i="170"/>
  <c r="AJ5" i="170"/>
  <c r="AC7" i="170" s="1"/>
  <c r="AI5" i="170"/>
  <c r="Y61" i="170" s="1"/>
  <c r="AG3" i="170"/>
  <c r="C2" i="170" a="1"/>
  <c r="C2" i="170" s="1"/>
  <c r="B2" i="170" a="1"/>
  <c r="B2" i="170" s="1"/>
  <c r="C1" i="170"/>
  <c r="B1" i="170"/>
  <c r="AQ3" i="4"/>
  <c r="B3" i="4" s="1"/>
  <c r="AQ9" i="4"/>
  <c r="AQ11" i="4"/>
  <c r="R49" i="4"/>
  <c r="R44" i="4"/>
  <c r="R39" i="4"/>
  <c r="R34" i="4"/>
  <c r="R29" i="4"/>
  <c r="R27" i="4"/>
  <c r="R8" i="4"/>
  <c r="AD27" i="4"/>
  <c r="AD26" i="4"/>
  <c r="AC30" i="4"/>
  <c r="AC29" i="4"/>
  <c r="AC27" i="4"/>
  <c r="S27" i="4"/>
  <c r="S47" i="4"/>
  <c r="S42" i="4"/>
  <c r="Y55" i="4"/>
  <c r="AC63" i="4"/>
  <c r="AB63" i="4"/>
  <c r="AA63" i="4"/>
  <c r="Z63" i="4"/>
  <c r="Y63" i="4"/>
  <c r="AC61" i="4"/>
  <c r="AB61" i="4"/>
  <c r="AA61" i="4"/>
  <c r="Z61" i="4"/>
  <c r="Y61" i="4"/>
  <c r="AC59" i="4"/>
  <c r="AB59" i="4"/>
  <c r="AA59" i="4"/>
  <c r="Z59" i="4"/>
  <c r="Y59" i="4"/>
  <c r="AC57" i="4"/>
  <c r="AB57" i="4"/>
  <c r="AA57" i="4"/>
  <c r="Z57" i="4"/>
  <c r="Y57" i="4"/>
  <c r="AC55" i="4"/>
  <c r="AB55" i="4"/>
  <c r="AA55" i="4"/>
  <c r="Z55" i="4"/>
  <c r="R63" i="4"/>
  <c r="R61" i="4"/>
  <c r="R59" i="4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Q7" i="4" s="1"/>
  <c r="L5" i="4" s="1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P107" i="172" a="1"/>
  <c r="AL107" i="172" a="1"/>
  <c r="AM106" i="172" a="1"/>
  <c r="AM5" i="172" a="1"/>
  <c r="AO107" i="172" a="1"/>
  <c r="AP106" i="172" a="1"/>
  <c r="AL106" i="172" a="1"/>
  <c r="AP5" i="172" a="1"/>
  <c r="AL5" i="172" a="1"/>
  <c r="AN107" i="172" a="1"/>
  <c r="AO106" i="172" a="1"/>
  <c r="AO5" i="172" a="1"/>
  <c r="AM107" i="172" a="1"/>
  <c r="AN106" i="172" a="1"/>
  <c r="AN5" i="172" a="1"/>
  <c r="AP107" i="171" a="1"/>
  <c r="AL107" i="171" a="1"/>
  <c r="AM106" i="171" a="1"/>
  <c r="AM5" i="171" a="1"/>
  <c r="AO107" i="171" a="1"/>
  <c r="AP106" i="171" a="1"/>
  <c r="AL106" i="171" a="1"/>
  <c r="AP5" i="171" a="1"/>
  <c r="AL5" i="171" a="1"/>
  <c r="AN107" i="171" a="1"/>
  <c r="AO106" i="171" a="1"/>
  <c r="AO5" i="171" a="1"/>
  <c r="AM107" i="171" a="1"/>
  <c r="AN106" i="171" a="1"/>
  <c r="AN5" i="171" a="1"/>
  <c r="AP107" i="170" a="1"/>
  <c r="AL107" i="170" a="1"/>
  <c r="AM106" i="170" a="1"/>
  <c r="AM5" i="170" a="1"/>
  <c r="AO107" i="170" a="1"/>
  <c r="AP106" i="170" a="1"/>
  <c r="AL106" i="170" a="1"/>
  <c r="AP5" i="170" a="1"/>
  <c r="AL5" i="170" a="1"/>
  <c r="AN107" i="170" a="1"/>
  <c r="AO106" i="170" a="1"/>
  <c r="AO5" i="170" a="1"/>
  <c r="AM107" i="170" a="1"/>
  <c r="AN106" i="170" a="1"/>
  <c r="AN5" i="170" a="1"/>
  <c r="AN107" i="4" a="1"/>
  <c r="AO107" i="4" a="1"/>
  <c r="AP106" i="4" a="1"/>
  <c r="AL5" i="4" a="1"/>
  <c r="AN5" i="4" a="1"/>
  <c r="AP5" i="4" a="1"/>
  <c r="AN106" i="4" a="1"/>
  <c r="AM106" i="4" a="1"/>
  <c r="AO106" i="4" a="1"/>
  <c r="AP107" i="4" a="1"/>
  <c r="AL106" i="4" a="1"/>
  <c r="AM107" i="4" a="1"/>
  <c r="AL107" i="4" a="1"/>
  <c r="AO5" i="4" a="1"/>
  <c r="AM5" i="4" a="1"/>
  <c r="AD17" i="170" l="1"/>
  <c r="Z7" i="172"/>
  <c r="AA15" i="172"/>
  <c r="AA13" i="172"/>
  <c r="AC15" i="172"/>
  <c r="Y16" i="172"/>
  <c r="AB17" i="172"/>
  <c r="AC21" i="172"/>
  <c r="Z22" i="172"/>
  <c r="AA27" i="172"/>
  <c r="AA16" i="172"/>
  <c r="Y13" i="172"/>
  <c r="AB16" i="172"/>
  <c r="Y17" i="172"/>
  <c r="AC13" i="172"/>
  <c r="Y14" i="172"/>
  <c r="AC17" i="172"/>
  <c r="AC18" i="172"/>
  <c r="Y19" i="172"/>
  <c r="Y20" i="172"/>
  <c r="Z14" i="172"/>
  <c r="Z20" i="172"/>
  <c r="AB14" i="172"/>
  <c r="Z15" i="172"/>
  <c r="AB20" i="172"/>
  <c r="AB21" i="172"/>
  <c r="AD59" i="172"/>
  <c r="AD63" i="172"/>
  <c r="AD61" i="172"/>
  <c r="AD37" i="172"/>
  <c r="AG9" i="172"/>
  <c r="AQ9" i="172" s="1"/>
  <c r="Z41" i="172"/>
  <c r="AB26" i="172"/>
  <c r="Y41" i="172"/>
  <c r="AG5" i="172"/>
  <c r="AQ5" i="172" s="1"/>
  <c r="AA36" i="172"/>
  <c r="AC46" i="172"/>
  <c r="Y26" i="172"/>
  <c r="Y46" i="172"/>
  <c r="AA41" i="172"/>
  <c r="AB31" i="172"/>
  <c r="AC41" i="172"/>
  <c r="Y36" i="172"/>
  <c r="AB41" i="172"/>
  <c r="AB46" i="172"/>
  <c r="AC36" i="172"/>
  <c r="AC26" i="172"/>
  <c r="Y31" i="172"/>
  <c r="AA26" i="172"/>
  <c r="AA31" i="172"/>
  <c r="Z26" i="172"/>
  <c r="AC31" i="172"/>
  <c r="Z31" i="172"/>
  <c r="AA46" i="172"/>
  <c r="AG4" i="172"/>
  <c r="AQ4" i="172" s="1"/>
  <c r="AQ3" i="172" s="1"/>
  <c r="B3" i="172" s="1"/>
  <c r="Z36" i="172"/>
  <c r="Z46" i="172"/>
  <c r="AB36" i="172"/>
  <c r="AN5" i="172"/>
  <c r="AN106" i="172"/>
  <c r="AM107" i="172"/>
  <c r="AO5" i="172"/>
  <c r="AO106" i="172"/>
  <c r="AN107" i="172"/>
  <c r="AL5" i="172"/>
  <c r="AP5" i="172"/>
  <c r="AL106" i="172"/>
  <c r="AP106" i="172"/>
  <c r="AO107" i="172"/>
  <c r="AM5" i="172"/>
  <c r="AM106" i="172"/>
  <c r="AL107" i="172"/>
  <c r="AP107" i="172"/>
  <c r="AD47" i="172"/>
  <c r="AD27" i="172"/>
  <c r="AD42" i="172"/>
  <c r="AG11" i="172"/>
  <c r="AQ11" i="172" s="1"/>
  <c r="AG2" i="172"/>
  <c r="AG18" i="172"/>
  <c r="AQ18" i="172" s="1"/>
  <c r="AD32" i="172"/>
  <c r="AA7" i="172"/>
  <c r="Z17" i="172"/>
  <c r="AA18" i="172"/>
  <c r="AB19" i="172"/>
  <c r="Z21" i="172"/>
  <c r="AC22" i="172"/>
  <c r="AD26" i="172"/>
  <c r="AG14" i="172" s="1"/>
  <c r="AA32" i="172"/>
  <c r="Y42" i="172"/>
  <c r="AB47" i="172"/>
  <c r="AA55" i="172"/>
  <c r="AC59" i="172"/>
  <c r="Z61" i="172"/>
  <c r="AB7" i="172"/>
  <c r="Y15" i="172"/>
  <c r="Z16" i="172"/>
  <c r="AA17" i="172"/>
  <c r="AB18" i="172"/>
  <c r="AC19" i="172"/>
  <c r="AA21" i="172"/>
  <c r="Y27" i="172"/>
  <c r="AB32" i="172"/>
  <c r="Z42" i="172"/>
  <c r="AC47" i="172"/>
  <c r="AB55" i="172"/>
  <c r="Y57" i="172"/>
  <c r="AA61" i="172"/>
  <c r="AC7" i="172"/>
  <c r="Z27" i="172"/>
  <c r="AC32" i="172"/>
  <c r="AA42" i="172"/>
  <c r="AC55" i="172"/>
  <c r="Z57" i="172"/>
  <c r="AB61" i="172"/>
  <c r="Y63" i="172"/>
  <c r="Y37" i="172"/>
  <c r="AB42" i="172"/>
  <c r="AA57" i="172"/>
  <c r="AC61" i="172"/>
  <c r="Z63" i="172"/>
  <c r="Z13" i="172"/>
  <c r="AA14" i="172"/>
  <c r="AB15" i="172"/>
  <c r="AC16" i="172"/>
  <c r="AA20" i="172"/>
  <c r="Y22" i="172"/>
  <c r="AB27" i="172"/>
  <c r="Z37" i="172"/>
  <c r="AC42" i="172"/>
  <c r="AB57" i="172"/>
  <c r="Y59" i="172"/>
  <c r="AA63" i="172"/>
  <c r="AC27" i="172"/>
  <c r="AA37" i="172"/>
  <c r="Y47" i="172"/>
  <c r="AC57" i="172"/>
  <c r="Z59" i="172"/>
  <c r="AB63" i="172"/>
  <c r="AB13" i="172"/>
  <c r="AC14" i="172"/>
  <c r="Y18" i="172"/>
  <c r="Z19" i="172"/>
  <c r="AC20" i="172"/>
  <c r="AA22" i="172"/>
  <c r="Y32" i="172"/>
  <c r="AB37" i="172"/>
  <c r="Z47" i="172"/>
  <c r="Y55" i="172"/>
  <c r="AA59" i="172"/>
  <c r="AC63" i="172"/>
  <c r="Z18" i="172"/>
  <c r="AA19" i="172"/>
  <c r="Y21" i="172"/>
  <c r="AB22" i="172"/>
  <c r="Z32" i="172"/>
  <c r="AC37" i="172"/>
  <c r="AA47" i="172"/>
  <c r="Z55" i="172"/>
  <c r="AB59" i="172"/>
  <c r="AB59" i="171"/>
  <c r="AC37" i="171"/>
  <c r="AA47" i="171"/>
  <c r="Z13" i="171"/>
  <c r="Y7" i="171"/>
  <c r="AC13" i="171"/>
  <c r="AA14" i="171"/>
  <c r="AB15" i="171"/>
  <c r="AC16" i="171"/>
  <c r="Y17" i="171"/>
  <c r="Z18" i="171"/>
  <c r="AA19" i="171"/>
  <c r="AA20" i="171"/>
  <c r="Y21" i="171"/>
  <c r="Y22" i="171"/>
  <c r="Z7" i="171"/>
  <c r="AB22" i="171"/>
  <c r="AB27" i="171"/>
  <c r="AB7" i="171"/>
  <c r="Z32" i="171"/>
  <c r="Z55" i="171"/>
  <c r="Y61" i="171"/>
  <c r="AD57" i="171"/>
  <c r="AD63" i="171"/>
  <c r="AD61" i="171"/>
  <c r="AD59" i="171"/>
  <c r="AG18" i="171" s="1"/>
  <c r="AQ18" i="171" s="1"/>
  <c r="AD26" i="171"/>
  <c r="AG14" i="171"/>
  <c r="AG9" i="171"/>
  <c r="AQ9" i="171" s="1"/>
  <c r="AC46" i="171"/>
  <c r="Y46" i="171"/>
  <c r="AB31" i="171"/>
  <c r="AB41" i="171"/>
  <c r="AG5" i="171"/>
  <c r="AQ5" i="171" s="1"/>
  <c r="AC41" i="171"/>
  <c r="AB26" i="171"/>
  <c r="Y31" i="171"/>
  <c r="AA36" i="171"/>
  <c r="AA46" i="171"/>
  <c r="AG4" i="171"/>
  <c r="AA41" i="171"/>
  <c r="AB46" i="171"/>
  <c r="AC31" i="171"/>
  <c r="Z31" i="171"/>
  <c r="Z26" i="171"/>
  <c r="AG2" i="171"/>
  <c r="AC26" i="171"/>
  <c r="AC36" i="171"/>
  <c r="Y26" i="171"/>
  <c r="AA31" i="171"/>
  <c r="Z36" i="171"/>
  <c r="AA26" i="171"/>
  <c r="Y36" i="171"/>
  <c r="Y41" i="171"/>
  <c r="AB36" i="171"/>
  <c r="Z41" i="171"/>
  <c r="Z46" i="171"/>
  <c r="AN5" i="171"/>
  <c r="AN106" i="171"/>
  <c r="AM107" i="171"/>
  <c r="AO5" i="171"/>
  <c r="AO106" i="171"/>
  <c r="AN107" i="171"/>
  <c r="AL5" i="171"/>
  <c r="AP5" i="171"/>
  <c r="AL106" i="171"/>
  <c r="AP106" i="171"/>
  <c r="AO107" i="171"/>
  <c r="AM5" i="171"/>
  <c r="AM106" i="171"/>
  <c r="AL107" i="171"/>
  <c r="AP107" i="171"/>
  <c r="AG11" i="171"/>
  <c r="AQ11" i="171" s="1"/>
  <c r="AA7" i="171"/>
  <c r="Y16" i="171"/>
  <c r="Z17" i="171"/>
  <c r="AA18" i="171"/>
  <c r="AB19" i="171"/>
  <c r="Z21" i="171"/>
  <c r="AC22" i="171"/>
  <c r="AA32" i="171"/>
  <c r="S37" i="171"/>
  <c r="Y42" i="171"/>
  <c r="AB47" i="171"/>
  <c r="AA55" i="171"/>
  <c r="AC59" i="171"/>
  <c r="Z61" i="171"/>
  <c r="Y15" i="171"/>
  <c r="Z16" i="171"/>
  <c r="AA17" i="171"/>
  <c r="AB18" i="171"/>
  <c r="AC19" i="171"/>
  <c r="AA21" i="171"/>
  <c r="Y27" i="171"/>
  <c r="AB32" i="171"/>
  <c r="Z42" i="171"/>
  <c r="AC47" i="171"/>
  <c r="AB55" i="171"/>
  <c r="Y57" i="171"/>
  <c r="AA61" i="171"/>
  <c r="Y14" i="171"/>
  <c r="Z15" i="171"/>
  <c r="AA16" i="171"/>
  <c r="AB17" i="171"/>
  <c r="AC18" i="171"/>
  <c r="Y20" i="171"/>
  <c r="AB21" i="171"/>
  <c r="Z27" i="171"/>
  <c r="AC32" i="171"/>
  <c r="AA42" i="171"/>
  <c r="AC55" i="171"/>
  <c r="Z57" i="171"/>
  <c r="AB61" i="171"/>
  <c r="Y63" i="171"/>
  <c r="Y13" i="171"/>
  <c r="Z14" i="171"/>
  <c r="AA15" i="171"/>
  <c r="AB16" i="171"/>
  <c r="AC17" i="171"/>
  <c r="Z20" i="171"/>
  <c r="AC21" i="171"/>
  <c r="AA27" i="171"/>
  <c r="S32" i="171"/>
  <c r="AD32" i="171" s="1"/>
  <c r="Y37" i="171"/>
  <c r="AB42" i="171"/>
  <c r="AA57" i="171"/>
  <c r="AC61" i="171"/>
  <c r="Z63" i="171"/>
  <c r="Z37" i="171"/>
  <c r="AC42" i="171"/>
  <c r="AB57" i="171"/>
  <c r="Y59" i="171"/>
  <c r="AA63" i="171"/>
  <c r="AA13" i="171"/>
  <c r="AB14" i="171"/>
  <c r="AC15" i="171"/>
  <c r="Y19" i="171"/>
  <c r="AB20" i="171"/>
  <c r="Z22" i="171"/>
  <c r="AC27" i="171"/>
  <c r="AA37" i="171"/>
  <c r="Y47" i="171"/>
  <c r="AC57" i="171"/>
  <c r="Z59" i="171"/>
  <c r="AB63" i="171"/>
  <c r="AB13" i="171"/>
  <c r="AC14" i="171"/>
  <c r="Y18" i="171"/>
  <c r="Z19" i="171"/>
  <c r="AC20" i="171"/>
  <c r="AA22" i="171"/>
  <c r="Y32" i="171"/>
  <c r="AB37" i="171"/>
  <c r="Z47" i="171"/>
  <c r="Y55" i="171"/>
  <c r="AA59" i="171"/>
  <c r="AA7" i="170"/>
  <c r="Y7" i="170"/>
  <c r="Z7" i="170"/>
  <c r="AB7" i="170"/>
  <c r="AD61" i="170"/>
  <c r="AD55" i="170"/>
  <c r="AD63" i="170"/>
  <c r="AD59" i="170"/>
  <c r="AD19" i="170"/>
  <c r="AD13" i="170"/>
  <c r="AD18" i="170"/>
  <c r="AD15" i="170"/>
  <c r="AD20" i="170"/>
  <c r="AD16" i="170"/>
  <c r="AD14" i="170"/>
  <c r="AD22" i="170"/>
  <c r="AD21" i="170"/>
  <c r="AG5" i="170"/>
  <c r="AQ5" i="170" s="1"/>
  <c r="AB36" i="170"/>
  <c r="AB41" i="170"/>
  <c r="Z46" i="170"/>
  <c r="Z31" i="170"/>
  <c r="AG2" i="170"/>
  <c r="Z36" i="170"/>
  <c r="Y36" i="170"/>
  <c r="AA26" i="170"/>
  <c r="AB46" i="170"/>
  <c r="Y26" i="170"/>
  <c r="AA31" i="170"/>
  <c r="Z41" i="170"/>
  <c r="AC26" i="170"/>
  <c r="Y41" i="170"/>
  <c r="AB31" i="170"/>
  <c r="Y31" i="170"/>
  <c r="AC41" i="170"/>
  <c r="AA36" i="170"/>
  <c r="Y46" i="170"/>
  <c r="AA41" i="170"/>
  <c r="Z26" i="170"/>
  <c r="AC36" i="170"/>
  <c r="AA46" i="170"/>
  <c r="AG4" i="170"/>
  <c r="AQ4" i="170" s="1"/>
  <c r="AQ3" i="170" s="1"/>
  <c r="B3" i="170" s="1"/>
  <c r="AC31" i="170"/>
  <c r="AB26" i="170"/>
  <c r="AC46" i="170"/>
  <c r="AN5" i="170"/>
  <c r="AN106" i="170"/>
  <c r="AM107" i="170"/>
  <c r="AO5" i="170"/>
  <c r="AO106" i="170"/>
  <c r="AN107" i="170"/>
  <c r="AL5" i="170"/>
  <c r="AP5" i="170"/>
  <c r="AL106" i="170"/>
  <c r="AP106" i="170"/>
  <c r="AO107" i="170"/>
  <c r="AM5" i="170"/>
  <c r="AM106" i="170"/>
  <c r="AL107" i="170"/>
  <c r="AP107" i="170"/>
  <c r="Y16" i="170"/>
  <c r="Z17" i="170"/>
  <c r="AA18" i="170"/>
  <c r="AB19" i="170"/>
  <c r="Z21" i="170"/>
  <c r="AC22" i="170"/>
  <c r="AD26" i="170"/>
  <c r="AG14" i="170" s="1"/>
  <c r="AA32" i="170"/>
  <c r="Y42" i="170"/>
  <c r="AB47" i="170"/>
  <c r="AA55" i="170"/>
  <c r="AC59" i="170"/>
  <c r="Z61" i="170"/>
  <c r="Y15" i="170"/>
  <c r="Z16" i="170"/>
  <c r="AA17" i="170"/>
  <c r="AB18" i="170"/>
  <c r="AC19" i="170"/>
  <c r="AA21" i="170"/>
  <c r="Y27" i="170"/>
  <c r="AB32" i="170"/>
  <c r="Z42" i="170"/>
  <c r="AC47" i="170"/>
  <c r="AB55" i="170"/>
  <c r="Y57" i="170"/>
  <c r="AA61" i="170"/>
  <c r="Y14" i="170"/>
  <c r="Z15" i="170"/>
  <c r="AA16" i="170"/>
  <c r="AB17" i="170"/>
  <c r="AC18" i="170"/>
  <c r="Y20" i="170"/>
  <c r="AB21" i="170"/>
  <c r="Z27" i="170"/>
  <c r="AC32" i="170"/>
  <c r="AA42" i="170"/>
  <c r="S47" i="170"/>
  <c r="AD47" i="170" s="1"/>
  <c r="AC55" i="170"/>
  <c r="Z57" i="170"/>
  <c r="AB61" i="170"/>
  <c r="Y63" i="170"/>
  <c r="Y13" i="170"/>
  <c r="Z14" i="170"/>
  <c r="AA15" i="170"/>
  <c r="AB16" i="170"/>
  <c r="AC17" i="170"/>
  <c r="Z20" i="170"/>
  <c r="AC21" i="170"/>
  <c r="AA27" i="170"/>
  <c r="Y37" i="170"/>
  <c r="AB42" i="170"/>
  <c r="AA57" i="170"/>
  <c r="AC61" i="170"/>
  <c r="Z63" i="170"/>
  <c r="Z13" i="170"/>
  <c r="AA14" i="170"/>
  <c r="AB15" i="170"/>
  <c r="AC16" i="170"/>
  <c r="AA20" i="170"/>
  <c r="Y22" i="170"/>
  <c r="AB27" i="170"/>
  <c r="Z37" i="170"/>
  <c r="AC42" i="170"/>
  <c r="AB57" i="170"/>
  <c r="Y59" i="170"/>
  <c r="AA63" i="170"/>
  <c r="AA13" i="170"/>
  <c r="AB14" i="170"/>
  <c r="AC15" i="170"/>
  <c r="Y19" i="170"/>
  <c r="AB20" i="170"/>
  <c r="Z22" i="170"/>
  <c r="AC27" i="170"/>
  <c r="AA37" i="170"/>
  <c r="Y47" i="170"/>
  <c r="AC57" i="170"/>
  <c r="Z59" i="170"/>
  <c r="AB63" i="170"/>
  <c r="AB13" i="170"/>
  <c r="AC14" i="170"/>
  <c r="Y18" i="170"/>
  <c r="Z19" i="170"/>
  <c r="AC20" i="170"/>
  <c r="AA22" i="170"/>
  <c r="Y32" i="170"/>
  <c r="AB37" i="170"/>
  <c r="Z47" i="170"/>
  <c r="Y55" i="170"/>
  <c r="AA59" i="170"/>
  <c r="AC63" i="170"/>
  <c r="AC13" i="170"/>
  <c r="Y17" i="170"/>
  <c r="Z18" i="170"/>
  <c r="AA19" i="170"/>
  <c r="Y21" i="170"/>
  <c r="AB22" i="170"/>
  <c r="Z32" i="170"/>
  <c r="AC37" i="170"/>
  <c r="AA47" i="170"/>
  <c r="Z55" i="170"/>
  <c r="AB59" i="170"/>
  <c r="AD61" i="4"/>
  <c r="AD63" i="4"/>
  <c r="AD55" i="4"/>
  <c r="AD57" i="4"/>
  <c r="AD59" i="4"/>
  <c r="AG17" i="4"/>
  <c r="AM107" i="4"/>
  <c r="AN107" i="4"/>
  <c r="AO107" i="4"/>
  <c r="AP107" i="4"/>
  <c r="AL107" i="4"/>
  <c r="AP106" i="4"/>
  <c r="AO106" i="4"/>
  <c r="AN106" i="4"/>
  <c r="AM106" i="4"/>
  <c r="AL106" i="4"/>
  <c r="AC26" i="4"/>
  <c r="AD41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N6" i="172" a="1"/>
  <c r="AO6" i="172" a="1"/>
  <c r="AM6" i="172" a="1"/>
  <c r="AL6" i="172" a="1"/>
  <c r="AP6" i="172" a="1"/>
  <c r="AN6" i="171" a="1"/>
  <c r="AO6" i="171" a="1"/>
  <c r="AM6" i="171" a="1"/>
  <c r="AL6" i="171" a="1"/>
  <c r="AP6" i="171" a="1"/>
  <c r="AN6" i="170" a="1"/>
  <c r="AO6" i="170" a="1"/>
  <c r="AM6" i="170" a="1"/>
  <c r="AL6" i="170" a="1"/>
  <c r="AP6" i="170" a="1"/>
  <c r="AO6" i="4" a="1"/>
  <c r="AM6" i="4" a="1"/>
  <c r="AL6" i="4" a="1"/>
  <c r="AP6" i="4" a="1"/>
  <c r="AN6" i="4" a="1"/>
  <c r="AD48" i="172" l="1"/>
  <c r="AD33" i="172"/>
  <c r="AD43" i="172"/>
  <c r="AG8" i="172"/>
  <c r="AQ8" i="172" s="1"/>
  <c r="AQ7" i="172" s="1"/>
  <c r="L5" i="172" s="1"/>
  <c r="AG12" i="172"/>
  <c r="AG10" i="172"/>
  <c r="AQ10" i="172" s="1"/>
  <c r="L10" i="172" s="1"/>
  <c r="AD28" i="172"/>
  <c r="AP6" i="172"/>
  <c r="AB48" i="172" s="1"/>
  <c r="AL6" i="172"/>
  <c r="AC28" i="172" s="1"/>
  <c r="AM6" i="172"/>
  <c r="AC33" i="172" s="1"/>
  <c r="AO6" i="172"/>
  <c r="AB43" i="172" s="1"/>
  <c r="AN6" i="172"/>
  <c r="Y38" i="172" s="1"/>
  <c r="AG17" i="172"/>
  <c r="AQ17" i="172" s="1"/>
  <c r="L52" i="172" s="1"/>
  <c r="AG15" i="172"/>
  <c r="AD38" i="172"/>
  <c r="AG8" i="171"/>
  <c r="AQ8" i="171" s="1"/>
  <c r="AQ7" i="171" s="1"/>
  <c r="L5" i="171" s="1"/>
  <c r="AQ4" i="171"/>
  <c r="AQ3" i="171" s="1"/>
  <c r="B3" i="171" s="1"/>
  <c r="AG12" i="171"/>
  <c r="AD28" i="171"/>
  <c r="AD33" i="171"/>
  <c r="AD43" i="171"/>
  <c r="AP6" i="171"/>
  <c r="AC48" i="171" s="1"/>
  <c r="AL6" i="171"/>
  <c r="Z28" i="171" s="1"/>
  <c r="AM6" i="171"/>
  <c r="AC33" i="171" s="1"/>
  <c r="AO6" i="171"/>
  <c r="Y43" i="171" s="1"/>
  <c r="AN6" i="171"/>
  <c r="AA38" i="171" s="1"/>
  <c r="AD47" i="171"/>
  <c r="AD27" i="171"/>
  <c r="AG17" i="171"/>
  <c r="AQ17" i="171" s="1"/>
  <c r="L52" i="171" s="1"/>
  <c r="AG10" i="171"/>
  <c r="AQ10" i="171" s="1"/>
  <c r="L10" i="171" s="1"/>
  <c r="AD37" i="171"/>
  <c r="AD42" i="171"/>
  <c r="AD48" i="171"/>
  <c r="AD38" i="171"/>
  <c r="AG8" i="170"/>
  <c r="AQ8" i="170" s="1"/>
  <c r="AQ7" i="170" s="1"/>
  <c r="L5" i="170" s="1"/>
  <c r="AG18" i="170"/>
  <c r="AQ18" i="170" s="1"/>
  <c r="AG11" i="170"/>
  <c r="AQ11" i="170" s="1"/>
  <c r="AG12" i="170"/>
  <c r="AD48" i="170"/>
  <c r="AD38" i="170"/>
  <c r="AD28" i="170"/>
  <c r="AP6" i="170"/>
  <c r="AA48" i="170" s="1"/>
  <c r="AL6" i="170"/>
  <c r="AB28" i="170" s="1"/>
  <c r="AM6" i="170"/>
  <c r="AB33" i="170" s="1"/>
  <c r="AO6" i="170"/>
  <c r="Z43" i="170" s="1"/>
  <c r="AN6" i="170"/>
  <c r="AC38" i="170" s="1"/>
  <c r="AG17" i="170"/>
  <c r="AQ17" i="170" s="1"/>
  <c r="L52" i="170" s="1"/>
  <c r="AD42" i="170"/>
  <c r="AD27" i="170"/>
  <c r="AD33" i="170"/>
  <c r="AD43" i="170"/>
  <c r="AD32" i="170"/>
  <c r="AG10" i="170"/>
  <c r="AQ10" i="170" s="1"/>
  <c r="L10" i="170" s="1"/>
  <c r="AD37" i="170"/>
  <c r="AG18" i="4"/>
  <c r="AQ18" i="4" s="1"/>
  <c r="AQ17" i="4" s="1"/>
  <c r="L52" i="4" s="1"/>
  <c r="AD48" i="4"/>
  <c r="AD43" i="4"/>
  <c r="AD38" i="4"/>
  <c r="AD33" i="4"/>
  <c r="AD28" i="4"/>
  <c r="AL6" i="4"/>
  <c r="AA28" i="4" s="1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G11" i="4"/>
  <c r="AG10" i="4"/>
  <c r="AQ10" i="4" s="1"/>
  <c r="L10" i="4" s="1"/>
  <c r="AG9" i="4"/>
  <c r="AG8" i="4"/>
  <c r="AQ8" i="4" s="1"/>
  <c r="Y28" i="172" l="1"/>
  <c r="AB28" i="172"/>
  <c r="AA28" i="172"/>
  <c r="Z43" i="172"/>
  <c r="AA33" i="172"/>
  <c r="Y38" i="171"/>
  <c r="AB33" i="172"/>
  <c r="AA43" i="172"/>
  <c r="Y33" i="172"/>
  <c r="Z33" i="172"/>
  <c r="Z48" i="172"/>
  <c r="AA38" i="172"/>
  <c r="AC38" i="171"/>
  <c r="AC43" i="172"/>
  <c r="AC48" i="172"/>
  <c r="Y48" i="172"/>
  <c r="AA48" i="172"/>
  <c r="Z38" i="172"/>
  <c r="Y43" i="172"/>
  <c r="AC38" i="172"/>
  <c r="AB38" i="172"/>
  <c r="AG16" i="172"/>
  <c r="AQ16" i="172" s="1"/>
  <c r="AQ15" i="172" s="1"/>
  <c r="AQ14" i="172" s="1"/>
  <c r="Z28" i="172"/>
  <c r="AA43" i="170"/>
  <c r="Y48" i="171"/>
  <c r="Y33" i="171"/>
  <c r="Z33" i="171"/>
  <c r="Z48" i="171"/>
  <c r="AA33" i="171"/>
  <c r="AC28" i="171"/>
  <c r="AA28" i="171"/>
  <c r="AA48" i="171"/>
  <c r="Z43" i="171"/>
  <c r="AA43" i="171"/>
  <c r="AB48" i="171"/>
  <c r="AB38" i="171"/>
  <c r="AB43" i="171"/>
  <c r="AB28" i="171"/>
  <c r="AG16" i="171"/>
  <c r="AQ16" i="171" s="1"/>
  <c r="Z38" i="171"/>
  <c r="AC43" i="171"/>
  <c r="AB33" i="171"/>
  <c r="Y28" i="171"/>
  <c r="AG15" i="171"/>
  <c r="Y48" i="170"/>
  <c r="AB48" i="170"/>
  <c r="AC33" i="170"/>
  <c r="AA38" i="170"/>
  <c r="Y33" i="170"/>
  <c r="AC48" i="170"/>
  <c r="AB43" i="170"/>
  <c r="AG16" i="170"/>
  <c r="AQ16" i="170" s="1"/>
  <c r="AC43" i="170"/>
  <c r="AC28" i="170"/>
  <c r="Y28" i="170"/>
  <c r="AB38" i="170"/>
  <c r="Y43" i="170"/>
  <c r="Z38" i="170"/>
  <c r="Y38" i="170"/>
  <c r="Z48" i="170"/>
  <c r="Z28" i="170"/>
  <c r="AA28" i="170"/>
  <c r="Z33" i="170"/>
  <c r="AA33" i="170"/>
  <c r="AG15" i="170"/>
  <c r="AG16" i="4"/>
  <c r="AQ16" i="4" s="1"/>
  <c r="AQ15" i="4" s="1"/>
  <c r="AQ14" i="4" s="1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G13" i="172" l="1"/>
  <c r="D1" i="172" s="1"/>
  <c r="F4" i="1" s="1"/>
  <c r="AQ15" i="171"/>
  <c r="AQ14" i="171" s="1"/>
  <c r="AG13" i="171"/>
  <c r="AQ15" i="170"/>
  <c r="AQ14" i="170" s="1"/>
  <c r="AG13" i="170"/>
  <c r="AG13" i="4"/>
  <c r="AQ13" i="4" s="1"/>
  <c r="AQ12" i="4" s="1"/>
  <c r="L24" i="4" s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AQ13" i="172" l="1"/>
  <c r="AQ12" i="172" s="1"/>
  <c r="L24" i="172" s="1"/>
  <c r="AQ13" i="171"/>
  <c r="AQ12" i="171" s="1"/>
  <c r="L24" i="171" s="1"/>
  <c r="D1" i="171"/>
  <c r="F3" i="1" s="1"/>
  <c r="AQ13" i="170"/>
  <c r="AQ12" i="170" s="1"/>
  <c r="L24" i="170" s="1"/>
  <c r="D1" i="170"/>
  <c r="F2" i="1" s="1"/>
  <c r="AQ6" i="4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Q5" i="4" l="1"/>
  <c r="F1" i="1"/>
  <c r="AG4" i="4"/>
  <c r="AQ4" i="4" l="1"/>
  <c r="D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<sst xmlns="http://schemas.openxmlformats.org/spreadsheetml/2006/main" count="789" uniqueCount="224">
  <si>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</si>
  <si>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</si>
  <si>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</si>
  <si>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</si>
  <si>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定価</t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</si>
  <si>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</si>
  <si>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</si>
  <si>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</si>
  <si>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</si>
  <si>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</si>
  <si>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</si>
  <si>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</si>
  <si>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</si>
  <si>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</si>
  <si>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</si>
  <si>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</si>
  <si>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</si>
  <si>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</si>
  <si>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</si>
  <si>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</si>
  <si>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</si>
  <si>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登録日</t>
  </si>
  <si>
    <t>コメント</t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</si>
  <si>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</si>
  <si>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</si>
  <si>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</si>
  <si>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</si>
  <si>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商品No</t>
  </si>
  <si>
    <t>受注日</t>
  </si>
  <si>
    <t>数量</t>
  </si>
  <si>
    <t>受注No</t>
  </si>
  <si>
    <t>担当者名</t>
  </si>
  <si>
    <t>得意先ID</t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</si>
  <si>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</si>
  <si>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</si>
  <si>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</si>
  <si>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</si>
  <si>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</si>
  <si>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</si>
  <si>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</si>
  <si>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</si>
  <si>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</si>
  <si>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</si>
  <si>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</si>
  <si>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FIELDS</t>
    <phoneticPr fontId="2"/>
  </si>
  <si>
    <t>TABLE CONSTRAINT</t>
    <phoneticPr fontId="2"/>
  </si>
  <si>
    <t>得意先</t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</si>
  <si>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</si>
  <si>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</si>
  <si>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</si>
  <si>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取引先区分</t>
  </si>
  <si>
    <t>派生元項目名</t>
    <rPh sb="2" eb="3">
      <t>モト</t>
    </rPh>
    <rPh sb="3" eb="5">
      <t>コウモク</t>
    </rPh>
    <rPh sb="5" eb="6">
      <t>メイ</t>
    </rPh>
    <phoneticPr fontId="3"/>
  </si>
  <si>
    <t>product_no</t>
  </si>
  <si>
    <t>varchar(10)</t>
  </si>
  <si>
    <t>(LENGTH(product_no) &gt;= 9)</t>
  </si>
  <si>
    <t>商品特定のユニークキー</t>
  </si>
  <si>
    <t>price</t>
  </si>
  <si>
    <t>integer</t>
  </si>
  <si>
    <t>(price &gt;= 0)</t>
  </si>
  <si>
    <t>円、希望小売価格</t>
  </si>
  <si>
    <t>UP</t>
  </si>
  <si>
    <t>up</t>
  </si>
  <si>
    <t>numeric</t>
  </si>
  <si>
    <t>(-1000 &lt;= up AND up &lt;= 1000)</t>
  </si>
  <si>
    <t>仕入れ先からの購入価格</t>
  </si>
  <si>
    <t>registration_date</t>
  </si>
  <si>
    <t>date</t>
  </si>
  <si>
    <t>商品区分</t>
  </si>
  <si>
    <t>product_kbn</t>
  </si>
  <si>
    <t>商品の状態を表す区分</t>
  </si>
  <si>
    <t>comment</t>
  </si>
  <si>
    <t>text</t>
  </si>
  <si>
    <t>(LENGTH(comment) &gt;= 10)</t>
  </si>
  <si>
    <t>更新可能</t>
  </si>
  <si>
    <t>can_update</t>
  </si>
  <si>
    <t>boolean</t>
  </si>
  <si>
    <t>更新可否</t>
  </si>
  <si>
    <t>部署</t>
  </si>
  <si>
    <t>department</t>
  </si>
  <si>
    <t>order_date</t>
  </si>
  <si>
    <t>quantity</t>
  </si>
  <si>
    <t>(0 &lt;= quantity AND quantity &lt;= 99999)</t>
  </si>
  <si>
    <t>received_order_no</t>
  </si>
  <si>
    <t>受注番号</t>
  </si>
  <si>
    <t>受注連番</t>
  </si>
  <si>
    <t>order_detail_no</t>
  </si>
  <si>
    <t>serial</t>
  </si>
  <si>
    <t>受注明細番号</t>
  </si>
  <si>
    <t>person_in_charge</t>
  </si>
  <si>
    <t>varchar(30)</t>
  </si>
  <si>
    <t>業務担当者</t>
  </si>
  <si>
    <t>ユーザーID</t>
  </si>
  <si>
    <t>user_id</t>
  </si>
  <si>
    <t>varchar(4)</t>
  </si>
  <si>
    <t>システム利用ユーザー</t>
  </si>
  <si>
    <t>商品名称</t>
  </si>
  <si>
    <t>product_name</t>
  </si>
  <si>
    <t>varchar(100)</t>
  </si>
  <si>
    <t>取扱商品名</t>
  </si>
  <si>
    <t>customer_id</t>
  </si>
  <si>
    <t>varchar(3)</t>
  </si>
  <si>
    <t>得意先のID</t>
  </si>
  <si>
    <t>customer_name</t>
  </si>
  <si>
    <t>得意先の名称</t>
  </si>
  <si>
    <t>稼働中</t>
  </si>
  <si>
    <t>is_working</t>
  </si>
  <si>
    <t>稼働状況</t>
  </si>
  <si>
    <t>利益率</t>
  </si>
  <si>
    <t>profit_rate</t>
  </si>
  <si>
    <t>(profit_rate &lt;= 10)</t>
  </si>
  <si>
    <t>帳票未表示</t>
  </si>
  <si>
    <t>exclude_report</t>
  </si>
  <si>
    <t>帳票などに出力しない場合にtrue</t>
  </si>
  <si>
    <t>発送時間</t>
  </si>
  <si>
    <t>shipping_time</t>
  </si>
  <si>
    <t>varchar(5)</t>
  </si>
  <si>
    <t>(shipping_time ~* '^([0-1]?[0-9]|2[0-3]):[0-5][0-9]$')</t>
  </si>
  <si>
    <t>出荷時間</t>
  </si>
  <si>
    <t>取引有無</t>
  </si>
  <si>
    <t>is_active_customer</t>
  </si>
  <si>
    <t>取引中かどうか</t>
  </si>
  <si>
    <t>customer_type</t>
  </si>
  <si>
    <t>取引先の区分</t>
  </si>
  <si>
    <t>承認日時</t>
  </si>
  <si>
    <t>approve_datetime</t>
  </si>
  <si>
    <t>timestamp</t>
  </si>
  <si>
    <t>承認した日時</t>
  </si>
  <si>
    <t>社員番号</t>
  </si>
  <si>
    <t>emploee_no</t>
  </si>
  <si>
    <t>ログID</t>
  </si>
  <si>
    <t>log_id</t>
  </si>
  <si>
    <t>uuid</t>
  </si>
  <si>
    <t>ログのID</t>
  </si>
  <si>
    <t>キャンペーン定価</t>
  </si>
  <si>
    <t>campane_price</t>
  </si>
  <si>
    <t>(campane_price &gt;= 0)</t>
  </si>
  <si>
    <t>キャンペーンの定価</t>
  </si>
  <si>
    <t>受注担当者ID</t>
  </si>
  <si>
    <t>order_pic</t>
  </si>
  <si>
    <t>受注担当者のユーザーID</t>
  </si>
  <si>
    <t>商品担当者ID</t>
  </si>
  <si>
    <t>product_pic</t>
  </si>
  <si>
    <t>商品管理者のユーザーID</t>
  </si>
  <si>
    <t>売上計上部署</t>
  </si>
  <si>
    <t>salese_department</t>
  </si>
  <si>
    <t>受注</t>
    <phoneticPr fontId="2"/>
  </si>
  <si>
    <t>received_order</t>
    <phoneticPr fontId="2"/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</si>
  <si>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</si>
  <si>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</si>
  <si>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</si>
  <si>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</si>
  <si>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</si>
  <si>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</si>
  <si>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</si>
  <si>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</si>
  <si>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</si>
  <si>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</si>
  <si>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</si>
  <si>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</si>
  <si>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(LENGTH(received_order_no) = 10)</t>
  </si>
  <si>
    <t>(LENGTH(user_id) = 4)</t>
  </si>
  <si>
    <t>(LENGTH(customer_id) = 3)</t>
  </si>
  <si>
    <t>(LENGTH(emploee_no) = 4)</t>
  </si>
  <si>
    <t>(LENGTH(order_pic) = 4)</t>
  </si>
  <si>
    <t>(LENGTH(product_pic) = 4)</t>
  </si>
  <si>
    <t>受注</t>
  </si>
  <si>
    <t>customers</t>
  </si>
  <si>
    <t>○</t>
    <phoneticPr fontId="2"/>
  </si>
  <si>
    <t>AAA</t>
  </si>
  <si>
    <t>current_timestamp</t>
  </si>
  <si>
    <t>得意先ID</t>
    <phoneticPr fontId="2"/>
  </si>
  <si>
    <t>orders</t>
  </si>
  <si>
    <t>-</t>
    <phoneticPr fontId="2"/>
  </si>
  <si>
    <t>受注No</t>
    <phoneticPr fontId="2"/>
  </si>
  <si>
    <t>受注明細</t>
  </si>
  <si>
    <t>order_details</t>
  </si>
  <si>
    <t>Foreign Key</t>
    <phoneticPr fontId="2"/>
  </si>
  <si>
    <t>Primary Key</t>
    <phoneticPr fontId="2"/>
  </si>
  <si>
    <t>得意先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</si>
  <si>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</si>
  <si>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</si>
  <si>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</si>
  <si>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</si>
  <si>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</si>
  <si>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</si>
  <si>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</si>
  <si>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</si>
  <si>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</si>
  <si>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</si>
  <si>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</si>
  <si>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</si>
  <si>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</si>
  <si>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</si>
  <si>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</si>
  <si>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</si>
  <si>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</si>
  <si>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</si>
  <si>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</si>
  <si>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</si>
  <si>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</si>
  <si>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</si>
  <si>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</si>
  <si>
    <t>※PKに指定できるのはNOT NULLフィールドのみです。</t>
    <rPh sb="4" eb="6">
      <t>シテイ</t>
    </rPh>
    <phoneticPr fontId="2"/>
  </si>
  <si>
    <t>※FKに指定する場合、参照先テーブルでユニーク制約が設定済み（もしくはPK項目）である必要があります。</t>
    <rPh sb="4" eb="6">
      <t>シテイ</t>
    </rPh>
    <rPh sb="8" eb="10">
      <t>バアイ</t>
    </rPh>
    <rPh sb="11" eb="13">
      <t>サンショウ</t>
    </rPh>
    <rPh sb="13" eb="14">
      <t>サキ</t>
    </rPh>
    <rPh sb="23" eb="25">
      <t>セイヤク</t>
    </rPh>
    <rPh sb="37" eb="39">
      <t>コウモク</t>
    </rPh>
    <rPh sb="43" eb="45">
      <t>ヒツヨウ</t>
    </rPh>
    <phoneticPr fontId="2"/>
  </si>
  <si>
    <t>※NOT NULLを指定する場合は[1]を入力してください。</t>
    <rPh sb="10" eb="12">
      <t>シテイ</t>
    </rPh>
    <rPh sb="14" eb="16">
      <t>バアイ</t>
    </rPh>
    <rPh sb="21" eb="23">
      <t>ニュウリョク</t>
    </rPh>
    <phoneticPr fontId="2"/>
  </si>
  <si>
    <t>参照元PKユニーク</t>
    <rPh sb="0" eb="2">
      <t>サンショウ</t>
    </rPh>
    <rPh sb="2" eb="3">
      <t>モト</t>
    </rPh>
    <phoneticPr fontId="2"/>
  </si>
  <si>
    <t>同一定義のINDEXが複数存在します。</t>
  </si>
  <si>
    <t>参照するフィールドの形式が一致しません。</t>
    <rPh sb="10" eb="12">
      <t>ケイシキ</t>
    </rPh>
    <phoneticPr fontId="2"/>
  </si>
  <si>
    <t>同一定義のFOREIGN KEYが複数存在します。</t>
    <phoneticPr fontId="2"/>
  </si>
  <si>
    <t>参照先テーブルでユニーク制約が設定済みである必要があります。</t>
    <rPh sb="22" eb="24">
      <t>ヒツヨウ</t>
    </rPh>
    <phoneticPr fontId="2"/>
  </si>
  <si>
    <t>同一定義のUNIQUE制約が複数存在します。</t>
    <rPh sb="11" eb="13">
      <t>セイヤク</t>
    </rPh>
    <phoneticPr fontId="2"/>
  </si>
  <si>
    <t>PKの指定がありません。</t>
    <rPh sb="3" eb="5">
      <t>シテイ</t>
    </rPh>
    <phoneticPr fontId="2"/>
  </si>
  <si>
    <t>PKに複数のフィールドを指定しています。</t>
    <phoneticPr fontId="2"/>
  </si>
  <si>
    <t>FOREIGN KEYに複数のフィールドを指定しています。</t>
    <phoneticPr fontId="2"/>
  </si>
  <si>
    <t>１つのINDEXに複数のフィールドを指定しています。</t>
    <phoneticPr fontId="2"/>
  </si>
  <si>
    <t>１つのFOREIGN KEYにフィールドが指定されていません。</t>
    <phoneticPr fontId="2"/>
  </si>
  <si>
    <t>１つのUNIQUE制約に複数のフィールドを指定しています。</t>
    <rPh sb="9" eb="11">
      <t>セイヤク</t>
    </rPh>
    <phoneticPr fontId="2"/>
  </si>
  <si>
    <t>PKにNOT NULL指定のフィールド以外が使用されています。</t>
    <rPh sb="11" eb="13">
      <t>シテイ</t>
    </rPh>
    <rPh sb="19" eb="21">
      <t>イガイ</t>
    </rPh>
    <rPh sb="22" eb="24">
      <t>シヨウ</t>
    </rPh>
    <phoneticPr fontId="2"/>
  </si>
  <si>
    <t>項目定義に存在しないフィールドが存在します。</t>
    <rPh sb="0" eb="2">
      <t>コウモク</t>
    </rPh>
    <rPh sb="2" eb="4">
      <t>テイギ</t>
    </rPh>
    <rPh sb="5" eb="7">
      <t>ソンザイ</t>
    </rPh>
    <rPh sb="16" eb="18">
      <t>ソンザイ</t>
    </rPh>
    <phoneticPr fontId="2"/>
  </si>
  <si>
    <t>重複するフィールドが存在します。</t>
    <rPh sb="0" eb="2">
      <t>チョウフク</t>
    </rPh>
    <rPh sb="10" eb="12">
      <t>ソンザイ</t>
    </rPh>
    <phoneticPr fontId="2"/>
  </si>
  <si>
    <t>区分値・真偽値はNOT NULL属性が必須です。</t>
    <rPh sb="0" eb="2">
      <t>クブン</t>
    </rPh>
    <rPh sb="2" eb="3">
      <t>チ</t>
    </rPh>
    <rPh sb="4" eb="6">
      <t>シンギ</t>
    </rPh>
    <rPh sb="6" eb="7">
      <t>チ</t>
    </rPh>
    <rPh sb="16" eb="18">
      <t>ゾクセイ</t>
    </rPh>
    <rPh sb="19" eb="21">
      <t>ヒッス</t>
    </rPh>
    <phoneticPr fontId="2"/>
  </si>
  <si>
    <t>フィールドの設定が１つもありません。</t>
    <rPh sb="6" eb="8">
      <t>セッテイ</t>
    </rPh>
    <phoneticPr fontId="2"/>
  </si>
  <si>
    <t/>
  </si>
  <si>
    <t>"2024-01-02"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</si>
</sst>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  <font>
      <sz val="6"/>
      <color theme="8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0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0" fillId="0" borderId="0" xfId="0" applyFont="1" applyAlignment="1">
      <alignment horizontal="center"/>
    </xf>
    <xf numFmtId="0" fontId="21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2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  <xf numFmtId="0" fontId="23" fillId="0" borderId="0" xfId="0" applyFont="1"/>
    <xf numFmtId="0" fontId="7" fillId="0" borderId="59" xfId="0" applyFont="1" applyBorder="1"/>
    <xf numFmtId="0" fontId="7" fillId="4" borderId="58" xfId="0" applyFont="1" applyFill="1" applyBorder="1"/>
    <xf numFmtId="0" fontId="7" fillId="0" borderId="60" xfId="0" applyFont="1" applyBorder="1"/>
    <xf numFmtId="49" fontId="16" fillId="0" borderId="8" xfId="0" applyNumberFormat="1" applyFont="1" applyBorder="1"/>
    <xf numFmtId="49" fontId="16" fillId="0" borderId="9" xfId="0" applyNumberFormat="1" applyFont="1" applyBorder="1"/>
    <xf numFmtId="49" fontId="16" fillId="0" borderId="10" xfId="0" applyNumberFormat="1" applyFont="1" applyBorder="1"/>
    <xf numFmtId="0" fontId="7" fillId="10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160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296"/>
  <sheetViews>
    <sheetView showGridLines="0" workbookViewId="0">
      <pane ySplit="1" topLeftCell="A2" activePane="bottomLeft" state="frozen"/>
      <selection pane="bottomLeft" activeCell="H2" sqref="H2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40</v>
      </c>
      <c r="E1" s="3" t="s">
        <v>41</v>
      </c>
      <c r="F1" s="4" t="s">
        <v>2</v>
      </c>
      <c r="G1" s="5" t="s">
        <v>5</v>
      </c>
      <c r="H1" s="5" t="s">
        <v>51</v>
      </c>
    </row>
    <row r="2" spans="1:9" ht="18">
      <c r="A2" s="60" t="s">
        <v>27</v>
      </c>
      <c r="B2" s="60" t="s">
        <v>52</v>
      </c>
      <c r="C2" s="60" t="s">
        <v>53</v>
      </c>
      <c r="D2" s="60" t="s">
        <v>54</v>
      </c>
      <c r="E2" s="60" t="b">
        <v>0</v>
      </c>
      <c r="F2" s="60" t="s">
        <v>55</v>
      </c>
      <c r="G2" s="62">
        <v>0</v>
      </c>
      <c r="H2" s="60" t="s">
        <v>27</v>
      </c>
      <c r="I2"/>
    </row>
    <row r="3" spans="1:9" ht="18">
      <c r="A3" s="60" t="s">
        <v>4</v>
      </c>
      <c r="B3" s="60" t="s">
        <v>56</v>
      </c>
      <c r="C3" s="60" t="s">
        <v>57</v>
      </c>
      <c r="D3" s="60" t="s">
        <v>58</v>
      </c>
      <c r="E3" s="60" t="b">
        <v>0</v>
      </c>
      <c r="F3" s="60" t="s">
        <v>59</v>
      </c>
      <c r="G3" s="62">
        <v>0</v>
      </c>
      <c r="H3" s="60" t="s">
        <v>4</v>
      </c>
      <c r="I3"/>
    </row>
    <row r="4" spans="1:9" ht="18">
      <c r="A4" s="60" t="s">
        <v>60</v>
      </c>
      <c r="B4" s="60" t="s">
        <v>61</v>
      </c>
      <c r="C4" s="60" t="s">
        <v>62</v>
      </c>
      <c r="D4" s="60" t="s">
        <v>63</v>
      </c>
      <c r="E4" s="60" t="b">
        <v>0</v>
      </c>
      <c r="F4" s="60" t="s">
        <v>64</v>
      </c>
      <c r="G4" s="62">
        <v>0</v>
      </c>
      <c r="H4" s="60" t="s">
        <v>60</v>
      </c>
      <c r="I4"/>
    </row>
    <row r="5" spans="1:9" ht="18">
      <c r="A5" s="60" t="s">
        <v>21</v>
      </c>
      <c r="B5" s="60" t="s">
        <v>65</v>
      </c>
      <c r="C5" s="60" t="s">
        <v>66</v>
      </c>
      <c r="D5" s="60"/>
      <c r="E5" s="60" t="b">
        <v>0</v>
      </c>
      <c r="F5" s="60" t="s">
        <v>21</v>
      </c>
      <c r="G5" s="62">
        <v>0</v>
      </c>
      <c r="H5" s="60" t="s">
        <v>21</v>
      </c>
      <c r="I5"/>
    </row>
    <row r="6" spans="1:9" ht="18">
      <c r="A6" s="60" t="s">
        <v>67</v>
      </c>
      <c r="B6" s="60" t="s">
        <v>68</v>
      </c>
      <c r="C6" s="60" t="s">
        <v>68</v>
      </c>
      <c r="D6" s="60"/>
      <c r="E6" s="60" t="b">
        <v>1</v>
      </c>
      <c r="F6" s="60" t="s">
        <v>69</v>
      </c>
      <c r="G6" s="62">
        <v>0</v>
      </c>
      <c r="H6" s="60" t="s">
        <v>67</v>
      </c>
      <c r="I6"/>
    </row>
    <row r="7" spans="1:9" ht="18">
      <c r="A7" s="60" t="s">
        <v>22</v>
      </c>
      <c r="B7" s="60" t="s">
        <v>70</v>
      </c>
      <c r="C7" s="60" t="s">
        <v>71</v>
      </c>
      <c r="D7" s="60" t="s">
        <v>72</v>
      </c>
      <c r="E7" s="60" t="b">
        <v>0</v>
      </c>
      <c r="F7" s="60" t="s">
        <v>22</v>
      </c>
      <c r="G7" s="62">
        <v>0</v>
      </c>
      <c r="H7" s="60" t="s">
        <v>22</v>
      </c>
      <c r="I7"/>
    </row>
    <row r="8" spans="1:9" ht="18">
      <c r="A8" s="60" t="s">
        <v>73</v>
      </c>
      <c r="B8" s="60" t="s">
        <v>74</v>
      </c>
      <c r="C8" s="60" t="s">
        <v>75</v>
      </c>
      <c r="D8" s="60"/>
      <c r="E8" s="60" t="b">
        <v>1</v>
      </c>
      <c r="F8" s="60" t="s">
        <v>76</v>
      </c>
      <c r="G8" s="62">
        <v>0</v>
      </c>
      <c r="H8" s="60" t="s">
        <v>73</v>
      </c>
      <c r="I8"/>
    </row>
    <row r="9" spans="1:9" ht="18">
      <c r="A9" s="60" t="s">
        <v>77</v>
      </c>
      <c r="B9" s="60" t="s">
        <v>78</v>
      </c>
      <c r="C9" s="60" t="s">
        <v>78</v>
      </c>
      <c r="D9" s="60"/>
      <c r="E9" s="60" t="b">
        <v>1</v>
      </c>
      <c r="F9" s="60" t="s">
        <v>77</v>
      </c>
      <c r="G9" s="62">
        <v>0</v>
      </c>
      <c r="H9" s="60" t="s">
        <v>77</v>
      </c>
      <c r="I9"/>
    </row>
    <row r="10" spans="1:9" ht="18">
      <c r="A10" s="60" t="s">
        <v>28</v>
      </c>
      <c r="B10" s="60" t="s">
        <v>79</v>
      </c>
      <c r="C10" s="60" t="s">
        <v>66</v>
      </c>
      <c r="D10" s="60"/>
      <c r="E10" s="60" t="b">
        <v>0</v>
      </c>
      <c r="F10" s="60" t="s">
        <v>28</v>
      </c>
      <c r="G10" s="62">
        <v>0</v>
      </c>
      <c r="H10" s="60" t="s">
        <v>28</v>
      </c>
      <c r="I10"/>
    </row>
    <row r="11" spans="1:9" ht="18">
      <c r="A11" s="60" t="s">
        <v>29</v>
      </c>
      <c r="B11" s="60" t="s">
        <v>80</v>
      </c>
      <c r="C11" s="60" t="s">
        <v>57</v>
      </c>
      <c r="D11" s="60" t="s">
        <v>81</v>
      </c>
      <c r="E11" s="60" t="b">
        <v>0</v>
      </c>
      <c r="F11" s="60" t="s">
        <v>29</v>
      </c>
      <c r="G11" s="62">
        <v>0</v>
      </c>
      <c r="H11" s="60" t="s">
        <v>29</v>
      </c>
      <c r="I11"/>
    </row>
    <row r="12" spans="1:9" ht="18">
      <c r="A12" s="60" t="s">
        <v>30</v>
      </c>
      <c r="B12" s="60" t="s">
        <v>82</v>
      </c>
      <c r="C12" s="60" t="s">
        <v>53</v>
      </c>
      <c r="D12" s="60" t="s">
        <v>159</v>
      </c>
      <c r="E12" s="60" t="b">
        <v>0</v>
      </c>
      <c r="F12" s="60" t="s">
        <v>83</v>
      </c>
      <c r="G12" s="62">
        <v>0</v>
      </c>
      <c r="H12" s="60" t="s">
        <v>30</v>
      </c>
      <c r="I12"/>
    </row>
    <row r="13" spans="1:9" ht="18">
      <c r="A13" s="60" t="s">
        <v>84</v>
      </c>
      <c r="B13" s="60" t="s">
        <v>85</v>
      </c>
      <c r="C13" s="60" t="s">
        <v>86</v>
      </c>
      <c r="D13" s="60"/>
      <c r="E13" s="60" t="b">
        <v>0</v>
      </c>
      <c r="F13" s="60" t="s">
        <v>87</v>
      </c>
      <c r="G13" s="62">
        <v>0</v>
      </c>
      <c r="H13" s="60" t="s">
        <v>84</v>
      </c>
      <c r="I13"/>
    </row>
    <row r="14" spans="1:9" ht="18">
      <c r="A14" s="60" t="s">
        <v>31</v>
      </c>
      <c r="B14" s="60" t="s">
        <v>88</v>
      </c>
      <c r="C14" s="60" t="s">
        <v>89</v>
      </c>
      <c r="D14" s="60"/>
      <c r="E14" s="60" t="b">
        <v>0</v>
      </c>
      <c r="F14" s="60" t="s">
        <v>90</v>
      </c>
      <c r="G14" s="62">
        <v>0</v>
      </c>
      <c r="H14" s="60" t="s">
        <v>31</v>
      </c>
      <c r="I14"/>
    </row>
    <row r="15" spans="1:9" ht="18">
      <c r="A15" s="60" t="s">
        <v>91</v>
      </c>
      <c r="B15" s="60" t="s">
        <v>92</v>
      </c>
      <c r="C15" s="60" t="s">
        <v>93</v>
      </c>
      <c r="D15" s="60" t="s">
        <v>160</v>
      </c>
      <c r="E15" s="60" t="b">
        <v>0</v>
      </c>
      <c r="F15" s="60" t="s">
        <v>94</v>
      </c>
      <c r="G15" s="62">
        <v>0</v>
      </c>
      <c r="H15" s="60" t="s">
        <v>91</v>
      </c>
      <c r="I15"/>
    </row>
    <row r="16" spans="1:9" ht="18">
      <c r="A16" s="60" t="s">
        <v>95</v>
      </c>
      <c r="B16" s="60" t="s">
        <v>96</v>
      </c>
      <c r="C16" s="60" t="s">
        <v>97</v>
      </c>
      <c r="D16" s="60"/>
      <c r="E16" s="60" t="b">
        <v>0</v>
      </c>
      <c r="F16" s="60" t="s">
        <v>98</v>
      </c>
      <c r="G16" s="62">
        <v>0</v>
      </c>
      <c r="H16" s="60" t="s">
        <v>95</v>
      </c>
      <c r="I16"/>
    </row>
    <row r="17" spans="1:9" ht="18">
      <c r="A17" s="60" t="s">
        <v>32</v>
      </c>
      <c r="B17" s="60" t="s">
        <v>99</v>
      </c>
      <c r="C17" s="60" t="s">
        <v>100</v>
      </c>
      <c r="D17" s="60" t="s">
        <v>161</v>
      </c>
      <c r="E17" s="60" t="b">
        <v>0</v>
      </c>
      <c r="F17" s="60" t="s">
        <v>101</v>
      </c>
      <c r="G17" s="62">
        <v>0</v>
      </c>
      <c r="H17" s="60" t="s">
        <v>32</v>
      </c>
      <c r="I17"/>
    </row>
    <row r="18" spans="1:9" ht="18">
      <c r="A18" s="60" t="s">
        <v>46</v>
      </c>
      <c r="B18" s="60" t="s">
        <v>102</v>
      </c>
      <c r="C18" s="60" t="s">
        <v>97</v>
      </c>
      <c r="D18" s="60"/>
      <c r="E18" s="60" t="b">
        <v>0</v>
      </c>
      <c r="F18" s="60" t="s">
        <v>103</v>
      </c>
      <c r="G18" s="62">
        <v>0</v>
      </c>
      <c r="H18" s="60" t="s">
        <v>46</v>
      </c>
      <c r="I18"/>
    </row>
    <row r="19" spans="1:9" ht="18">
      <c r="A19" s="60" t="s">
        <v>104</v>
      </c>
      <c r="B19" s="60" t="s">
        <v>105</v>
      </c>
      <c r="C19" s="60" t="s">
        <v>75</v>
      </c>
      <c r="D19" s="60"/>
      <c r="E19" s="60" t="b">
        <v>1</v>
      </c>
      <c r="F19" s="60" t="s">
        <v>106</v>
      </c>
      <c r="G19" s="62">
        <v>0</v>
      </c>
      <c r="H19" s="60" t="s">
        <v>104</v>
      </c>
      <c r="I19"/>
    </row>
    <row r="20" spans="1:9" ht="18">
      <c r="A20" s="60" t="s">
        <v>107</v>
      </c>
      <c r="B20" s="60" t="s">
        <v>108</v>
      </c>
      <c r="C20" s="60" t="s">
        <v>62</v>
      </c>
      <c r="D20" s="60" t="s">
        <v>109</v>
      </c>
      <c r="E20" s="60" t="b">
        <v>0</v>
      </c>
      <c r="F20" s="60" t="s">
        <v>107</v>
      </c>
      <c r="G20" s="62">
        <v>0</v>
      </c>
      <c r="H20" s="60" t="s">
        <v>107</v>
      </c>
      <c r="I20"/>
    </row>
    <row r="21" spans="1:9" ht="18">
      <c r="A21" s="60" t="s">
        <v>110</v>
      </c>
      <c r="B21" s="60" t="s">
        <v>111</v>
      </c>
      <c r="C21" s="60" t="s">
        <v>75</v>
      </c>
      <c r="D21" s="60"/>
      <c r="E21" s="60" t="b">
        <v>1</v>
      </c>
      <c r="F21" s="60" t="s">
        <v>112</v>
      </c>
      <c r="G21" s="62">
        <v>0</v>
      </c>
      <c r="H21" s="60" t="s">
        <v>110</v>
      </c>
      <c r="I21"/>
    </row>
    <row r="22" spans="1:9" ht="18">
      <c r="A22" s="60" t="s">
        <v>113</v>
      </c>
      <c r="B22" s="60" t="s">
        <v>114</v>
      </c>
      <c r="C22" s="60" t="s">
        <v>115</v>
      </c>
      <c r="D22" s="60" t="s">
        <v>116</v>
      </c>
      <c r="E22" s="60" t="b">
        <v>0</v>
      </c>
      <c r="F22" s="60" t="s">
        <v>117</v>
      </c>
      <c r="G22" s="62">
        <v>0</v>
      </c>
      <c r="H22" s="60" t="s">
        <v>113</v>
      </c>
      <c r="I22"/>
    </row>
    <row r="23" spans="1:9" ht="18">
      <c r="A23" s="60" t="s">
        <v>118</v>
      </c>
      <c r="B23" s="60" t="s">
        <v>119</v>
      </c>
      <c r="C23" s="60" t="s">
        <v>75</v>
      </c>
      <c r="D23" s="60"/>
      <c r="E23" s="60" t="b">
        <v>1</v>
      </c>
      <c r="F23" s="60" t="s">
        <v>120</v>
      </c>
      <c r="G23" s="62">
        <v>0</v>
      </c>
      <c r="H23" s="60" t="s">
        <v>118</v>
      </c>
      <c r="I23"/>
    </row>
    <row r="24" spans="1:9" ht="18">
      <c r="A24" s="60" t="s">
        <v>50</v>
      </c>
      <c r="B24" s="60" t="s">
        <v>121</v>
      </c>
      <c r="C24" s="60" t="s">
        <v>121</v>
      </c>
      <c r="D24" s="60"/>
      <c r="E24" s="60" t="b">
        <v>1</v>
      </c>
      <c r="F24" s="60" t="s">
        <v>122</v>
      </c>
      <c r="G24" s="62">
        <v>0</v>
      </c>
      <c r="H24" s="60" t="s">
        <v>50</v>
      </c>
      <c r="I24"/>
    </row>
    <row r="25" spans="1:9" ht="18">
      <c r="A25" s="60" t="s">
        <v>123</v>
      </c>
      <c r="B25" s="60" t="s">
        <v>124</v>
      </c>
      <c r="C25" s="60" t="s">
        <v>125</v>
      </c>
      <c r="D25" s="60"/>
      <c r="E25" s="60" t="b">
        <v>0</v>
      </c>
      <c r="F25" s="60" t="s">
        <v>126</v>
      </c>
      <c r="G25" s="62">
        <v>0</v>
      </c>
      <c r="H25" s="60" t="s">
        <v>123</v>
      </c>
      <c r="I25"/>
    </row>
    <row r="26" spans="1:9" ht="18">
      <c r="A26" s="60" t="s">
        <v>127</v>
      </c>
      <c r="B26" s="60" t="s">
        <v>128</v>
      </c>
      <c r="C26" s="60" t="s">
        <v>93</v>
      </c>
      <c r="D26" s="60" t="s">
        <v>162</v>
      </c>
      <c r="E26" s="60" t="b">
        <v>0</v>
      </c>
      <c r="F26" s="60" t="s">
        <v>127</v>
      </c>
      <c r="G26" s="62">
        <v>0</v>
      </c>
      <c r="H26" s="60" t="s">
        <v>127</v>
      </c>
      <c r="I26"/>
    </row>
    <row r="27" spans="1:9" ht="18">
      <c r="A27" s="60" t="s">
        <v>129</v>
      </c>
      <c r="B27" s="60" t="s">
        <v>130</v>
      </c>
      <c r="C27" s="60" t="s">
        <v>131</v>
      </c>
      <c r="D27" s="60"/>
      <c r="E27" s="60" t="b">
        <v>0</v>
      </c>
      <c r="F27" s="60" t="s">
        <v>132</v>
      </c>
      <c r="G27" s="62">
        <v>0</v>
      </c>
      <c r="H27" s="60" t="s">
        <v>129</v>
      </c>
      <c r="I27"/>
    </row>
    <row r="28" spans="1:9" ht="18">
      <c r="A28" s="60" t="s">
        <v>133</v>
      </c>
      <c r="B28" s="60" t="s">
        <v>134</v>
      </c>
      <c r="C28" s="60" t="s">
        <v>57</v>
      </c>
      <c r="D28" s="60" t="s">
        <v>135</v>
      </c>
      <c r="E28" s="60" t="b">
        <v>0</v>
      </c>
      <c r="F28" s="60" t="s">
        <v>136</v>
      </c>
      <c r="G28" s="62">
        <v>1</v>
      </c>
      <c r="H28" s="60" t="s">
        <v>4</v>
      </c>
      <c r="I28"/>
    </row>
    <row r="29" spans="1:9" ht="18">
      <c r="A29" s="60" t="s">
        <v>137</v>
      </c>
      <c r="B29" s="60" t="s">
        <v>138</v>
      </c>
      <c r="C29" s="60" t="s">
        <v>93</v>
      </c>
      <c r="D29" s="60" t="s">
        <v>163</v>
      </c>
      <c r="E29" s="60" t="b">
        <v>0</v>
      </c>
      <c r="F29" s="60" t="s">
        <v>139</v>
      </c>
      <c r="G29" s="62">
        <v>1</v>
      </c>
      <c r="H29" s="60" t="s">
        <v>91</v>
      </c>
      <c r="I29"/>
    </row>
    <row r="30" spans="1:9" ht="18">
      <c r="A30" s="60" t="s">
        <v>140</v>
      </c>
      <c r="B30" s="60" t="s">
        <v>141</v>
      </c>
      <c r="C30" s="60" t="s">
        <v>93</v>
      </c>
      <c r="D30" s="60" t="s">
        <v>164</v>
      </c>
      <c r="E30" s="60" t="b">
        <v>0</v>
      </c>
      <c r="F30" s="60" t="s">
        <v>142</v>
      </c>
      <c r="G30" s="62">
        <v>1</v>
      </c>
      <c r="H30" s="60" t="s">
        <v>91</v>
      </c>
      <c r="I30"/>
    </row>
    <row r="31" spans="1:9" ht="18">
      <c r="A31" s="61" t="s">
        <v>143</v>
      </c>
      <c r="B31" s="61" t="s">
        <v>144</v>
      </c>
      <c r="C31" s="61" t="s">
        <v>78</v>
      </c>
      <c r="D31" s="61"/>
      <c r="E31" s="61" t="b">
        <v>1</v>
      </c>
      <c r="F31" s="61" t="s">
        <v>143</v>
      </c>
      <c r="G31" s="63">
        <v>1</v>
      </c>
      <c r="H31" s="61" t="s">
        <v>77</v>
      </c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  <row r="273" spans="1:9" ht="18">
      <c r="A273"/>
      <c r="B273"/>
      <c r="C273"/>
      <c r="D273"/>
      <c r="E273"/>
      <c r="F273"/>
      <c r="G273"/>
      <c r="H273"/>
      <c r="I273"/>
    </row>
    <row r="274" spans="1:9" ht="18">
      <c r="A274"/>
      <c r="B274"/>
      <c r="C274"/>
      <c r="D274"/>
      <c r="E274"/>
      <c r="F274"/>
      <c r="G274"/>
      <c r="H274"/>
      <c r="I274"/>
    </row>
    <row r="275" spans="1:9" ht="18">
      <c r="A275"/>
      <c r="B275"/>
      <c r="C275"/>
      <c r="D275"/>
      <c r="E275"/>
      <c r="F275"/>
      <c r="G275"/>
      <c r="H275"/>
      <c r="I275"/>
    </row>
    <row r="276" spans="1:9" ht="18">
      <c r="A276"/>
      <c r="B276"/>
      <c r="C276"/>
      <c r="D276"/>
      <c r="E276"/>
      <c r="F276"/>
      <c r="G276"/>
      <c r="H276"/>
      <c r="I276"/>
    </row>
    <row r="277" spans="1:9" ht="18">
      <c r="A277"/>
      <c r="B277"/>
      <c r="C277"/>
      <c r="D277"/>
      <c r="E277"/>
      <c r="F277"/>
      <c r="G277"/>
      <c r="H277"/>
      <c r="I277"/>
    </row>
    <row r="278" spans="1:9" ht="18">
      <c r="A278"/>
      <c r="B278"/>
      <c r="C278"/>
      <c r="D278"/>
      <c r="E278"/>
      <c r="F278"/>
      <c r="G278"/>
      <c r="H278"/>
      <c r="I278"/>
    </row>
    <row r="279" spans="1:9" ht="18">
      <c r="A279"/>
      <c r="B279"/>
      <c r="C279"/>
      <c r="D279"/>
      <c r="E279"/>
      <c r="F279"/>
      <c r="G279"/>
      <c r="H279"/>
      <c r="I279"/>
    </row>
    <row r="280" spans="1:9" ht="18">
      <c r="A280"/>
      <c r="B280"/>
      <c r="C280"/>
      <c r="D280"/>
      <c r="E280"/>
      <c r="F280"/>
      <c r="G280"/>
      <c r="H280"/>
      <c r="I280"/>
    </row>
    <row r="281" spans="1:9" ht="18">
      <c r="A281"/>
      <c r="B281"/>
      <c r="C281"/>
      <c r="D281"/>
      <c r="E281"/>
      <c r="F281"/>
      <c r="G281"/>
      <c r="H281"/>
      <c r="I281"/>
    </row>
    <row r="282" spans="1:9" ht="18">
      <c r="A282"/>
      <c r="B282"/>
      <c r="C282"/>
      <c r="D282"/>
      <c r="E282"/>
      <c r="F282"/>
      <c r="G282"/>
      <c r="H282"/>
      <c r="I282"/>
    </row>
    <row r="283" spans="1:9" ht="18">
      <c r="A283"/>
      <c r="B283"/>
      <c r="C283"/>
      <c r="D283"/>
      <c r="E283"/>
      <c r="F283"/>
      <c r="G283"/>
      <c r="H283"/>
      <c r="I283"/>
    </row>
    <row r="284" spans="1:9" ht="18">
      <c r="A284"/>
      <c r="B284"/>
      <c r="C284"/>
      <c r="D284"/>
      <c r="E284"/>
      <c r="F284"/>
      <c r="G284"/>
      <c r="H284"/>
      <c r="I284"/>
    </row>
    <row r="285" spans="1:9" ht="18">
      <c r="A285"/>
      <c r="B285"/>
      <c r="C285"/>
      <c r="D285"/>
      <c r="E285"/>
      <c r="F285"/>
      <c r="G285"/>
      <c r="H285"/>
      <c r="I285"/>
    </row>
    <row r="286" spans="1:9" ht="18">
      <c r="A286"/>
      <c r="B286"/>
      <c r="C286"/>
      <c r="D286"/>
      <c r="E286"/>
      <c r="F286"/>
      <c r="G286"/>
      <c r="H286"/>
      <c r="I286"/>
    </row>
    <row r="287" spans="1:9" ht="18">
      <c r="A287"/>
      <c r="B287"/>
      <c r="C287"/>
      <c r="D287"/>
      <c r="E287"/>
      <c r="F287"/>
      <c r="G287"/>
      <c r="H287"/>
      <c r="I287"/>
    </row>
    <row r="288" spans="1:9" ht="18">
      <c r="A288"/>
      <c r="B288"/>
      <c r="C288"/>
      <c r="D288"/>
      <c r="E288"/>
      <c r="F288"/>
      <c r="G288"/>
      <c r="H288"/>
      <c r="I288"/>
    </row>
    <row r="289" spans="1:9" ht="18">
      <c r="A289"/>
      <c r="B289"/>
      <c r="C289"/>
      <c r="D289"/>
      <c r="E289"/>
      <c r="F289"/>
      <c r="G289"/>
      <c r="H289"/>
      <c r="I289"/>
    </row>
    <row r="290" spans="1:9" ht="18">
      <c r="A290"/>
      <c r="B290"/>
      <c r="C290"/>
      <c r="D290"/>
      <c r="E290"/>
      <c r="F290"/>
      <c r="G290"/>
      <c r="H290"/>
      <c r="I290"/>
    </row>
    <row r="291" spans="1:9" ht="18">
      <c r="A291"/>
      <c r="B291"/>
      <c r="C291"/>
      <c r="D291"/>
      <c r="E291"/>
      <c r="F291"/>
      <c r="G291"/>
      <c r="H291"/>
      <c r="I291"/>
    </row>
    <row r="292" spans="1:9" ht="18">
      <c r="A292"/>
      <c r="B292"/>
      <c r="C292"/>
      <c r="D292"/>
      <c r="E292"/>
      <c r="F292"/>
      <c r="G292"/>
      <c r="H292"/>
      <c r="I292"/>
    </row>
    <row r="293" spans="1:9" ht="18">
      <c r="A293"/>
      <c r="B293"/>
      <c r="C293"/>
      <c r="D293"/>
      <c r="E293"/>
      <c r="F293"/>
      <c r="G293"/>
      <c r="H293"/>
      <c r="I293"/>
    </row>
    <row r="294" spans="1:9" ht="18">
      <c r="A294"/>
      <c r="B294"/>
      <c r="C294"/>
      <c r="D294"/>
      <c r="E294"/>
      <c r="F294"/>
      <c r="G294"/>
      <c r="H294"/>
      <c r="I294"/>
    </row>
    <row r="295" spans="1:9" ht="18">
      <c r="A295"/>
      <c r="B295"/>
      <c r="C295"/>
      <c r="D295"/>
      <c r="E295"/>
      <c r="F295"/>
      <c r="G295"/>
      <c r="H295"/>
      <c r="I295"/>
    </row>
    <row r="296" spans="1:9" ht="18">
      <c r="A296"/>
      <c r="B296"/>
      <c r="C296"/>
      <c r="D296"/>
      <c r="E296"/>
      <c r="F296"/>
      <c r="G296"/>
      <c r="H296"/>
      <c r="I296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B8" sqref="B8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12</v>
      </c>
      <c r="B1" s="4"/>
      <c r="C1" s="4" t="s">
        <v>39</v>
      </c>
      <c r="D1" s="4" t="s">
        <v>34</v>
      </c>
      <c r="E1" s="32" t="s">
        <v>38</v>
      </c>
      <c r="F1" s="90">
        <f ca="1">SUM($F$2:$F$101)</f>
        <v>0</v>
      </c>
      <c r="H1" s="27" t="s">
        <v>37</v>
      </c>
      <c r="I1" s="27" t="s">
        <v>35</v>
      </c>
      <c r="J1" s="27" t="s">
        <v>36</v>
      </c>
    </row>
    <row r="2" spans="1:10">
      <c r="A2" s="21">
        <f>ROW()-1</f>
        <v>1</v>
      </c>
      <c r="B2" s="29">
        <f ca="1">IF(AND(I2,NOT(J2),NOT(H2)),1,0)</f>
        <v>0</v>
      </c>
      <c r="C2" s="33" t="s">
        <v>46</v>
      </c>
      <c r="D2" s="22" t="s">
        <v>46</v>
      </c>
      <c r="E2" s="22" t="s">
        <v>166</v>
      </c>
      <c r="F2" s="87">
        <f ca="1">得意先!ERRORS</f>
        <v>0</v>
      </c>
      <c r="G2" s="51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165</v>
      </c>
      <c r="D3" s="24" t="s">
        <v>165</v>
      </c>
      <c r="E3" s="24" t="s">
        <v>171</v>
      </c>
      <c r="F3" s="88">
        <f ca="1">受注!ERRORS</f>
        <v>0</v>
      </c>
      <c r="G3" s="51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174</v>
      </c>
      <c r="D4" s="24" t="s">
        <v>174</v>
      </c>
      <c r="E4" s="24" t="s">
        <v>175</v>
      </c>
      <c r="F4" s="88">
        <f ca="1">受注明細!ERRORS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/>
      <c r="D5" s="24"/>
      <c r="E5" s="24"/>
      <c r="F5" s="88"/>
      <c r="H5" s="28" t="b">
        <f t="shared" si="2"/>
        <v>0</v>
      </c>
      <c r="I5" s="28" t="b">
        <f t="shared" si="3"/>
        <v>0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23"/>
      <c r="D6" s="24"/>
      <c r="E6" s="24"/>
      <c r="F6" s="8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23"/>
      <c r="D7" s="24"/>
      <c r="E7" s="24"/>
      <c r="F7" s="8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23"/>
      <c r="D8" s="24"/>
      <c r="E8" s="24"/>
      <c r="F8" s="8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23"/>
      <c r="D9" s="24"/>
      <c r="E9" s="24"/>
      <c r="F9" s="8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23"/>
      <c r="D10" s="24"/>
      <c r="E10" s="24"/>
      <c r="F10" s="8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23"/>
      <c r="D11" s="24"/>
      <c r="E11" s="24"/>
      <c r="F11" s="8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23"/>
      <c r="D12" s="24"/>
      <c r="E12" s="24"/>
      <c r="F12" s="8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23"/>
      <c r="D13" s="24"/>
      <c r="E13" s="24"/>
      <c r="F13" s="8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23"/>
      <c r="D14" s="24"/>
      <c r="E14" s="24"/>
      <c r="F14" s="8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23"/>
      <c r="D15" s="24"/>
      <c r="E15" s="24"/>
      <c r="F15" s="8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23"/>
      <c r="D16" s="24"/>
      <c r="E16" s="24"/>
      <c r="F16" s="8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23"/>
      <c r="D17" s="24"/>
      <c r="E17" s="24"/>
      <c r="F17" s="8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8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23"/>
      <c r="D19" s="24"/>
      <c r="E19" s="24"/>
      <c r="F19" s="8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23"/>
      <c r="D20" s="24"/>
      <c r="E20" s="24"/>
      <c r="F20" s="8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23"/>
      <c r="D21" s="24"/>
      <c r="E21" s="24"/>
      <c r="F21" s="8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23"/>
      <c r="D22" s="24"/>
      <c r="E22" s="24"/>
      <c r="F22" s="8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23"/>
      <c r="D23" s="24"/>
      <c r="E23" s="24"/>
      <c r="F23" s="8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23"/>
      <c r="D24" s="24"/>
      <c r="E24" s="24"/>
      <c r="F24" s="8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23"/>
      <c r="D25" s="24"/>
      <c r="E25" s="24"/>
      <c r="F25" s="8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23"/>
      <c r="D26" s="24"/>
      <c r="E26" s="24"/>
      <c r="F26" s="8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23"/>
      <c r="D27" s="24"/>
      <c r="E27" s="24"/>
      <c r="F27" s="8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23"/>
      <c r="D28" s="24"/>
      <c r="E28" s="24"/>
      <c r="F28" s="8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23"/>
      <c r="D29" s="24"/>
      <c r="E29" s="24"/>
      <c r="F29" s="8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23"/>
      <c r="D30" s="24"/>
      <c r="E30" s="24"/>
      <c r="F30" s="8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23"/>
      <c r="D31" s="24"/>
      <c r="E31" s="24"/>
      <c r="F31" s="8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23"/>
      <c r="D32" s="24"/>
      <c r="E32" s="24"/>
      <c r="F32" s="8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23"/>
      <c r="D33" s="24"/>
      <c r="E33" s="24"/>
      <c r="F33" s="8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23"/>
      <c r="D34" s="24"/>
      <c r="E34" s="24"/>
      <c r="F34" s="8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23"/>
      <c r="D35" s="24"/>
      <c r="E35" s="24"/>
      <c r="F35" s="8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23"/>
      <c r="D36" s="24"/>
      <c r="E36" s="24"/>
      <c r="F36" s="8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23"/>
      <c r="D37" s="24"/>
      <c r="E37" s="24"/>
      <c r="F37" s="8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23"/>
      <c r="D38" s="24"/>
      <c r="E38" s="24"/>
      <c r="F38" s="8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23"/>
      <c r="D39" s="24"/>
      <c r="E39" s="24"/>
      <c r="F39" s="8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23"/>
      <c r="D40" s="24"/>
      <c r="E40" s="24"/>
      <c r="F40" s="8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23"/>
      <c r="D41" s="24"/>
      <c r="E41" s="24"/>
      <c r="F41" s="8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23"/>
      <c r="D42" s="24"/>
      <c r="E42" s="24"/>
      <c r="F42" s="8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23"/>
      <c r="D43" s="24"/>
      <c r="E43" s="24"/>
      <c r="F43" s="8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8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8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8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8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8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8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8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8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8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8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8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8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8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8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8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8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8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8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8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8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8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8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8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8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8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8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8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8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8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8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8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8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8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8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8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8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8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8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8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8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8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8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8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8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8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8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8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8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8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8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8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8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8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8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8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8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8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8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159" priority="4" operator="equal">
      <formula>1</formula>
    </cfRule>
  </conditionalFormatting>
  <conditionalFormatting sqref="D2:E101">
    <cfRule type="expression" dxfId="158" priority="3">
      <formula>$J2</formula>
    </cfRule>
  </conditionalFormatting>
  <conditionalFormatting sqref="F2:F101">
    <cfRule type="cellIs" dxfId="157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得意先'!A1" display="得意先" xr:uid="{201B48B1-1E58-4EF8-A450-E680FAE6AD71}"/>
    <hyperlink ref="C3" location="'受注'!A1" display="受注" xr:uid="{08AED5F8-B494-40E9-B83C-FB29AE7B6D07}"/>
    <hyperlink ref="C4" location="'受注明細'!A1" display="受注明細" xr:uid="{F26B002B-618A-4C26-B2FD-AAD50A147C98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2">
        <f ca="1">OR(AG:AG)+0</f>
        <v>1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1"/>
      <c r="E2" s="85" t="s">
        <v>157</v>
      </c>
      <c r="F2" s="86" t="s">
        <v>158</v>
      </c>
      <c r="G2" s="40"/>
      <c r="AF2" s="7" t="s">
        <v>17</v>
      </c>
      <c r="AG2" s="7" t="b">
        <f ca="1">OR(ISERROR(TABLE_JP),ISERROR(TABLE_EN))</f>
        <v>1</v>
      </c>
    </row>
    <row r="3" spans="1:43">
      <c r="B3" s="65" t="str">
        <f>AQ3</f>
        <v>フィールドの設定が１つもありません。</v>
      </c>
      <c r="AE3" s="7" t="s">
        <v>8</v>
      </c>
      <c r="AF3" s="7" t="s">
        <v>25</v>
      </c>
      <c r="AG3" s="7" t="b">
        <f>AI6="N/A"</f>
        <v>1</v>
      </c>
      <c r="AH3" s="7" t="s">
        <v>221</v>
      </c>
      <c r="AI3" s="7" t="s">
        <v>179</v>
      </c>
      <c r="AQ3" s="114" t="str">
        <f>IF(AG3,AH3,AQ4)</f>
        <v>フィールドの設定が１つもありません。</v>
      </c>
    </row>
    <row r="4" spans="1:43" ht="20">
      <c r="A4" s="10" t="s">
        <v>44</v>
      </c>
      <c r="E4" s="112" t="s">
        <v>204</v>
      </c>
      <c r="K4" s="10" t="s">
        <v>45</v>
      </c>
      <c r="T4" s="65" t="s">
        <v>149</v>
      </c>
      <c r="AF4" s="7" t="s">
        <v>19</v>
      </c>
      <c r="AG4" s="7" t="b">
        <f ca="1">OR(T6:T105)</f>
        <v>0</v>
      </c>
      <c r="AH4" s="7" t="s">
        <v>218</v>
      </c>
      <c r="AI4" s="96" t="s">
        <v>185</v>
      </c>
      <c r="AJ4" s="96" t="s">
        <v>186</v>
      </c>
      <c r="AK4" s="96" t="s">
        <v>8</v>
      </c>
      <c r="AL4" s="96" t="s">
        <v>180</v>
      </c>
      <c r="AM4" s="96" t="s">
        <v>181</v>
      </c>
      <c r="AN4" s="96" t="s">
        <v>182</v>
      </c>
      <c r="AO4" s="96" t="s">
        <v>183</v>
      </c>
      <c r="AP4" s="96" t="s">
        <v>184</v>
      </c>
      <c r="AQ4" s="115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5" t="str">
        <f>$AQ$7</f>
        <v>PKの指定がありません。</v>
      </c>
      <c r="T5" s="7" t="s">
        <v>19</v>
      </c>
      <c r="U5" s="7" t="s">
        <v>23</v>
      </c>
      <c r="AF5" s="7" t="s">
        <v>23</v>
      </c>
      <c r="AG5" s="7" t="b">
        <f>OR(U6:U105)</f>
        <v>0</v>
      </c>
      <c r="AH5" s="7" t="s">
        <v>219</v>
      </c>
      <c r="AI5" s="56">
        <f>COUNTA(AI6:AI105)</f>
        <v>1</v>
      </c>
      <c r="AJ5" s="66">
        <f>COUNTA(AJ6:AJ105)</f>
        <v>1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47"/>
      <c r="F6" s="116"/>
      <c r="G6" s="37" t="str">
        <f ca="1">IFERROR(VLOOKUP(B6,項目!DATA_AREA,4,FALSE),"")</f>
        <v/>
      </c>
      <c r="H6" s="11" t="str">
        <f ca="1">IFERROR(VLOOKUP(B6,項目!DATA_AREA,5,FALSE),"")</f>
        <v/>
      </c>
      <c r="K6" s="50" t="s">
        <v>177</v>
      </c>
      <c r="L6" s="112" t="s">
        <v>202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150</v>
      </c>
      <c r="AF6" s="7" t="s">
        <v>24</v>
      </c>
      <c r="AG6" s="119" t="b">
        <v>0</v>
      </c>
      <c r="AH6" s="7" t="s">
        <v>220</v>
      </c>
      <c r="AI6" s="56" t="s">
        <v>33</v>
      </c>
      <c r="AJ6" s="66" t="s">
        <v>33</v>
      </c>
      <c r="AK6" s="95" t="s">
        <v>179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48"/>
      <c r="F7" s="117"/>
      <c r="G7" s="38" t="str">
        <f ca="1">IFERROR(VLOOKUP(B7,項目!DATA_AREA,4,FALSE),"")</f>
        <v/>
      </c>
      <c r="H7" s="12" t="str">
        <f ca="1">IFERROR(VLOOKUP(B7,項目!DATA_AREA,5,FALSE),"")</f>
        <v/>
      </c>
      <c r="K7" s="53" t="s">
        <v>12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si="1"/>
        <v>0</v>
      </c>
      <c r="V7" s="19"/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1</v>
      </c>
      <c r="AH7" s="7" t="s">
        <v>211</v>
      </c>
      <c r="AI7" s="56"/>
      <c r="AJ7" s="66"/>
      <c r="AK7" s="95"/>
      <c r="AL7" s="83"/>
      <c r="AM7" s="83"/>
      <c r="AN7" s="83"/>
      <c r="AO7" s="83"/>
      <c r="AP7" s="83"/>
      <c r="AQ7" s="114" t="str">
        <f>IF(AG7,AH7,AQ8)</f>
        <v>PKの指定がありません。</v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14</v>
      </c>
      <c r="L8" s="68"/>
      <c r="M8" s="69"/>
      <c r="N8" s="69"/>
      <c r="O8" s="69"/>
      <c r="P8" s="70"/>
      <c r="R8" s="83" t="str">
        <f>_xlfn.CONCAT(L8:P8)</f>
        <v/>
      </c>
      <c r="T8" s="19" t="b">
        <f t="shared" ca="1" si="0"/>
        <v>0</v>
      </c>
      <c r="U8" s="19" t="b">
        <f t="shared" si="1"/>
        <v>0</v>
      </c>
      <c r="V8" s="19"/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217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/>
      <c r="AF9" s="7" t="s">
        <v>23</v>
      </c>
      <c r="AG9" s="7" t="b">
        <f>OR(Y8:AC8)</f>
        <v>0</v>
      </c>
      <c r="AH9" s="7" t="s">
        <v>212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1"/>
        <v>0</v>
      </c>
      <c r="V10" s="19"/>
      <c r="AE10" s="7" t="s">
        <v>48</v>
      </c>
      <c r="AF10" s="7" t="s">
        <v>153</v>
      </c>
      <c r="AG10" s="7" t="b">
        <f ca="1">OR($Y$13:$AC$22)</f>
        <v>0</v>
      </c>
      <c r="AH10" s="7" t="s">
        <v>216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47</v>
      </c>
      <c r="L11" s="112" t="s">
        <v>49</v>
      </c>
      <c r="T11" s="19" t="b">
        <f t="shared" ca="1" si="0"/>
        <v>0</v>
      </c>
      <c r="U11" s="19" t="b">
        <f t="shared" si="1"/>
        <v>0</v>
      </c>
      <c r="V11" s="19"/>
      <c r="AF11" s="7" t="s">
        <v>152</v>
      </c>
      <c r="AG11" s="7" t="b">
        <f>OR($AD$13:$AD$22)</f>
        <v>0</v>
      </c>
      <c r="AH11" s="7" t="s">
        <v>210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12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1"/>
        <v>0</v>
      </c>
      <c r="V12" s="19"/>
      <c r="X12" s="65" t="s">
        <v>151</v>
      </c>
      <c r="AD12" s="7" t="s">
        <v>152</v>
      </c>
      <c r="AE12" s="7" t="s">
        <v>193</v>
      </c>
      <c r="AF12" s="7" t="s">
        <v>192</v>
      </c>
      <c r="AG12" s="7" t="b">
        <f ca="1">OR($Y$26:$AC$26,$Y$31:$AC$31,$Y$36:$AC$36,$Y$41:$AC$41,$Y$46:$AC$46)</f>
        <v>0</v>
      </c>
      <c r="AH12" s="7" t="s">
        <v>207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/>
      <c r="X13" s="7" t="s">
        <v>154</v>
      </c>
      <c r="Y13" s="19" t="b">
        <f t="shared" ref="Y13:Y22" ca="1" si="2">OR(AND(L13&lt;&gt;"",ISNA(MATCH(L13,FIELDリスト,0))),COUNTIF($L13:$P13,L13)&gt;1)</f>
        <v>0</v>
      </c>
      <c r="Z13" s="19" t="b">
        <f t="shared" ref="Z13:Z22" ca="1" si="3">OR(AND(M13&lt;&gt;"",ISNA(MATCH(M13,FIELDリスト,0))),COUNTIF($L13:$P13,M13)&gt;1)</f>
        <v>0</v>
      </c>
      <c r="AA13" s="19" t="b">
        <f t="shared" ref="AA13:AA22" ca="1" si="4">OR(AND(N13&lt;&gt;"",ISNA(MATCH(N13,FIELDリスト,0))),COUNTIF($L13:$P13,N13)&gt;1)</f>
        <v>0</v>
      </c>
      <c r="AB13" s="19" t="b">
        <f t="shared" ref="AB13:AB22" ca="1" si="5">OR(AND(O13&lt;&gt;"",ISNA(MATCH(O13,FIELDリスト,0))),COUNTIF($L13:$P13,O13)&gt;1)</f>
        <v>0</v>
      </c>
      <c r="AC13" s="19" t="b">
        <f t="shared" ref="AC13:AC22" ca="1" si="6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153</v>
      </c>
      <c r="AG13" s="7" t="b">
        <f ca="1">OR($Y$27:$AC$28,$Y$32:$AC$33,$Y$37:$AC$38,$Y$42:$AC$43,$Y$47:$AC$48)</f>
        <v>0</v>
      </c>
      <c r="AH13" s="7" t="s">
        <v>213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7">_xlfn.CONCAT(L14:P14)</f>
        <v/>
      </c>
      <c r="T14" s="19" t="b">
        <f t="shared" ca="1" si="0"/>
        <v>0</v>
      </c>
      <c r="U14" s="19" t="b">
        <f t="shared" si="1"/>
        <v>0</v>
      </c>
      <c r="V14" s="19"/>
      <c r="X14" s="7" t="s">
        <v>155</v>
      </c>
      <c r="Y14" s="19" t="b">
        <f t="shared" ca="1" si="2"/>
        <v>0</v>
      </c>
      <c r="Z14" s="19" t="b">
        <f t="shared" ca="1" si="3"/>
        <v>0</v>
      </c>
      <c r="AA14" s="19" t="b">
        <f t="shared" ca="1" si="4"/>
        <v>0</v>
      </c>
      <c r="AB14" s="19" t="b">
        <f t="shared" ca="1" si="5"/>
        <v>0</v>
      </c>
      <c r="AC14" s="19" t="b">
        <f t="shared" ca="1" si="6"/>
        <v>0</v>
      </c>
      <c r="AD14" s="19" t="b">
        <f t="shared" ref="AD14:AD22" si="8">AND(R14&lt;&gt;"",COUNTIF(R$13:R$22,R14)&gt;1)</f>
        <v>0</v>
      </c>
      <c r="AF14" s="7" t="s">
        <v>194</v>
      </c>
      <c r="AG14" s="7" t="b">
        <f>OR($AD$26,$AD$31,$AD$36,$AD$41,$AD$46)</f>
        <v>0</v>
      </c>
      <c r="AH14" s="7" t="s">
        <v>215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7"/>
        <v/>
      </c>
      <c r="T15" s="19" t="b">
        <f t="shared" ca="1" si="0"/>
        <v>0</v>
      </c>
      <c r="U15" s="19" t="b">
        <f t="shared" si="1"/>
        <v>0</v>
      </c>
      <c r="V15" s="19"/>
      <c r="Y15" s="19" t="b">
        <f t="shared" ca="1" si="2"/>
        <v>0</v>
      </c>
      <c r="Z15" s="19" t="b">
        <f t="shared" ca="1" si="3"/>
        <v>0</v>
      </c>
      <c r="AA15" s="19" t="b">
        <f t="shared" ca="1" si="4"/>
        <v>0</v>
      </c>
      <c r="AB15" s="19" t="b">
        <f t="shared" ca="1" si="5"/>
        <v>0</v>
      </c>
      <c r="AC15" s="19" t="b">
        <f t="shared" ca="1" si="6"/>
        <v>0</v>
      </c>
      <c r="AD15" s="19" t="b">
        <f t="shared" si="8"/>
        <v>0</v>
      </c>
      <c r="AF15" s="7" t="s">
        <v>152</v>
      </c>
      <c r="AG15" s="7" t="b">
        <f>OR($AD$27,$AD$32,$AD$37,$AD$42,$AD$47)</f>
        <v>0</v>
      </c>
      <c r="AH15" s="7" t="s">
        <v>208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7"/>
        <v/>
      </c>
      <c r="T16" s="19" t="b">
        <f t="shared" ca="1" si="0"/>
        <v>0</v>
      </c>
      <c r="U16" s="19" t="b">
        <f t="shared" si="1"/>
        <v>0</v>
      </c>
      <c r="V16" s="19"/>
      <c r="Y16" s="19" t="b">
        <f t="shared" ca="1" si="2"/>
        <v>0</v>
      </c>
      <c r="Z16" s="19" t="b">
        <f t="shared" ca="1" si="3"/>
        <v>0</v>
      </c>
      <c r="AA16" s="19" t="b">
        <f t="shared" ca="1" si="4"/>
        <v>0</v>
      </c>
      <c r="AB16" s="19" t="b">
        <f t="shared" ca="1" si="5"/>
        <v>0</v>
      </c>
      <c r="AC16" s="19" t="b">
        <f t="shared" ca="1" si="6"/>
        <v>0</v>
      </c>
      <c r="AD16" s="19" t="b">
        <f t="shared" si="8"/>
        <v>0</v>
      </c>
      <c r="AF16" s="7" t="s">
        <v>205</v>
      </c>
      <c r="AG16" s="7" t="b">
        <f ca="1">OR($AD$28,$AD$33,$AD$38,$AD$43,$AD$48)</f>
        <v>0</v>
      </c>
      <c r="AH16" s="7" t="s">
        <v>209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7"/>
        <v/>
      </c>
      <c r="T17" s="19" t="b">
        <f t="shared" ca="1" si="0"/>
        <v>0</v>
      </c>
      <c r="U17" s="19" t="b">
        <f t="shared" si="1"/>
        <v>0</v>
      </c>
      <c r="V17" s="19"/>
      <c r="Y17" s="19" t="b">
        <f t="shared" ca="1" si="2"/>
        <v>0</v>
      </c>
      <c r="Z17" s="19" t="b">
        <f t="shared" ca="1" si="3"/>
        <v>0</v>
      </c>
      <c r="AA17" s="19" t="b">
        <f t="shared" ca="1" si="4"/>
        <v>0</v>
      </c>
      <c r="AB17" s="19" t="b">
        <f t="shared" ca="1" si="5"/>
        <v>0</v>
      </c>
      <c r="AC17" s="19" t="b">
        <f t="shared" ca="1" si="6"/>
        <v>0</v>
      </c>
      <c r="AD17" s="19" t="b">
        <f t="shared" si="8"/>
        <v>0</v>
      </c>
      <c r="AE17" s="7" t="s">
        <v>13</v>
      </c>
      <c r="AF17" s="7" t="s">
        <v>153</v>
      </c>
      <c r="AG17" s="7" t="b">
        <f ca="1">OR($Y$55:$AC$64)</f>
        <v>0</v>
      </c>
      <c r="AH17" s="7" t="s">
        <v>214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7"/>
        <v/>
      </c>
      <c r="T18" s="19" t="b">
        <f t="shared" ca="1" si="0"/>
        <v>0</v>
      </c>
      <c r="U18" s="19" t="b">
        <f t="shared" si="1"/>
        <v>0</v>
      </c>
      <c r="V18" s="19"/>
      <c r="Y18" s="19" t="b">
        <f t="shared" ca="1" si="2"/>
        <v>0</v>
      </c>
      <c r="Z18" s="19" t="b">
        <f t="shared" ca="1" si="3"/>
        <v>0</v>
      </c>
      <c r="AA18" s="19" t="b">
        <f t="shared" ca="1" si="4"/>
        <v>0</v>
      </c>
      <c r="AB18" s="19" t="b">
        <f t="shared" ca="1" si="5"/>
        <v>0</v>
      </c>
      <c r="AC18" s="19" t="b">
        <f t="shared" ca="1" si="6"/>
        <v>0</v>
      </c>
      <c r="AD18" s="19" t="b">
        <f t="shared" si="8"/>
        <v>0</v>
      </c>
      <c r="AF18" s="7" t="s">
        <v>152</v>
      </c>
      <c r="AG18" s="7" t="b">
        <f>OR($AD$55:$AD$64)</f>
        <v>0</v>
      </c>
      <c r="AH18" s="7" t="s">
        <v>206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7"/>
        <v/>
      </c>
      <c r="T19" s="19" t="b">
        <f t="shared" ca="1" si="0"/>
        <v>0</v>
      </c>
      <c r="U19" s="19" t="b">
        <f t="shared" si="1"/>
        <v>0</v>
      </c>
      <c r="V19" s="19"/>
      <c r="Y19" s="19" t="b">
        <f t="shared" ca="1" si="2"/>
        <v>0</v>
      </c>
      <c r="Z19" s="19" t="b">
        <f t="shared" ca="1" si="3"/>
        <v>0</v>
      </c>
      <c r="AA19" s="19" t="b">
        <f t="shared" ca="1" si="4"/>
        <v>0</v>
      </c>
      <c r="AB19" s="19" t="b">
        <f t="shared" ca="1" si="5"/>
        <v>0</v>
      </c>
      <c r="AC19" s="19" t="b">
        <f t="shared" ca="1" si="6"/>
        <v>0</v>
      </c>
      <c r="AD19" s="19" t="b">
        <f t="shared" si="8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7"/>
        <v/>
      </c>
      <c r="T20" s="19" t="b">
        <f t="shared" ca="1" si="0"/>
        <v>0</v>
      </c>
      <c r="U20" s="19" t="b">
        <f t="shared" si="1"/>
        <v>0</v>
      </c>
      <c r="V20" s="19"/>
      <c r="Y20" s="19" t="b">
        <f t="shared" ca="1" si="2"/>
        <v>0</v>
      </c>
      <c r="Z20" s="19" t="b">
        <f t="shared" ca="1" si="3"/>
        <v>0</v>
      </c>
      <c r="AA20" s="19" t="b">
        <f t="shared" ca="1" si="4"/>
        <v>0</v>
      </c>
      <c r="AB20" s="19" t="b">
        <f t="shared" ca="1" si="5"/>
        <v>0</v>
      </c>
      <c r="AC20" s="19" t="b">
        <f t="shared" ca="1" si="6"/>
        <v>0</v>
      </c>
      <c r="AD20" s="19" t="b">
        <f t="shared" si="8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7"/>
        <v/>
      </c>
      <c r="T21" s="19" t="b">
        <f t="shared" ca="1" si="0"/>
        <v>0</v>
      </c>
      <c r="U21" s="19" t="b">
        <f t="shared" si="1"/>
        <v>0</v>
      </c>
      <c r="V21" s="19"/>
      <c r="Y21" s="19" t="b">
        <f t="shared" ca="1" si="2"/>
        <v>0</v>
      </c>
      <c r="Z21" s="19" t="b">
        <f t="shared" ca="1" si="3"/>
        <v>0</v>
      </c>
      <c r="AA21" s="19" t="b">
        <f t="shared" ca="1" si="4"/>
        <v>0</v>
      </c>
      <c r="AB21" s="19" t="b">
        <f t="shared" ca="1" si="5"/>
        <v>0</v>
      </c>
      <c r="AC21" s="19" t="b">
        <f t="shared" ca="1" si="6"/>
        <v>0</v>
      </c>
      <c r="AD21" s="19" t="b">
        <f t="shared" si="8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7"/>
        <v/>
      </c>
      <c r="T22" s="19" t="b">
        <f t="shared" ca="1" si="0"/>
        <v>0</v>
      </c>
      <c r="U22" s="19" t="b">
        <f t="shared" si="1"/>
        <v>0</v>
      </c>
      <c r="V22" s="19"/>
      <c r="Y22" s="19" t="b">
        <f t="shared" ca="1" si="2"/>
        <v>0</v>
      </c>
      <c r="Z22" s="19" t="b">
        <f t="shared" ca="1" si="3"/>
        <v>0</v>
      </c>
      <c r="AA22" s="19" t="b">
        <f t="shared" ca="1" si="4"/>
        <v>0</v>
      </c>
      <c r="AB22" s="19" t="b">
        <f t="shared" ca="1" si="5"/>
        <v>0</v>
      </c>
      <c r="AC22" s="19" t="b">
        <f t="shared" ca="1" si="6"/>
        <v>0</v>
      </c>
      <c r="AD22" s="19" t="b">
        <f t="shared" si="8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1"/>
        <v>0</v>
      </c>
      <c r="V24" s="19"/>
      <c r="X24" s="65" t="s">
        <v>191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176</v>
      </c>
      <c r="L25" s="112" t="s">
        <v>203</v>
      </c>
      <c r="T25" s="19" t="b">
        <f t="shared" ca="1" si="0"/>
        <v>0</v>
      </c>
      <c r="U25" s="19" t="b">
        <f t="shared" si="1"/>
        <v>0</v>
      </c>
      <c r="V25" s="19"/>
      <c r="X25" s="7" t="s">
        <v>192</v>
      </c>
      <c r="AD25" s="7" t="s">
        <v>194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196</v>
      </c>
      <c r="L26" s="100"/>
      <c r="M26" s="104" t="s">
        <v>197</v>
      </c>
      <c r="N26" s="100"/>
      <c r="O26" s="104" t="s">
        <v>198</v>
      </c>
      <c r="P26" s="100"/>
      <c r="T26" s="19" t="b">
        <f t="shared" ca="1" si="0"/>
        <v>0</v>
      </c>
      <c r="U26" s="19" t="b">
        <f t="shared" si="1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194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/>
      <c r="X27" s="7" t="s">
        <v>154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152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199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1"/>
        <v>0</v>
      </c>
      <c r="V28" s="19"/>
      <c r="X28" s="7" t="s">
        <v>155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205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200</v>
      </c>
      <c r="L29" s="93"/>
      <c r="M29" s="81"/>
      <c r="N29" s="81"/>
      <c r="O29" s="81"/>
      <c r="P29" s="82"/>
      <c r="R29" s="83" t="str">
        <f t="shared" ref="R29" si="9">_xlfn.CONCAT(L29:P29)</f>
        <v/>
      </c>
      <c r="T29" s="19" t="b">
        <f t="shared" ca="1" si="0"/>
        <v>0</v>
      </c>
      <c r="U29" s="19" t="b">
        <f t="shared" si="1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196</v>
      </c>
      <c r="L31" s="100"/>
      <c r="M31" s="104" t="s">
        <v>197</v>
      </c>
      <c r="N31" s="100"/>
      <c r="O31" s="104" t="s">
        <v>198</v>
      </c>
      <c r="P31" s="100"/>
      <c r="T31" s="19" t="b">
        <f t="shared" ca="1" si="0"/>
        <v>0</v>
      </c>
      <c r="U31" s="19" t="b">
        <f t="shared" si="1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199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1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200</v>
      </c>
      <c r="L34" s="93"/>
      <c r="M34" s="81"/>
      <c r="N34" s="81"/>
      <c r="O34" s="81"/>
      <c r="P34" s="82"/>
      <c r="R34" s="83" t="str">
        <f t="shared" ref="R34" si="10">_xlfn.CONCAT(L34:P34)</f>
        <v/>
      </c>
      <c r="T34" s="19" t="b">
        <f t="shared" ca="1" si="0"/>
        <v>0</v>
      </c>
      <c r="U34" s="19" t="b">
        <f t="shared" si="1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196</v>
      </c>
      <c r="L36" s="100"/>
      <c r="M36" s="104" t="s">
        <v>197</v>
      </c>
      <c r="N36" s="100"/>
      <c r="O36" s="104" t="s">
        <v>198</v>
      </c>
      <c r="P36" s="100"/>
      <c r="T36" s="19" t="b">
        <f t="shared" ca="1" si="0"/>
        <v>0</v>
      </c>
      <c r="U36" s="19" t="b">
        <f t="shared" si="1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199</v>
      </c>
      <c r="L38" s="92"/>
      <c r="M38" s="73"/>
      <c r="N38" s="73"/>
      <c r="O38" s="73"/>
      <c r="P38" s="74"/>
      <c r="T38" s="19" t="b">
        <f t="shared" ref="T38:T69" ca="1" si="11">AND(B38&lt;&gt;"",ISNA(MATCH(B38,項目リスト,0)))</f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200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11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1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196</v>
      </c>
      <c r="L41" s="100"/>
      <c r="M41" s="104" t="s">
        <v>197</v>
      </c>
      <c r="N41" s="100"/>
      <c r="O41" s="104" t="s">
        <v>198</v>
      </c>
      <c r="P41" s="100"/>
      <c r="T41" s="19" t="b">
        <f t="shared" ca="1" si="11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11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199</v>
      </c>
      <c r="L43" s="92"/>
      <c r="M43" s="73"/>
      <c r="N43" s="73"/>
      <c r="O43" s="73"/>
      <c r="P43" s="74"/>
      <c r="T43" s="19" t="b">
        <f t="shared" ca="1" si="11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200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11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1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196</v>
      </c>
      <c r="L46" s="100"/>
      <c r="M46" s="104" t="s">
        <v>197</v>
      </c>
      <c r="N46" s="100"/>
      <c r="O46" s="104" t="s">
        <v>198</v>
      </c>
      <c r="P46" s="100"/>
      <c r="T46" s="19" t="b">
        <f t="shared" ca="1" si="11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11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199</v>
      </c>
      <c r="L48" s="92"/>
      <c r="M48" s="73"/>
      <c r="N48" s="73"/>
      <c r="O48" s="73"/>
      <c r="P48" s="74"/>
      <c r="T48" s="19" t="b">
        <f t="shared" ca="1" si="11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200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11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1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11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11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2" t="s">
        <v>201</v>
      </c>
      <c r="T53" s="19" t="b">
        <f t="shared" ca="1" si="11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12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11"/>
        <v>0</v>
      </c>
      <c r="U54" s="19" t="b">
        <f t="shared" si="12"/>
        <v>0</v>
      </c>
      <c r="V54" s="19"/>
      <c r="X54" s="65" t="s">
        <v>195</v>
      </c>
      <c r="AD54" s="7" t="s">
        <v>152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11"/>
        <v>0</v>
      </c>
      <c r="U55" s="19" t="b">
        <f t="shared" si="12"/>
        <v>0</v>
      </c>
      <c r="V55" s="19"/>
      <c r="X55" s="7" t="s">
        <v>154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11"/>
        <v>0</v>
      </c>
      <c r="U56" s="19" t="b">
        <f t="shared" si="12"/>
        <v>0</v>
      </c>
      <c r="V56" s="19"/>
      <c r="X56" s="7" t="s">
        <v>155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11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11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11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11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11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11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11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11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1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1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1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1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1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156" priority="147">
      <formula>ISERROR(B2)</formula>
    </cfRule>
  </conditionalFormatting>
  <conditionalFormatting sqref="B6:B105">
    <cfRule type="expression" dxfId="155" priority="144">
      <formula>COUNTIF(FIELD_NAME,B6)&gt;1</formula>
    </cfRule>
    <cfRule type="expression" dxfId="154" priority="145">
      <formula>AND($B6&lt;&gt;"",ISNA(MATCH($B6,項目リスト,0)))</formula>
    </cfRule>
  </conditionalFormatting>
  <conditionalFormatting sqref="B6">
    <cfRule type="expression" dxfId="153" priority="139">
      <formula>$AI$6="N/A"</formula>
    </cfRule>
  </conditionalFormatting>
  <conditionalFormatting sqref="D1">
    <cfRule type="cellIs" dxfId="152" priority="128" operator="greaterThan">
      <formula>0</formula>
    </cfRule>
  </conditionalFormatting>
  <conditionalFormatting sqref="L8:P8">
    <cfRule type="expression" dxfId="151" priority="159">
      <formula>Y8</formula>
    </cfRule>
    <cfRule type="expression" dxfId="150" priority="160">
      <formula>Y7</formula>
    </cfRule>
  </conditionalFormatting>
  <conditionalFormatting sqref="L13:P22">
    <cfRule type="expression" dxfId="149" priority="91">
      <formula>Y13</formula>
    </cfRule>
    <cfRule type="expression" dxfId="148" priority="92">
      <formula>$AD13</formula>
    </cfRule>
  </conditionalFormatting>
  <conditionalFormatting sqref="L8">
    <cfRule type="expression" dxfId="147" priority="158">
      <formula>$AG$7</formula>
    </cfRule>
  </conditionalFormatting>
  <conditionalFormatting sqref="L55:P64">
    <cfRule type="expression" dxfId="146" priority="24">
      <formula>Y55</formula>
    </cfRule>
    <cfRule type="expression" dxfId="145" priority="25">
      <formula>$AD55</formula>
    </cfRule>
  </conditionalFormatting>
  <conditionalFormatting sqref="L43:P44">
    <cfRule type="expression" dxfId="144" priority="15">
      <formula>Y42</formula>
    </cfRule>
  </conditionalFormatting>
  <conditionalFormatting sqref="L43:P43">
    <cfRule type="expression" dxfId="143" priority="13">
      <formula>$AD42</formula>
    </cfRule>
    <cfRule type="expression" dxfId="142" priority="162">
      <formula>Y41</formula>
    </cfRule>
  </conditionalFormatting>
  <conditionalFormatting sqref="L43">
    <cfRule type="expression" dxfId="141" priority="14">
      <formula>$AD41</formula>
    </cfRule>
  </conditionalFormatting>
  <conditionalFormatting sqref="L28:P29 L33:P34 L38:P39 L48:P49 L43:P44">
    <cfRule type="expression" dxfId="140" priority="165">
      <formula>Y27</formula>
    </cfRule>
  </conditionalFormatting>
  <conditionalFormatting sqref="L29:P29 L34:P34 L39:P39 L49:P49">
    <cfRule type="expression" dxfId="139" priority="168">
      <formula>$AD27</formula>
    </cfRule>
    <cfRule type="expression" dxfId="138" priority="169">
      <formula>Y26</formula>
    </cfRule>
  </conditionalFormatting>
  <conditionalFormatting sqref="L28 L33 L38 L48 L43">
    <cfRule type="expression" dxfId="137" priority="170">
      <formula>$AD26</formula>
    </cfRule>
  </conditionalFormatting>
  <conditionalFormatting sqref="L44:P44">
    <cfRule type="expression" dxfId="136" priority="173">
      <formula>$AD42</formula>
    </cfRule>
    <cfRule type="expression" dxfId="135" priority="174">
      <formula>Y41</formula>
    </cfRule>
  </conditionalFormatting>
  <conditionalFormatting sqref="L28:P28 L33:P33 L38:P38 L43:P43 L48:P48">
    <cfRule type="expression" dxfId="134" priority="12">
      <formula>$AD27</formula>
    </cfRule>
    <cfRule type="expression" dxfId="133" priority="161">
      <formula>Y26</formula>
    </cfRule>
  </conditionalFormatting>
  <conditionalFormatting sqref="K56">
    <cfRule type="expression" dxfId="132" priority="10">
      <formula>X56</formula>
    </cfRule>
    <cfRule type="expression" dxfId="131" priority="11">
      <formula>$AD56</formula>
    </cfRule>
  </conditionalFormatting>
  <conditionalFormatting sqref="K58">
    <cfRule type="expression" dxfId="130" priority="8">
      <formula>X58</formula>
    </cfRule>
    <cfRule type="expression" dxfId="129" priority="9">
      <formula>$AD58</formula>
    </cfRule>
  </conditionalFormatting>
  <conditionalFormatting sqref="K60">
    <cfRule type="expression" dxfId="128" priority="6">
      <formula>X60</formula>
    </cfRule>
    <cfRule type="expression" dxfId="127" priority="7">
      <formula>$AD60</formula>
    </cfRule>
  </conditionalFormatting>
  <conditionalFormatting sqref="K62">
    <cfRule type="expression" dxfId="126" priority="4">
      <formula>X62</formula>
    </cfRule>
    <cfRule type="expression" dxfId="125" priority="5">
      <formula>$AD62</formula>
    </cfRule>
  </conditionalFormatting>
  <conditionalFormatting sqref="K64">
    <cfRule type="expression" dxfId="124" priority="2">
      <formula>X64</formula>
    </cfRule>
    <cfRule type="expression" dxfId="123" priority="3">
      <formula>$AD64</formula>
    </cfRule>
  </conditionalFormatting>
  <conditionalFormatting sqref="L29:P29 L34:P34 L39:P39 L44:P44 L49:P49">
    <cfRule type="expression" dxfId="122" priority="1">
      <formula>$AD28</formula>
    </cfRule>
  </conditionalFormatting>
  <dataValidations count="16">
    <dataValidation imeMode="on" allowBlank="1" showInputMessage="1" showErrorMessage="1" sqref="K12 A5 A1:A2 E2 K7 K54 G6:H105" xr:uid="{6CAB66BA-704B-4ABE-B97E-3983DA3EB600}"/>
    <dataValidation imeMode="off" allowBlank="1" showInputMessage="1" showErrorMessage="1" sqref="D5:F5 C2 F6:F105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93D689-E98F-42F9-9BC2-2F8144591793}">
  <sheetPr codeName="template1">
    <tabColor rgb="FFFFFFFF"/>
  </sheetPr>
  <dimension ref="A1:AQ116"/>
  <sheetViews>
    <sheetView showGridLines="0" tabSelected="1" workbookViewId="0">
      <pane ySplit="5" topLeftCell="A6" activePane="bottomLeft" state="frozen"/>
      <selection pane="bottomLeft" activeCell="B12" sqref="B12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2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得意先</v>
      </c>
      <c r="C2" s="20" t="str" cm="1">
        <f t="array" ref="C2">INDEX(一覧!DATA_AREA,TABLE_NO,3)</f>
        <v>customers</v>
      </c>
      <c r="D2" s="91">
        <v>1</v>
      </c>
      <c r="E2" s="85" t="s">
        <v>157</v>
      </c>
      <c r="F2" s="86" t="s">
        <v>167</v>
      </c>
      <c r="G2" s="40"/>
      <c r="AF2" s="7" t="s">
        <v>17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221</v>
      </c>
      <c r="AI3" s="7" t="s">
        <v>179</v>
      </c>
      <c r="AQ3" s="114" t="str">
        <f ca="1">IF(AG3,AH3,AQ4)</f>
        <v/>
      </c>
    </row>
    <row r="4" spans="1:43" ht="20">
      <c r="A4" s="10" t="s">
        <v>44</v>
      </c>
      <c r="E4" s="112" t="s">
        <v>204</v>
      </c>
      <c r="K4" s="10" t="s">
        <v>45</v>
      </c>
      <c r="T4" s="65" t="s">
        <v>149</v>
      </c>
      <c r="AF4" s="7" t="s">
        <v>19</v>
      </c>
      <c r="AG4" s="7" t="b">
        <f ca="1">OR(T6:T105)</f>
        <v>0</v>
      </c>
      <c r="AH4" s="7" t="s">
        <v>218</v>
      </c>
      <c r="AI4" s="96" t="s">
        <v>185</v>
      </c>
      <c r="AJ4" s="96" t="s">
        <v>186</v>
      </c>
      <c r="AK4" s="96" t="s">
        <v>8</v>
      </c>
      <c r="AL4" s="96" t="s">
        <v>180</v>
      </c>
      <c r="AM4" s="96" t="s">
        <v>181</v>
      </c>
      <c r="AN4" s="96" t="s">
        <v>182</v>
      </c>
      <c r="AO4" s="96" t="s">
        <v>183</v>
      </c>
      <c r="AP4" s="96" t="s">
        <v>184</v>
      </c>
      <c r="AQ4" s="115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5" t="str">
        <f ca="1">$AQ$7</f>
        <v/>
      </c>
      <c r="T5" s="7" t="s">
        <v>19</v>
      </c>
      <c r="U5" s="7" t="s">
        <v>23</v>
      </c>
      <c r="AF5" s="7" t="s">
        <v>23</v>
      </c>
      <c r="AG5" s="7" t="b">
        <f>OR(U6:U105)</f>
        <v>0</v>
      </c>
      <c r="AH5" s="7" t="s">
        <v>219</v>
      </c>
      <c r="AI5" s="56">
        <f>COUNTA(AI6:AI105)</f>
        <v>6</v>
      </c>
      <c r="AJ5" s="66">
        <f>COUNTA(AJ6:AJ105)</f>
        <v>5</v>
      </c>
      <c r="AK5" s="95">
        <f>COUNTA(AK6:AK105)</f>
        <v>2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32</v>
      </c>
      <c r="C6" s="34" t="str">
        <f ca="1">IFERROR(VLOOKUP(B6,項目!DATA_AREA,2,FALSE),"")</f>
        <v>customer_id</v>
      </c>
      <c r="D6" s="34" t="str">
        <f ca="1">IFERROR(VLOOKUP(B6,項目!DATA_AREA,3,FALSE),"")</f>
        <v>varchar(3)</v>
      </c>
      <c r="E6" s="47">
        <v>1</v>
      </c>
      <c r="F6" s="116" t="s">
        <v>222</v>
      </c>
      <c r="G6" s="37" t="str">
        <f ca="1">IFERROR(VLOOKUP(B6,項目!DATA_AREA,4,FALSE),"")</f>
        <v>(LENGTH(customer_id) = 3)</v>
      </c>
      <c r="H6" s="11" t="b">
        <f ca="1">IFERROR(VLOOKUP(B6,項目!DATA_AREA,5,FALSE),"")</f>
        <v>0</v>
      </c>
      <c r="K6" s="50" t="s">
        <v>177</v>
      </c>
      <c r="L6" s="112" t="s">
        <v>202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150</v>
      </c>
      <c r="AF6" s="7" t="s">
        <v>24</v>
      </c>
      <c r="AG6" s="119" t="b">
        <v>0</v>
      </c>
      <c r="AH6" s="7" t="s">
        <v>220</v>
      </c>
      <c r="AI6" s="56" t="s">
        <v>170</v>
      </c>
      <c r="AJ6" s="66" t="s">
        <v>170</v>
      </c>
      <c r="AK6" s="95" t="s">
        <v>145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46</v>
      </c>
      <c r="C7" s="35" t="str">
        <f ca="1">IFERROR(VLOOKUP(B7,項目!DATA_AREA,2,FALSE),"")</f>
        <v>customer_name</v>
      </c>
      <c r="D7" s="35" t="str">
        <f ca="1">IFERROR(VLOOKUP(B7,項目!DATA_AREA,3,FALSE),"")</f>
        <v>varchar(100)</v>
      </c>
      <c r="E7" s="48">
        <v>1</v>
      </c>
      <c r="F7" s="117" t="s">
        <v>168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12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211</v>
      </c>
      <c r="AI7" s="56" t="s">
        <v>46</v>
      </c>
      <c r="AJ7" s="66" t="s">
        <v>46</v>
      </c>
      <c r="AK7" s="95" t="s">
        <v>174</v>
      </c>
      <c r="AL7" s="83"/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48"/>
      <c r="F8" s="117" t="s">
        <v>222</v>
      </c>
      <c r="G8" s="38">
        <f ca="1">IFERROR(VLOOKUP(B8,項目!DATA_AREA,4,FALSE),"")</f>
        <v>0</v>
      </c>
      <c r="H8" s="12" t="b">
        <f ca="1">IFERROR(VLOOKUP(B8,項目!DATA_AREA,5,FALSE),"")</f>
        <v>0</v>
      </c>
      <c r="K8" s="67" t="s">
        <v>14</v>
      </c>
      <c r="L8" s="68" t="s">
        <v>32</v>
      </c>
      <c r="M8" s="69"/>
      <c r="N8" s="69"/>
      <c r="O8" s="69"/>
      <c r="P8" s="70"/>
      <c r="R8" s="83" t="str">
        <f>_xlfn.CONCAT(L8:P8)</f>
        <v>得意先ID</v>
      </c>
      <c r="T8" s="19" t="b">
        <f t="shared" ca="1" si="0"/>
        <v>0</v>
      </c>
      <c r="U8" s="19" t="b">
        <f t="shared" si="2"/>
        <v>0</v>
      </c>
      <c r="V8" s="19"/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217</v>
      </c>
      <c r="AI8" s="56" t="s">
        <v>31</v>
      </c>
      <c r="AJ8" s="66" t="s">
        <v>50</v>
      </c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50</v>
      </c>
      <c r="C9" s="35" t="str">
        <f ca="1">IFERROR(VLOOKUP(B9,項目!DATA_AREA,2,FALSE),"")</f>
        <v>customer_type</v>
      </c>
      <c r="D9" s="35" t="str">
        <f ca="1">IFERROR(VLOOKUP(B9,項目!DATA_AREA,3,FALSE),"")</f>
        <v>customer_type</v>
      </c>
      <c r="E9" s="48">
        <v>1</v>
      </c>
      <c r="F9" s="117" t="s">
        <v>222</v>
      </c>
      <c r="G9" s="38">
        <f ca="1">IFERROR(VLOOKUP(B9,項目!DATA_AREA,4,FALSE),"")</f>
        <v>0</v>
      </c>
      <c r="H9" s="12" t="b">
        <f ca="1">IFERROR(VLOOKUP(B9,項目!DATA_AREA,5,FALSE),"")</f>
        <v>1</v>
      </c>
      <c r="T9" s="19" t="b">
        <f t="shared" ca="1" si="0"/>
        <v>0</v>
      </c>
      <c r="U9" s="19" t="b">
        <f t="shared" si="2"/>
        <v>0</v>
      </c>
      <c r="V9" s="19"/>
      <c r="AF9" s="7" t="s">
        <v>23</v>
      </c>
      <c r="AG9" s="7" t="b">
        <f>OR(Y8:AC8)</f>
        <v>0</v>
      </c>
      <c r="AH9" s="7" t="s">
        <v>212</v>
      </c>
      <c r="AI9" s="56" t="s">
        <v>50</v>
      </c>
      <c r="AJ9" s="66" t="s">
        <v>21</v>
      </c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21</v>
      </c>
      <c r="C10" s="35" t="str">
        <f ca="1">IFERROR(VLOOKUP(B10,項目!DATA_AREA,2,FALSE),"")</f>
        <v>registration_date</v>
      </c>
      <c r="D10" s="35" t="str">
        <f ca="1">IFERROR(VLOOKUP(B10,項目!DATA_AREA,3,FALSE),"")</f>
        <v>date</v>
      </c>
      <c r="E10" s="48">
        <v>1</v>
      </c>
      <c r="F10" s="117" t="s">
        <v>169</v>
      </c>
      <c r="G10" s="38">
        <f ca="1">IFERROR(VLOOKUP(B10,項目!DATA_AREA,4,FALSE),"")</f>
        <v>0</v>
      </c>
      <c r="H10" s="12" t="b">
        <f ca="1">IFERROR(VLOOKUP(B10,項目!DATA_AREA,5,FALSE),"")</f>
        <v>0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48</v>
      </c>
      <c r="AF10" s="7" t="s">
        <v>153</v>
      </c>
      <c r="AG10" s="7" t="b">
        <f ca="1">OR($Y$13:$AC$22)</f>
        <v>0</v>
      </c>
      <c r="AH10" s="7" t="s">
        <v>216</v>
      </c>
      <c r="AI10" s="56" t="s">
        <v>21</v>
      </c>
      <c r="AJ10" s="66" t="s">
        <v>140</v>
      </c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 t="s">
        <v>140</v>
      </c>
      <c r="C11" s="35" t="str">
        <f ca="1">IFERROR(VLOOKUP(B11,項目!DATA_AREA,2,FALSE),"")</f>
        <v>product_pic</v>
      </c>
      <c r="D11" s="35" t="str">
        <f ca="1">IFERROR(VLOOKUP(B11,項目!DATA_AREA,3,FALSE),"")</f>
        <v>varchar(4)</v>
      </c>
      <c r="E11" s="48">
        <v>1</v>
      </c>
      <c r="F11" s="117" t="s">
        <v>222</v>
      </c>
      <c r="G11" s="38" t="str">
        <f ca="1">IFERROR(VLOOKUP(B11,項目!DATA_AREA,4,FALSE),"")</f>
        <v>(LENGTH(product_pic) = 4)</v>
      </c>
      <c r="H11" s="12" t="b">
        <f ca="1">IFERROR(VLOOKUP(B11,項目!DATA_AREA,5,FALSE),"")</f>
        <v>0</v>
      </c>
      <c r="K11" s="50" t="s">
        <v>47</v>
      </c>
      <c r="L11" s="112" t="s">
        <v>49</v>
      </c>
      <c r="T11" s="19" t="b">
        <f t="shared" ca="1" si="0"/>
        <v>0</v>
      </c>
      <c r="U11" s="19" t="b">
        <f t="shared" si="2"/>
        <v>0</v>
      </c>
      <c r="V11" s="19"/>
      <c r="AF11" s="7" t="s">
        <v>152</v>
      </c>
      <c r="AG11" s="7" t="b">
        <f>OR($AD$13:$AD$22)</f>
        <v>0</v>
      </c>
      <c r="AH11" s="7" t="s">
        <v>210</v>
      </c>
      <c r="AI11" s="56" t="s">
        <v>140</v>
      </c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12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151</v>
      </c>
      <c r="AD12" s="7" t="s">
        <v>152</v>
      </c>
      <c r="AE12" s="7" t="s">
        <v>193</v>
      </c>
      <c r="AF12" s="7" t="s">
        <v>192</v>
      </c>
      <c r="AG12" s="7" t="b">
        <f ca="1">OR($Y$26:$AC$26,$Y$31:$AC$31,$Y$36:$AC$36,$Y$41:$AC$41,$Y$46:$AC$46)</f>
        <v>0</v>
      </c>
      <c r="AH12" s="7" t="s">
        <v>207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 t="s">
        <v>32</v>
      </c>
      <c r="M13" s="73" t="s">
        <v>31</v>
      </c>
      <c r="N13" s="73"/>
      <c r="O13" s="73"/>
      <c r="P13" s="74"/>
      <c r="R13" s="83" t="str">
        <f>_xlfn.CONCAT(L13:P13)</f>
        <v>得意先ID担当者名</v>
      </c>
      <c r="T13" s="19" t="b">
        <f t="shared" ca="1" si="0"/>
        <v>0</v>
      </c>
      <c r="U13" s="19" t="b">
        <f t="shared" si="2"/>
        <v>0</v>
      </c>
      <c r="V13" s="19"/>
      <c r="X13" s="7" t="s">
        <v>154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153</v>
      </c>
      <c r="AG13" s="7" t="b">
        <f ca="1">OR($Y$27:$AC$28,$Y$32:$AC$33,$Y$37:$AC$38,$Y$42:$AC$43,$Y$47:$AC$48)</f>
        <v>0</v>
      </c>
      <c r="AH13" s="7" t="s">
        <v>213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 t="s">
        <v>21</v>
      </c>
      <c r="M14" s="77"/>
      <c r="N14" s="77"/>
      <c r="O14" s="77"/>
      <c r="P14" s="78"/>
      <c r="R14" s="83" t="str">
        <f t="shared" ref="R14:R22" si="8">_xlfn.CONCAT(L14:P14)</f>
        <v>登録日</v>
      </c>
      <c r="T14" s="19" t="b">
        <f t="shared" ca="1" si="0"/>
        <v>0</v>
      </c>
      <c r="U14" s="19" t="b">
        <f t="shared" si="2"/>
        <v>0</v>
      </c>
      <c r="V14" s="19"/>
      <c r="X14" s="7" t="s">
        <v>155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194</v>
      </c>
      <c r="AG14" s="7" t="b">
        <f>OR($AD$26,$AD$31,$AD$36,$AD$41,$AD$46)</f>
        <v>0</v>
      </c>
      <c r="AH14" s="7" t="s">
        <v>215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 t="s">
        <v>140</v>
      </c>
      <c r="M15" s="77"/>
      <c r="N15" s="77"/>
      <c r="O15" s="77"/>
      <c r="P15" s="78"/>
      <c r="R15" s="83" t="str">
        <f t="shared" si="8"/>
        <v>商品担当者ID</v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152</v>
      </c>
      <c r="AG15" s="7" t="b">
        <f>OR($AD$27,$AD$32,$AD$37,$AD$42,$AD$47)</f>
        <v>0</v>
      </c>
      <c r="AH15" s="7" t="s">
        <v>208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205</v>
      </c>
      <c r="AG16" s="7" t="b">
        <f ca="1">OR($AD$28,$AD$33,$AD$38,$AD$43,$AD$48)</f>
        <v>0</v>
      </c>
      <c r="AH16" s="7" t="s">
        <v>209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13</v>
      </c>
      <c r="AF17" s="7" t="s">
        <v>153</v>
      </c>
      <c r="AG17" s="7" t="b">
        <f ca="1">OR($Y$55:$AC$64)</f>
        <v>0</v>
      </c>
      <c r="AH17" s="7" t="s">
        <v>214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152</v>
      </c>
      <c r="AG18" s="7" t="b">
        <f>OR($AD$55:$AD$64)</f>
        <v>0</v>
      </c>
      <c r="AH18" s="7" t="s">
        <v>206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191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176</v>
      </c>
      <c r="L25" s="112" t="s">
        <v>203</v>
      </c>
      <c r="T25" s="19" t="b">
        <f t="shared" ca="1" si="0"/>
        <v>0</v>
      </c>
      <c r="U25" s="19" t="b">
        <f t="shared" si="2"/>
        <v>0</v>
      </c>
      <c r="V25" s="19"/>
      <c r="X25" s="7" t="s">
        <v>192</v>
      </c>
      <c r="AD25" s="7" t="s">
        <v>194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196</v>
      </c>
      <c r="L26" s="100"/>
      <c r="M26" s="104" t="s">
        <v>197</v>
      </c>
      <c r="N26" s="100"/>
      <c r="O26" s="104" t="s">
        <v>198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194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/>
      <c r="X27" s="7" t="s">
        <v>154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152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199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155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205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200</v>
      </c>
      <c r="L29" s="93"/>
      <c r="M29" s="81"/>
      <c r="N29" s="81"/>
      <c r="O29" s="81"/>
      <c r="P29" s="82"/>
      <c r="R29" s="83" t="str">
        <f t="shared" ref="R29" si="10">_xlfn.CONCAT(L29:P29)</f>
        <v/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196</v>
      </c>
      <c r="L31" s="100"/>
      <c r="M31" s="104" t="s">
        <v>197</v>
      </c>
      <c r="N31" s="100"/>
      <c r="O31" s="104" t="s">
        <v>198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199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200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196</v>
      </c>
      <c r="L36" s="100"/>
      <c r="M36" s="104" t="s">
        <v>197</v>
      </c>
      <c r="N36" s="100"/>
      <c r="O36" s="104" t="s">
        <v>198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199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200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196</v>
      </c>
      <c r="L41" s="100"/>
      <c r="M41" s="104" t="s">
        <v>197</v>
      </c>
      <c r="N41" s="100"/>
      <c r="O41" s="104" t="s">
        <v>198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199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200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196</v>
      </c>
      <c r="L46" s="100"/>
      <c r="M46" s="104" t="s">
        <v>197</v>
      </c>
      <c r="N46" s="100"/>
      <c r="O46" s="104" t="s">
        <v>198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199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200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2" t="s">
        <v>201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12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195</v>
      </c>
      <c r="AD54" s="7" t="s">
        <v>152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 t="s">
        <v>31</v>
      </c>
      <c r="M55" s="107"/>
      <c r="N55" s="107"/>
      <c r="O55" s="107"/>
      <c r="P55" s="108"/>
      <c r="R55" s="83" t="str">
        <f t="shared" ref="R55:R63" si="16">_xlfn.CONCAT(L55:P55)</f>
        <v>担当者名</v>
      </c>
      <c r="T55" s="19" t="b">
        <f t="shared" ca="1" si="0"/>
        <v>0</v>
      </c>
      <c r="U55" s="19" t="b">
        <f t="shared" si="12"/>
        <v>0</v>
      </c>
      <c r="V55" s="19"/>
      <c r="X55" s="7" t="s">
        <v>154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155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 t="s">
        <v>21</v>
      </c>
      <c r="M57" s="107" t="s">
        <v>50</v>
      </c>
      <c r="N57" s="107"/>
      <c r="O57" s="107"/>
      <c r="P57" s="108"/>
      <c r="R57" s="83" t="str">
        <f t="shared" si="16"/>
        <v>登録日取引先区分</v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121" priority="24">
      <formula>ISERROR(B2)</formula>
    </cfRule>
  </conditionalFormatting>
  <conditionalFormatting sqref="B6:B105">
    <cfRule type="expression" dxfId="120" priority="22">
      <formula>COUNTIF(FIELD_NAME,B6)&gt;1</formula>
    </cfRule>
    <cfRule type="expression" dxfId="119" priority="23">
      <formula>AND($B6&lt;&gt;"",ISNA(MATCH($B6,項目リスト,0)))</formula>
    </cfRule>
  </conditionalFormatting>
  <conditionalFormatting sqref="B6">
    <cfRule type="expression" dxfId="118" priority="21">
      <formula>$AI$6="N/A"</formula>
    </cfRule>
  </conditionalFormatting>
  <conditionalFormatting sqref="D1">
    <cfRule type="cellIs" dxfId="117" priority="20" operator="greaterThan">
      <formula>0</formula>
    </cfRule>
  </conditionalFormatting>
  <conditionalFormatting sqref="L8:P8">
    <cfRule type="expression" dxfId="116" priority="26">
      <formula>Y8</formula>
    </cfRule>
    <cfRule type="expression" dxfId="115" priority="27">
      <formula>Y7</formula>
    </cfRule>
  </conditionalFormatting>
  <conditionalFormatting sqref="L13:P22">
    <cfRule type="expression" dxfId="114" priority="18">
      <formula>Y13</formula>
    </cfRule>
    <cfRule type="expression" dxfId="113" priority="19">
      <formula>$AD13</formula>
    </cfRule>
  </conditionalFormatting>
  <conditionalFormatting sqref="L8">
    <cfRule type="expression" dxfId="112" priority="25">
      <formula>$AG$7</formula>
    </cfRule>
  </conditionalFormatting>
  <conditionalFormatting sqref="L55:P64">
    <cfRule type="expression" dxfId="111" priority="16">
      <formula>Y55</formula>
    </cfRule>
    <cfRule type="expression" dxfId="110" priority="17">
      <formula>$AD55</formula>
    </cfRule>
  </conditionalFormatting>
  <conditionalFormatting sqref="L43:P44">
    <cfRule type="expression" dxfId="109" priority="15">
      <formula>Y42</formula>
    </cfRule>
  </conditionalFormatting>
  <conditionalFormatting sqref="L43:P43">
    <cfRule type="expression" dxfId="108" priority="13">
      <formula>$AD42</formula>
    </cfRule>
    <cfRule type="expression" dxfId="107" priority="29">
      <formula>Y41</formula>
    </cfRule>
  </conditionalFormatting>
  <conditionalFormatting sqref="L43">
    <cfRule type="expression" dxfId="106" priority="14">
      <formula>$AD41</formula>
    </cfRule>
  </conditionalFormatting>
  <conditionalFormatting sqref="L28:P29 L33:P34 L38:P39 L48:P49 L43:P44">
    <cfRule type="expression" dxfId="105" priority="30">
      <formula>Y27</formula>
    </cfRule>
  </conditionalFormatting>
  <conditionalFormatting sqref="L29:P29 L34:P34 L39:P39 L49:P49">
    <cfRule type="expression" dxfId="104" priority="31">
      <formula>$AD27</formula>
    </cfRule>
    <cfRule type="expression" dxfId="103" priority="32">
      <formula>Y26</formula>
    </cfRule>
  </conditionalFormatting>
  <conditionalFormatting sqref="L28 L33 L38 L48 L43">
    <cfRule type="expression" dxfId="102" priority="33">
      <formula>$AD26</formula>
    </cfRule>
  </conditionalFormatting>
  <conditionalFormatting sqref="L44:P44">
    <cfRule type="expression" dxfId="101" priority="34">
      <formula>$AD42</formula>
    </cfRule>
    <cfRule type="expression" dxfId="100" priority="35">
      <formula>Y41</formula>
    </cfRule>
  </conditionalFormatting>
  <conditionalFormatting sqref="L28:P28 L33:P33 L38:P38 L43:P43 L48:P48">
    <cfRule type="expression" dxfId="99" priority="12">
      <formula>$AD27</formula>
    </cfRule>
    <cfRule type="expression" dxfId="98" priority="28">
      <formula>Y26</formula>
    </cfRule>
  </conditionalFormatting>
  <conditionalFormatting sqref="K56">
    <cfRule type="expression" dxfId="97" priority="10">
      <formula>X56</formula>
    </cfRule>
    <cfRule type="expression" dxfId="96" priority="11">
      <formula>$AD56</formula>
    </cfRule>
  </conditionalFormatting>
  <conditionalFormatting sqref="K58">
    <cfRule type="expression" dxfId="95" priority="8">
      <formula>X58</formula>
    </cfRule>
    <cfRule type="expression" dxfId="94" priority="9">
      <formula>$AD58</formula>
    </cfRule>
  </conditionalFormatting>
  <conditionalFormatting sqref="K60">
    <cfRule type="expression" dxfId="93" priority="6">
      <formula>X60</formula>
    </cfRule>
    <cfRule type="expression" dxfId="92" priority="7">
      <formula>$AD60</formula>
    </cfRule>
  </conditionalFormatting>
  <conditionalFormatting sqref="K62">
    <cfRule type="expression" dxfId="91" priority="4">
      <formula>X62</formula>
    </cfRule>
    <cfRule type="expression" dxfId="90" priority="5">
      <formula>$AD62</formula>
    </cfRule>
  </conditionalFormatting>
  <conditionalFormatting sqref="K64">
    <cfRule type="expression" dxfId="89" priority="2">
      <formula>X64</formula>
    </cfRule>
    <cfRule type="expression" dxfId="88" priority="3">
      <formula>$AD64</formula>
    </cfRule>
  </conditionalFormatting>
  <conditionalFormatting sqref="L29:P29 L34:P34 L39:P39 L44:P44 L49:P49">
    <cfRule type="expression" dxfId="87" priority="1">
      <formula>$AD28</formula>
    </cfRule>
  </conditionalFormatting>
  <conditionalFormatting sqref="E6">
    <cfRule type="expression" dxfId="86" priority="36" stopIfTrue="1">
      <formula>$V6</formula>
    </cfRule>
  </conditionalFormatting>
  <conditionalFormatting sqref="E7">
    <cfRule type="expression" dxfId="85" priority="37" stopIfTrue="1">
      <formula>$V7</formula>
    </cfRule>
  </conditionalFormatting>
  <conditionalFormatting sqref="E8">
    <cfRule type="expression" dxfId="84" priority="38" stopIfTrue="1">
      <formula>$V8</formula>
    </cfRule>
  </conditionalFormatting>
  <conditionalFormatting sqref="E9">
    <cfRule type="expression" dxfId="83" priority="39" stopIfTrue="1">
      <formula>$V9</formula>
    </cfRule>
  </conditionalFormatting>
  <conditionalFormatting sqref="E10">
    <cfRule type="expression" dxfId="82" priority="40" stopIfTrue="1">
      <formula>$V10</formula>
    </cfRule>
  </conditionalFormatting>
  <conditionalFormatting sqref="E11">
    <cfRule type="expression" dxfId="81" priority="41" stopIfTrue="1">
      <formula>$V11</formula>
    </cfRule>
  </conditionalFormatting>
  <dataValidations count="16">
    <dataValidation imeMode="off" allowBlank="1" showInputMessage="1" showErrorMessage="1" sqref="D5:F5 C2 F6:F105" xr:uid="{2ECE0ED3-E193-476F-8154-9A135E7FE583}"/>
    <dataValidation type="whole" imeMode="off" operator="equal" allowBlank="1" showInputMessage="1" showErrorMessage="1" error="DESC指定の場合に‐1を入力" sqref="L56:P56 L58:P58 L60:P60 L62:P62 L64:P64" xr:uid="{AE5F9E9F-EAC0-4F27-8022-AC3AFDE37FC2}">
      <formula1>-1</formula1>
    </dataValidation>
    <dataValidation type="whole" imeMode="off" operator="equal" allowBlank="1" showInputMessage="1" showErrorMessage="1" error="Unique indexの場合に1を入力" sqref="K56 K58 K60 K62 K64" xr:uid="{8EC9DEE9-283B-45AA-AAB1-25F9E9056C47}">
      <formula1>1</formula1>
    </dataValidation>
    <dataValidation type="list" allowBlank="1" showInputMessage="1" showErrorMessage="1" sqref="N26 P26 N31 P31 N36 P36 N41 P41 N46 P46" xr:uid="{D722F47D-D03F-4D47-ACA1-C452D0BDCA10}">
      <formula1>FK_OPTION</formula1>
    </dataValidation>
    <dataValidation type="list" allowBlank="1" showInputMessage="1" showErrorMessage="1" sqref="L49:P49" xr:uid="{0859596E-DB06-4953-8F34-47FA024DDBED}">
      <formula1>FK_FIELD_5</formula1>
    </dataValidation>
    <dataValidation type="list" allowBlank="1" showInputMessage="1" showErrorMessage="1" sqref="L44:P44" xr:uid="{0AA38F89-9EE3-4F7A-8D9F-E57D9A5DC66B}">
      <formula1>FK_FIELD_4</formula1>
    </dataValidation>
    <dataValidation type="list" allowBlank="1" showInputMessage="1" showErrorMessage="1" sqref="L39:P39" xr:uid="{B77054F0-1848-4D98-AAE0-D0D8FBD6164E}">
      <formula1>FK_FIELD_3</formula1>
    </dataValidation>
    <dataValidation type="list" allowBlank="1" showInputMessage="1" showErrorMessage="1" sqref="L34:P34" xr:uid="{11C7D8DF-4185-489C-BFDD-25AA54E7D784}">
      <formula1>FK_FIELD_2</formula1>
    </dataValidation>
    <dataValidation type="list" allowBlank="1" showInputMessage="1" showErrorMessage="1" sqref="L29:P29" xr:uid="{DE6BF812-F2DC-4CBF-B448-957E47CAB833}">
      <formula1>FK_FIELD_1</formula1>
    </dataValidation>
    <dataValidation type="list" allowBlank="1" showInputMessage="1" showErrorMessage="1" sqref="L26 L31 L36 L41 L46" xr:uid="{B1EAFB4A-D852-4518-A7C6-E8D6F50C0748}">
      <formula1>TABLEリスト</formula1>
    </dataValidation>
    <dataValidation type="list" allowBlank="1" showInputMessage="1" showErrorMessage="1" sqref="F2" xr:uid="{F9E2715F-87BB-4259-ABDA-7241AF4C90B8}">
      <formula1>"○,-"</formula1>
    </dataValidation>
    <dataValidation type="list" allowBlank="1" showInputMessage="1" showErrorMessage="1" sqref="L13:P22 L43:P43 L48:P48 L33:P33 L38:P38 L28:P28 L55:P55 L57:P57 L59:P59 L61:P61 L63:P63" xr:uid="{FF50E19B-9E5C-4985-B8E8-35F4935C15C7}">
      <formula1>FIELDリスト</formula1>
    </dataValidation>
    <dataValidation type="list" allowBlank="1" showInputMessage="1" showErrorMessage="1" sqref="L8:P8" xr:uid="{D386216F-C865-444F-96B5-8C727B11934F}">
      <formula1>FIELDリストNN</formula1>
    </dataValidation>
    <dataValidation type="whole" imeMode="off" operator="equal" allowBlank="1" showInputMessage="1" showErrorMessage="1" error="NotNullの場合は[1]を入力する。" sqref="E6:E105" xr:uid="{13EB4EE7-68C1-4055-B379-1FDAFDA06FA4}">
      <formula1>1</formula1>
    </dataValidation>
    <dataValidation type="list" allowBlank="1" showInputMessage="1" showErrorMessage="1" sqref="B6:B105" xr:uid="{7C290774-5E9E-4B09-A28E-9A1267506C44}">
      <formula1>項目リスト</formula1>
    </dataValidation>
    <dataValidation imeMode="on" allowBlank="1" showInputMessage="1" showErrorMessage="1" sqref="K12 A5 A1:A2 E2 K7 K54 G6:H105" xr:uid="{44F19ECD-6923-4D62-8BED-54D2D7EE51E2}"/>
  </dataValidations>
  <hyperlinks>
    <hyperlink ref="E1" location="一覧!R1C1" display="一覧へ" xr:uid="{C39EFC35-0E2A-4460-94E7-3B6B631528DA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AE2FC-2F2C-466C-8AFE-946F44559C36}">
  <sheetPr codeName="template2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2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1">
        <v>2</v>
      </c>
      <c r="E2" s="85" t="s">
        <v>157</v>
      </c>
      <c r="F2" s="86" t="s">
        <v>172</v>
      </c>
      <c r="G2" s="40"/>
      <c r="AF2" s="7" t="s">
        <v>17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221</v>
      </c>
      <c r="AI3" s="7" t="s">
        <v>179</v>
      </c>
      <c r="AQ3" s="114" t="str">
        <f ca="1">IF(AG3,AH3,AQ4)</f>
        <v/>
      </c>
    </row>
    <row r="4" spans="1:43" ht="20">
      <c r="A4" s="10" t="s">
        <v>44</v>
      </c>
      <c r="E4" s="112" t="s">
        <v>204</v>
      </c>
      <c r="K4" s="10" t="s">
        <v>45</v>
      </c>
      <c r="T4" s="65" t="s">
        <v>149</v>
      </c>
      <c r="AF4" s="7" t="s">
        <v>19</v>
      </c>
      <c r="AG4" s="7" t="b">
        <f ca="1">OR(T6:T105)</f>
        <v>0</v>
      </c>
      <c r="AH4" s="7" t="s">
        <v>218</v>
      </c>
      <c r="AI4" s="96" t="s">
        <v>185</v>
      </c>
      <c r="AJ4" s="96" t="s">
        <v>186</v>
      </c>
      <c r="AK4" s="96" t="s">
        <v>8</v>
      </c>
      <c r="AL4" s="96" t="s">
        <v>180</v>
      </c>
      <c r="AM4" s="96" t="s">
        <v>181</v>
      </c>
      <c r="AN4" s="96" t="s">
        <v>182</v>
      </c>
      <c r="AO4" s="96" t="s">
        <v>183</v>
      </c>
      <c r="AP4" s="96" t="s">
        <v>184</v>
      </c>
      <c r="AQ4" s="115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5" t="str">
        <f ca="1">$AQ$7</f>
        <v/>
      </c>
      <c r="T5" s="7" t="s">
        <v>19</v>
      </c>
      <c r="U5" s="7" t="s">
        <v>23</v>
      </c>
      <c r="AF5" s="7" t="s">
        <v>23</v>
      </c>
      <c r="AG5" s="7" t="b">
        <f>OR(U6:U105)</f>
        <v>0</v>
      </c>
      <c r="AH5" s="7" t="s">
        <v>219</v>
      </c>
      <c r="AI5" s="56">
        <f>COUNTA(AI6:AI105)</f>
        <v>5</v>
      </c>
      <c r="AJ5" s="66">
        <f>COUNTA(AJ6:AJ105)</f>
        <v>3</v>
      </c>
      <c r="AK5" s="95">
        <f>COUNTA(AK6:AK105)</f>
        <v>2</v>
      </c>
      <c r="AL5" s="83" cm="1">
        <f t="array" aca="1" ref="AL5" ca="1">IFERROR(INDIRECT($L$26&amp;"!R5C35",FALSE),1)</f>
        <v>6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47">
        <v>1</v>
      </c>
      <c r="F6" s="116" t="s">
        <v>222</v>
      </c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0" t="s">
        <v>177</v>
      </c>
      <c r="L6" s="112" t="s">
        <v>202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150</v>
      </c>
      <c r="AF6" s="7" t="s">
        <v>24</v>
      </c>
      <c r="AG6" s="119" t="b">
        <v>0</v>
      </c>
      <c r="AH6" s="7" t="s">
        <v>220</v>
      </c>
      <c r="AI6" s="56" t="s">
        <v>173</v>
      </c>
      <c r="AJ6" s="66" t="s">
        <v>173</v>
      </c>
      <c r="AK6" s="95" t="s">
        <v>178</v>
      </c>
      <c r="AL6" s="83" t="str" cm="1">
        <f t="array" aca="1" ref="AL6:AL11" ca="1">IFERROR(OFFSET(INDIRECT($L$26&amp;"!R6C35",FALSE),,,AL5,),"N/A")</f>
        <v>得意先ID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28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48">
        <v>1</v>
      </c>
      <c r="F7" s="117" t="s">
        <v>223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12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211</v>
      </c>
      <c r="AI7" s="56" t="s">
        <v>28</v>
      </c>
      <c r="AJ7" s="66" t="s">
        <v>28</v>
      </c>
      <c r="AK7" s="95" t="s">
        <v>174</v>
      </c>
      <c r="AL7" s="83" t="str">
        <f ca="1"/>
        <v>得意先</v>
      </c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31</v>
      </c>
      <c r="C8" s="35" t="str">
        <f ca="1">IFERROR(VLOOKUP(B8,項目!DATA_AREA,2,FALSE),"")</f>
        <v>person_in_charge</v>
      </c>
      <c r="D8" s="35" t="str">
        <f ca="1">IFERROR(VLOOKUP(B8,項目!DATA_AREA,3,FALSE),"")</f>
        <v>varchar(30)</v>
      </c>
      <c r="E8" s="48"/>
      <c r="F8" s="117" t="s">
        <v>222</v>
      </c>
      <c r="G8" s="38">
        <f ca="1">IFERROR(VLOOKUP(B8,項目!DATA_AREA,4,FALSE),"")</f>
        <v>0</v>
      </c>
      <c r="H8" s="12" t="b">
        <f ca="1">IFERROR(VLOOKUP(B8,項目!DATA_AREA,5,FALSE),"")</f>
        <v>0</v>
      </c>
      <c r="K8" s="67" t="s">
        <v>14</v>
      </c>
      <c r="L8" s="68" t="s">
        <v>30</v>
      </c>
      <c r="M8" s="69"/>
      <c r="N8" s="69"/>
      <c r="O8" s="69"/>
      <c r="P8" s="70"/>
      <c r="R8" s="83" t="str">
        <f>_xlfn.CONCAT(L8:P8)</f>
        <v>受注No</v>
      </c>
      <c r="T8" s="19" t="b">
        <f t="shared" ca="1" si="0"/>
        <v>0</v>
      </c>
      <c r="U8" s="19" t="b">
        <f t="shared" si="2"/>
        <v>0</v>
      </c>
      <c r="V8" s="19"/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217</v>
      </c>
      <c r="AI8" s="56" t="s">
        <v>31</v>
      </c>
      <c r="AJ8" s="66" t="s">
        <v>32</v>
      </c>
      <c r="AK8" s="95"/>
      <c r="AL8" s="83" t="str">
        <f ca="1"/>
        <v>担当者名</v>
      </c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32</v>
      </c>
      <c r="C9" s="35" t="str">
        <f ca="1">IFERROR(VLOOKUP(B9,項目!DATA_AREA,2,FALSE),"")</f>
        <v>customer_id</v>
      </c>
      <c r="D9" s="35" t="str">
        <f ca="1">IFERROR(VLOOKUP(B9,項目!DATA_AREA,3,FALSE),"")</f>
        <v>varchar(3)</v>
      </c>
      <c r="E9" s="48">
        <v>1</v>
      </c>
      <c r="F9" s="117" t="s">
        <v>222</v>
      </c>
      <c r="G9" s="38" t="str">
        <f ca="1">IFERROR(VLOOKUP(B9,項目!DATA_AREA,4,FALSE),"")</f>
        <v>(LENGTH(customer_id) = 3)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/>
      <c r="AF9" s="7" t="s">
        <v>23</v>
      </c>
      <c r="AG9" s="7" t="b">
        <f>OR(Y8:AC8)</f>
        <v>0</v>
      </c>
      <c r="AH9" s="7" t="s">
        <v>212</v>
      </c>
      <c r="AI9" s="56" t="s">
        <v>32</v>
      </c>
      <c r="AJ9" s="66"/>
      <c r="AK9" s="95"/>
      <c r="AL9" s="83" t="str">
        <f ca="1"/>
        <v>取引先区分</v>
      </c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22</v>
      </c>
      <c r="C10" s="35" t="str">
        <f ca="1">IFERROR(VLOOKUP(B10,項目!DATA_AREA,2,FALSE),"")</f>
        <v>comment</v>
      </c>
      <c r="D10" s="35" t="str">
        <f ca="1">IFERROR(VLOOKUP(B10,項目!DATA_AREA,3,FALSE),"")</f>
        <v>text</v>
      </c>
      <c r="E10" s="48"/>
      <c r="F10" s="117" t="s">
        <v>222</v>
      </c>
      <c r="G10" s="38" t="str">
        <f ca="1">IFERROR(VLOOKUP(B10,項目!DATA_AREA,4,FALSE),"")</f>
        <v>(LENGTH(comment) &gt;= 10)</v>
      </c>
      <c r="H10" s="12" t="b">
        <f ca="1">IFERROR(VLOOKUP(B10,項目!DATA_AREA,5,FALSE),"")</f>
        <v>0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48</v>
      </c>
      <c r="AF10" s="7" t="s">
        <v>153</v>
      </c>
      <c r="AG10" s="7" t="b">
        <f ca="1">OR($Y$13:$AC$22)</f>
        <v>0</v>
      </c>
      <c r="AH10" s="7" t="s">
        <v>216</v>
      </c>
      <c r="AI10" s="56" t="s">
        <v>22</v>
      </c>
      <c r="AJ10" s="66"/>
      <c r="AK10" s="95"/>
      <c r="AL10" s="83" t="str">
        <f ca="1"/>
        <v>登録日</v>
      </c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47</v>
      </c>
      <c r="L11" s="112" t="s">
        <v>49</v>
      </c>
      <c r="T11" s="19" t="b">
        <f t="shared" ca="1" si="0"/>
        <v>0</v>
      </c>
      <c r="U11" s="19" t="b">
        <f t="shared" si="2"/>
        <v>0</v>
      </c>
      <c r="V11" s="19"/>
      <c r="AF11" s="7" t="s">
        <v>152</v>
      </c>
      <c r="AG11" s="7" t="b">
        <f>OR($AD$13:$AD$22)</f>
        <v>0</v>
      </c>
      <c r="AH11" s="7" t="s">
        <v>210</v>
      </c>
      <c r="AI11" s="56"/>
      <c r="AJ11" s="66"/>
      <c r="AK11" s="95"/>
      <c r="AL11" s="83" t="str">
        <f ca="1"/>
        <v>商品担当者ID</v>
      </c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12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151</v>
      </c>
      <c r="AD12" s="7" t="s">
        <v>152</v>
      </c>
      <c r="AE12" s="7" t="s">
        <v>193</v>
      </c>
      <c r="AF12" s="7" t="s">
        <v>192</v>
      </c>
      <c r="AG12" s="7" t="b">
        <f ca="1">OR($Y$26:$AC$26,$Y$31:$AC$31,$Y$36:$AC$36,$Y$41:$AC$41,$Y$46:$AC$46)</f>
        <v>0</v>
      </c>
      <c r="AH12" s="7" t="s">
        <v>207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154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153</v>
      </c>
      <c r="AG13" s="7" t="b">
        <f ca="1">OR($Y$27:$AC$28,$Y$32:$AC$33,$Y$37:$AC$38,$Y$42:$AC$43,$Y$47:$AC$48)</f>
        <v>0</v>
      </c>
      <c r="AH13" s="7" t="s">
        <v>213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155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194</v>
      </c>
      <c r="AG14" s="7" t="b">
        <f>OR($AD$26,$AD$31,$AD$36,$AD$41,$AD$46)</f>
        <v>0</v>
      </c>
      <c r="AH14" s="7" t="s">
        <v>215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152</v>
      </c>
      <c r="AG15" s="7" t="b">
        <f>OR($AD$27,$AD$32,$AD$37,$AD$42,$AD$47)</f>
        <v>0</v>
      </c>
      <c r="AH15" s="7" t="s">
        <v>208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205</v>
      </c>
      <c r="AG16" s="7" t="b">
        <f ca="1">OR($AD$28,$AD$33,$AD$38,$AD$43,$AD$48)</f>
        <v>0</v>
      </c>
      <c r="AH16" s="7" t="s">
        <v>209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13</v>
      </c>
      <c r="AF17" s="7" t="s">
        <v>153</v>
      </c>
      <c r="AG17" s="7" t="b">
        <f ca="1">OR($Y$55:$AC$64)</f>
        <v>0</v>
      </c>
      <c r="AH17" s="7" t="s">
        <v>214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152</v>
      </c>
      <c r="AG18" s="7" t="b">
        <f>OR($AD$55:$AD$64)</f>
        <v>0</v>
      </c>
      <c r="AH18" s="7" t="s">
        <v>206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191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176</v>
      </c>
      <c r="L25" s="112" t="s">
        <v>203</v>
      </c>
      <c r="T25" s="19" t="b">
        <f t="shared" ca="1" si="0"/>
        <v>0</v>
      </c>
      <c r="U25" s="19" t="b">
        <f t="shared" si="2"/>
        <v>0</v>
      </c>
      <c r="V25" s="19"/>
      <c r="X25" s="7" t="s">
        <v>192</v>
      </c>
      <c r="AD25" s="7" t="s">
        <v>194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196</v>
      </c>
      <c r="L26" s="100" t="s">
        <v>46</v>
      </c>
      <c r="M26" s="104" t="s">
        <v>197</v>
      </c>
      <c r="N26" s="100"/>
      <c r="O26" s="104" t="s">
        <v>198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194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>得意先ID担当者名</v>
      </c>
      <c r="S27" s="66" t="str">
        <f>_xlfn.CONCAT(L26,R27)</f>
        <v>得意先得意先ID担当者名</v>
      </c>
      <c r="T27" s="19" t="b">
        <f t="shared" ca="1" si="0"/>
        <v>0</v>
      </c>
      <c r="U27" s="19" t="b">
        <f t="shared" si="2"/>
        <v>0</v>
      </c>
      <c r="V27" s="19"/>
      <c r="X27" s="7" t="s">
        <v>154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152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199</v>
      </c>
      <c r="L28" s="92" t="s">
        <v>32</v>
      </c>
      <c r="M28" s="73" t="s">
        <v>31</v>
      </c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155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205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200</v>
      </c>
      <c r="L29" s="93" t="s">
        <v>32</v>
      </c>
      <c r="M29" s="81" t="s">
        <v>31</v>
      </c>
      <c r="N29" s="81"/>
      <c r="O29" s="81"/>
      <c r="P29" s="82"/>
      <c r="R29" s="83" t="str">
        <f t="shared" ref="R29" si="10">_xlfn.CONCAT(L29:P29)</f>
        <v>得意先ID担当者名</v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得意先ID</v>
      </c>
      <c r="Z29" s="83" t="str">
        <f ca="1">IFERROR(VLOOKUP(M28,項目!DATA_AREA,8,FALSE),"N/A")</f>
        <v>担当者名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得意先ID</v>
      </c>
      <c r="Z30" s="83" t="str">
        <f ca="1">IFERROR(VLOOKUP(M29,項目!DATA_AREA,8,FALSE),"N/A")</f>
        <v>担当者名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196</v>
      </c>
      <c r="L31" s="100"/>
      <c r="M31" s="104" t="s">
        <v>197</v>
      </c>
      <c r="N31" s="100"/>
      <c r="O31" s="104" t="s">
        <v>198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199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200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196</v>
      </c>
      <c r="L36" s="100"/>
      <c r="M36" s="104" t="s">
        <v>197</v>
      </c>
      <c r="N36" s="100"/>
      <c r="O36" s="104" t="s">
        <v>198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199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200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196</v>
      </c>
      <c r="L41" s="100"/>
      <c r="M41" s="104" t="s">
        <v>197</v>
      </c>
      <c r="N41" s="100"/>
      <c r="O41" s="104" t="s">
        <v>198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199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200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196</v>
      </c>
      <c r="L46" s="100"/>
      <c r="M46" s="104" t="s">
        <v>197</v>
      </c>
      <c r="N46" s="100"/>
      <c r="O46" s="104" t="s">
        <v>198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199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200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2" t="s">
        <v>201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12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195</v>
      </c>
      <c r="AD54" s="7" t="s">
        <v>152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 t="s">
        <v>31</v>
      </c>
      <c r="M55" s="107" t="s">
        <v>30</v>
      </c>
      <c r="N55" s="107"/>
      <c r="O55" s="107"/>
      <c r="P55" s="108"/>
      <c r="R55" s="83" t="str">
        <f t="shared" ref="R55:R63" si="16">_xlfn.CONCAT(L55:P55)</f>
        <v>担当者名受注No</v>
      </c>
      <c r="T55" s="19" t="b">
        <f t="shared" ca="1" si="0"/>
        <v>0</v>
      </c>
      <c r="U55" s="19" t="b">
        <f t="shared" si="12"/>
        <v>0</v>
      </c>
      <c r="V55" s="19"/>
      <c r="X55" s="7" t="s">
        <v>154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>
        <v>1</v>
      </c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155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得意先ID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:AL116" ca="1">IFERROR(OFFSET(INDIRECT($L$26&amp;"!R13C18",FALSE),,,10,),"N/A")</f>
        <v>得意先ID担当者名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 t="str">
        <f ca="1"/>
        <v>登録日</v>
      </c>
      <c r="AM108" s="66"/>
      <c r="AN108" s="66"/>
      <c r="AO108" s="66"/>
      <c r="AP108" s="66"/>
    </row>
    <row r="109" spans="1:42">
      <c r="AL109" s="66" t="str">
        <f ca="1"/>
        <v>商品担当者ID</v>
      </c>
      <c r="AM109" s="66"/>
      <c r="AN109" s="66"/>
      <c r="AO109" s="66"/>
      <c r="AP109" s="66"/>
    </row>
    <row r="110" spans="1:42">
      <c r="AL110" s="66" t="str">
        <f ca="1"/>
        <v/>
      </c>
      <c r="AM110" s="66"/>
      <c r="AN110" s="66"/>
      <c r="AO110" s="66"/>
      <c r="AP110" s="66"/>
    </row>
    <row r="111" spans="1:42">
      <c r="AL111" s="66" t="str">
        <f ca="1"/>
        <v/>
      </c>
      <c r="AM111" s="66"/>
      <c r="AN111" s="66"/>
      <c r="AO111" s="66"/>
      <c r="AP111" s="66"/>
    </row>
    <row r="112" spans="1:42">
      <c r="AL112" s="66" t="str">
        <f ca="1"/>
        <v/>
      </c>
      <c r="AM112" s="66"/>
      <c r="AN112" s="66"/>
      <c r="AO112" s="66"/>
      <c r="AP112" s="66"/>
    </row>
    <row r="113" spans="38:42">
      <c r="AL113" s="66" t="str">
        <f ca="1"/>
        <v/>
      </c>
      <c r="AM113" s="66"/>
      <c r="AN113" s="66"/>
      <c r="AO113" s="66"/>
      <c r="AP113" s="66"/>
    </row>
    <row r="114" spans="38:42">
      <c r="AL114" s="66" t="str">
        <f ca="1"/>
        <v/>
      </c>
      <c r="AM114" s="66"/>
      <c r="AN114" s="66"/>
      <c r="AO114" s="66"/>
      <c r="AP114" s="66"/>
    </row>
    <row r="115" spans="38:42">
      <c r="AL115" s="66" t="str">
        <f ca="1"/>
        <v/>
      </c>
      <c r="AM115" s="66"/>
      <c r="AN115" s="66"/>
      <c r="AO115" s="66"/>
      <c r="AP115" s="66"/>
    </row>
    <row r="116" spans="38:42">
      <c r="AL116" s="66" t="str">
        <f ca="1"/>
        <v/>
      </c>
      <c r="AM116" s="66"/>
      <c r="AN116" s="66"/>
      <c r="AO116" s="66"/>
      <c r="AP116" s="66"/>
    </row>
  </sheetData>
  <phoneticPr fontId="2"/>
  <conditionalFormatting sqref="B2:C2">
    <cfRule type="expression" dxfId="80" priority="24">
      <formula>ISERROR(B2)</formula>
    </cfRule>
  </conditionalFormatting>
  <conditionalFormatting sqref="B6:B105">
    <cfRule type="expression" dxfId="79" priority="22">
      <formula>COUNTIF(FIELD_NAME,B6)&gt;1</formula>
    </cfRule>
    <cfRule type="expression" dxfId="78" priority="23">
      <formula>AND($B6&lt;&gt;"",ISNA(MATCH($B6,項目リスト,0)))</formula>
    </cfRule>
  </conditionalFormatting>
  <conditionalFormatting sqref="B6">
    <cfRule type="expression" dxfId="77" priority="21">
      <formula>$AI$6="N/A"</formula>
    </cfRule>
  </conditionalFormatting>
  <conditionalFormatting sqref="D1">
    <cfRule type="cellIs" dxfId="76" priority="20" operator="greaterThan">
      <formula>0</formula>
    </cfRule>
  </conditionalFormatting>
  <conditionalFormatting sqref="L8:P8">
    <cfRule type="expression" dxfId="75" priority="26">
      <formula>Y8</formula>
    </cfRule>
    <cfRule type="expression" dxfId="74" priority="27">
      <formula>Y7</formula>
    </cfRule>
  </conditionalFormatting>
  <conditionalFormatting sqref="L13:P22">
    <cfRule type="expression" dxfId="73" priority="18">
      <formula>Y13</formula>
    </cfRule>
    <cfRule type="expression" dxfId="72" priority="19">
      <formula>$AD13</formula>
    </cfRule>
  </conditionalFormatting>
  <conditionalFormatting sqref="L8">
    <cfRule type="expression" dxfId="71" priority="25">
      <formula>$AG$7</formula>
    </cfRule>
  </conditionalFormatting>
  <conditionalFormatting sqref="L55:P64">
    <cfRule type="expression" dxfId="70" priority="16">
      <formula>Y55</formula>
    </cfRule>
    <cfRule type="expression" dxfId="69" priority="17">
      <formula>$AD55</formula>
    </cfRule>
  </conditionalFormatting>
  <conditionalFormatting sqref="L43:P44">
    <cfRule type="expression" dxfId="68" priority="15">
      <formula>Y42</formula>
    </cfRule>
  </conditionalFormatting>
  <conditionalFormatting sqref="L43:P43">
    <cfRule type="expression" dxfId="67" priority="13">
      <formula>$AD42</formula>
    </cfRule>
    <cfRule type="expression" dxfId="66" priority="29">
      <formula>Y41</formula>
    </cfRule>
  </conditionalFormatting>
  <conditionalFormatting sqref="L43">
    <cfRule type="expression" dxfId="65" priority="14">
      <formula>$AD41</formula>
    </cfRule>
  </conditionalFormatting>
  <conditionalFormatting sqref="L28:P29 L33:P34 L38:P39 L48:P49 L43:P44">
    <cfRule type="expression" dxfId="64" priority="30">
      <formula>Y27</formula>
    </cfRule>
  </conditionalFormatting>
  <conditionalFormatting sqref="L29:P29 L34:P34 L39:P39 L49:P49">
    <cfRule type="expression" dxfId="63" priority="31">
      <formula>$AD27</formula>
    </cfRule>
    <cfRule type="expression" dxfId="62" priority="32">
      <formula>Y26</formula>
    </cfRule>
  </conditionalFormatting>
  <conditionalFormatting sqref="L28 L33 L38 L48 L43">
    <cfRule type="expression" dxfId="61" priority="33">
      <formula>$AD26</formula>
    </cfRule>
  </conditionalFormatting>
  <conditionalFormatting sqref="L44:P44">
    <cfRule type="expression" dxfId="60" priority="34">
      <formula>$AD42</formula>
    </cfRule>
    <cfRule type="expression" dxfId="59" priority="35">
      <formula>Y41</formula>
    </cfRule>
  </conditionalFormatting>
  <conditionalFormatting sqref="L28:P28 L33:P33 L38:P38 L43:P43 L48:P48">
    <cfRule type="expression" dxfId="58" priority="12">
      <formula>$AD27</formula>
    </cfRule>
    <cfRule type="expression" dxfId="57" priority="28">
      <formula>Y26</formula>
    </cfRule>
  </conditionalFormatting>
  <conditionalFormatting sqref="K56">
    <cfRule type="expression" dxfId="56" priority="10">
      <formula>X56</formula>
    </cfRule>
    <cfRule type="expression" dxfId="55" priority="11">
      <formula>$AD56</formula>
    </cfRule>
  </conditionalFormatting>
  <conditionalFormatting sqref="K58">
    <cfRule type="expression" dxfId="54" priority="8">
      <formula>X58</formula>
    </cfRule>
    <cfRule type="expression" dxfId="53" priority="9">
      <formula>$AD58</formula>
    </cfRule>
  </conditionalFormatting>
  <conditionalFormatting sqref="K60">
    <cfRule type="expression" dxfId="52" priority="6">
      <formula>X60</formula>
    </cfRule>
    <cfRule type="expression" dxfId="51" priority="7">
      <formula>$AD60</formula>
    </cfRule>
  </conditionalFormatting>
  <conditionalFormatting sqref="K62">
    <cfRule type="expression" dxfId="50" priority="4">
      <formula>X62</formula>
    </cfRule>
    <cfRule type="expression" dxfId="49" priority="5">
      <formula>$AD62</formula>
    </cfRule>
  </conditionalFormatting>
  <conditionalFormatting sqref="K64">
    <cfRule type="expression" dxfId="48" priority="2">
      <formula>X64</formula>
    </cfRule>
    <cfRule type="expression" dxfId="47" priority="3">
      <formula>$AD64</formula>
    </cfRule>
  </conditionalFormatting>
  <conditionalFormatting sqref="L29:P29 L34:P34 L39:P39 L44:P44 L49:P49">
    <cfRule type="expression" dxfId="46" priority="1">
      <formula>$AD28</formula>
    </cfRule>
  </conditionalFormatting>
  <conditionalFormatting sqref="E6">
    <cfRule type="expression" dxfId="45" priority="36" stopIfTrue="1">
      <formula>$V6</formula>
    </cfRule>
  </conditionalFormatting>
  <conditionalFormatting sqref="E7">
    <cfRule type="expression" dxfId="44" priority="37" stopIfTrue="1">
      <formula>$V7</formula>
    </cfRule>
  </conditionalFormatting>
  <conditionalFormatting sqref="E8">
    <cfRule type="expression" dxfId="43" priority="38" stopIfTrue="1">
      <formula>$V8</formula>
    </cfRule>
  </conditionalFormatting>
  <conditionalFormatting sqref="E9">
    <cfRule type="expression" dxfId="42" priority="39" stopIfTrue="1">
      <formula>$V9</formula>
    </cfRule>
  </conditionalFormatting>
  <conditionalFormatting sqref="E10">
    <cfRule type="expression" dxfId="41" priority="40" stopIfTrue="1">
      <formula>$V10</formula>
    </cfRule>
  </conditionalFormatting>
  <dataValidations count="16">
    <dataValidation imeMode="off" allowBlank="1" showInputMessage="1" showErrorMessage="1" sqref="D5:F5 C2 F6:F105" xr:uid="{F4E721BA-469C-4004-A3E1-3936446F74B9}"/>
    <dataValidation type="whole" imeMode="off" operator="equal" allowBlank="1" showInputMessage="1" showErrorMessage="1" error="DESC指定の場合に‐1を入力" sqref="L56:P56 L58:P58 L60:P60 L62:P62 L64:P64" xr:uid="{C36087ED-B52F-4D50-B13F-AE39CA7D2298}">
      <formula1>-1</formula1>
    </dataValidation>
    <dataValidation type="whole" imeMode="off" operator="equal" allowBlank="1" showInputMessage="1" showErrorMessage="1" error="Unique indexの場合に1を入力" sqref="K56 K58 K60 K62 K64" xr:uid="{10529A9C-412E-4B64-A261-8599F7470FCC}">
      <formula1>1</formula1>
    </dataValidation>
    <dataValidation type="list" allowBlank="1" showInputMessage="1" showErrorMessage="1" sqref="N26 P26 N31 P31 N36 P36 N41 P41 N46 P46" xr:uid="{B34715E2-3EFE-4F59-8274-7F0DE41A65D9}">
      <formula1>FK_OPTION</formula1>
    </dataValidation>
    <dataValidation type="list" allowBlank="1" showInputMessage="1" showErrorMessage="1" sqref="L49:P49" xr:uid="{A988A53A-C92D-437B-BB4E-78421B79F65F}">
      <formula1>FK_FIELD_5</formula1>
    </dataValidation>
    <dataValidation type="list" allowBlank="1" showInputMessage="1" showErrorMessage="1" sqref="L44:P44" xr:uid="{FCD2576E-7AF4-4658-9427-2DD075F5354C}">
      <formula1>FK_FIELD_4</formula1>
    </dataValidation>
    <dataValidation type="list" allowBlank="1" showInputMessage="1" showErrorMessage="1" sqref="L39:P39" xr:uid="{B15AF593-FD56-461F-A531-D988A6666871}">
      <formula1>FK_FIELD_3</formula1>
    </dataValidation>
    <dataValidation type="list" allowBlank="1" showInputMessage="1" showErrorMessage="1" sqref="L34:P34" xr:uid="{829F43D7-11C5-4C6F-B27D-B20850E61500}">
      <formula1>FK_FIELD_2</formula1>
    </dataValidation>
    <dataValidation type="list" allowBlank="1" showInputMessage="1" showErrorMessage="1" sqref="L29:P29" xr:uid="{AF8C4CD7-D2EE-4DD4-8099-11142A2BF649}">
      <formula1>FK_FIELD_1</formula1>
    </dataValidation>
    <dataValidation type="list" allowBlank="1" showInputMessage="1" showErrorMessage="1" sqref="L26 L31 L36 L41 L46" xr:uid="{3FF720A5-EF71-4639-832D-A05B036C35FE}">
      <formula1>TABLEリスト</formula1>
    </dataValidation>
    <dataValidation type="list" allowBlank="1" showInputMessage="1" showErrorMessage="1" sqref="F2" xr:uid="{9CC0E66F-DE55-4634-80F9-A63255E2399D}">
      <formula1>"○,-"</formula1>
    </dataValidation>
    <dataValidation type="list" allowBlank="1" showInputMessage="1" showErrorMessage="1" sqref="L13:P22 L43:P43 L48:P48 L33:P33 L38:P38 L28:P28 L55:P55 L57:P57 L59:P59 L61:P61 L63:P63" xr:uid="{2DEA9C53-44BD-4233-AFA3-C4B76575A973}">
      <formula1>FIELDリスト</formula1>
    </dataValidation>
    <dataValidation type="list" allowBlank="1" showInputMessage="1" showErrorMessage="1" sqref="L8:P8" xr:uid="{4510AC42-516E-4F3D-AA19-BB350567CFA7}">
      <formula1>FIELDリストNN</formula1>
    </dataValidation>
    <dataValidation type="whole" imeMode="off" operator="equal" allowBlank="1" showInputMessage="1" showErrorMessage="1" error="NotNullの場合は[1]を入力する。" sqref="E6:E105" xr:uid="{3DD6C7D7-1B1F-49BF-92D6-9F394C389557}">
      <formula1>1</formula1>
    </dataValidation>
    <dataValidation type="list" allowBlank="1" showInputMessage="1" showErrorMessage="1" sqref="B6:B105" xr:uid="{471CCBAE-3032-487B-9C23-F1A933F919A5}">
      <formula1>項目リスト</formula1>
    </dataValidation>
    <dataValidation imeMode="on" allowBlank="1" showInputMessage="1" showErrorMessage="1" sqref="K12 A5 A1:A2 E2 K7 K54 G6:H105" xr:uid="{1DC85391-217D-4578-8010-C63AA7D77F54}"/>
  </dataValidations>
  <hyperlinks>
    <hyperlink ref="E1" location="一覧!R1C1" display="一覧へ" xr:uid="{957972E7-37DE-48F6-82E8-DE0C300C6A78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67B5E-28B2-4014-8AA9-50EEBB39866B}">
  <sheetPr codeName="template3">
    <tabColor rgb="FFFFFF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6</v>
      </c>
      <c r="B1" s="20" t="str">
        <f>SCHEMA_JP</f>
        <v>受注</v>
      </c>
      <c r="C1" s="20" t="str">
        <f>SCHEMA_EN</f>
        <v>received_order</v>
      </c>
      <c r="D1" s="52">
        <f ca="1">OR(AG:AG)+0</f>
        <v>0</v>
      </c>
      <c r="E1" s="14" t="s">
        <v>15</v>
      </c>
      <c r="L1" s="18"/>
      <c r="AE1" s="7" t="s">
        <v>18</v>
      </c>
      <c r="AF1" s="7" t="s">
        <v>16</v>
      </c>
      <c r="AG1" s="7" t="b">
        <v>0</v>
      </c>
    </row>
    <row r="2" spans="1:43" ht="16.5">
      <c r="A2" s="9" t="s">
        <v>7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1">
        <v>3</v>
      </c>
      <c r="E2" s="85" t="s">
        <v>157</v>
      </c>
      <c r="F2" s="86" t="s">
        <v>172</v>
      </c>
      <c r="G2" s="40"/>
      <c r="AF2" s="7" t="s">
        <v>17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8</v>
      </c>
      <c r="AF3" s="7" t="s">
        <v>25</v>
      </c>
      <c r="AG3" s="7" t="b">
        <f>AI6="N/A"</f>
        <v>0</v>
      </c>
      <c r="AH3" s="7" t="s">
        <v>221</v>
      </c>
      <c r="AI3" s="7" t="s">
        <v>179</v>
      </c>
      <c r="AQ3" s="114" t="str">
        <f ca="1">IF(AG3,AH3,AQ4)</f>
        <v/>
      </c>
    </row>
    <row r="4" spans="1:43" ht="20">
      <c r="A4" s="10" t="s">
        <v>44</v>
      </c>
      <c r="E4" s="112" t="s">
        <v>204</v>
      </c>
      <c r="K4" s="10" t="s">
        <v>45</v>
      </c>
      <c r="T4" s="65" t="s">
        <v>149</v>
      </c>
      <c r="AF4" s="7" t="s">
        <v>19</v>
      </c>
      <c r="AG4" s="7" t="b">
        <f ca="1">OR(T6:T105)</f>
        <v>0</v>
      </c>
      <c r="AH4" s="7" t="s">
        <v>218</v>
      </c>
      <c r="AI4" s="96" t="s">
        <v>185</v>
      </c>
      <c r="AJ4" s="96" t="s">
        <v>186</v>
      </c>
      <c r="AK4" s="96" t="s">
        <v>8</v>
      </c>
      <c r="AL4" s="96" t="s">
        <v>180</v>
      </c>
      <c r="AM4" s="96" t="s">
        <v>181</v>
      </c>
      <c r="AN4" s="96" t="s">
        <v>182</v>
      </c>
      <c r="AO4" s="96" t="s">
        <v>183</v>
      </c>
      <c r="AP4" s="96" t="s">
        <v>184</v>
      </c>
      <c r="AQ4" s="115" t="str">
        <f ca="1">IF(AG4,AH4,AQ5)</f>
        <v/>
      </c>
    </row>
    <row r="5" spans="1:43">
      <c r="A5" s="2" t="s">
        <v>12</v>
      </c>
      <c r="B5" s="3" t="s">
        <v>0</v>
      </c>
      <c r="C5" s="3" t="s">
        <v>11</v>
      </c>
      <c r="D5" s="4" t="s">
        <v>3</v>
      </c>
      <c r="E5" s="4" t="s">
        <v>10</v>
      </c>
      <c r="F5" s="4" t="s">
        <v>9</v>
      </c>
      <c r="G5" s="6" t="s">
        <v>43</v>
      </c>
      <c r="H5" s="3" t="s">
        <v>42</v>
      </c>
      <c r="L5" s="65" t="str">
        <f ca="1">$AQ$7</f>
        <v/>
      </c>
      <c r="T5" s="7" t="s">
        <v>19</v>
      </c>
      <c r="U5" s="7" t="s">
        <v>23</v>
      </c>
      <c r="AF5" s="7" t="s">
        <v>23</v>
      </c>
      <c r="AG5" s="7" t="b">
        <f>OR(U6:U105)</f>
        <v>0</v>
      </c>
      <c r="AH5" s="7" t="s">
        <v>219</v>
      </c>
      <c r="AI5" s="56">
        <f>COUNTA(AI6:AI105)</f>
        <v>5</v>
      </c>
      <c r="AJ5" s="66">
        <f>COUNTA(AJ6:AJ105)</f>
        <v>2</v>
      </c>
      <c r="AK5" s="95">
        <f>COUNTA(AK6:AK105)</f>
        <v>2</v>
      </c>
      <c r="AL5" s="83" cm="1">
        <f t="array" aca="1" ref="AL5" ca="1">IFERROR(INDIRECT($L$26&amp;"!R5C35",FALSE),1)</f>
        <v>5</v>
      </c>
      <c r="AM5" s="83" cm="1">
        <f t="array" aca="1" ref="AM5" ca="1">IFERROR(INDIRECT($L$31&amp;"!R5C35",FALSE),1)</f>
        <v>6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30</v>
      </c>
      <c r="C6" s="34" t="str">
        <f ca="1">IFERROR(VLOOKUP(B6,項目!DATA_AREA,2,FALSE),"")</f>
        <v>received_order_no</v>
      </c>
      <c r="D6" s="34" t="str">
        <f ca="1">IFERROR(VLOOKUP(B6,項目!DATA_AREA,3,FALSE),"")</f>
        <v>varchar(10)</v>
      </c>
      <c r="E6" s="47">
        <v>1</v>
      </c>
      <c r="F6" s="116" t="s">
        <v>222</v>
      </c>
      <c r="G6" s="37" t="str">
        <f ca="1">IFERROR(VLOOKUP(B6,項目!DATA_AREA,4,FALSE),"")</f>
        <v>(LENGTH(received_order_no) = 10)</v>
      </c>
      <c r="H6" s="11" t="b">
        <f ca="1">IFERROR(VLOOKUP(B6,項目!DATA_AREA,5,FALSE),"")</f>
        <v>0</v>
      </c>
      <c r="K6" s="50" t="s">
        <v>177</v>
      </c>
      <c r="L6" s="112" t="s">
        <v>202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150</v>
      </c>
      <c r="AF6" s="7" t="s">
        <v>24</v>
      </c>
      <c r="AG6" s="119" t="b">
        <v>0</v>
      </c>
      <c r="AH6" s="7" t="s">
        <v>220</v>
      </c>
      <c r="AI6" s="56" t="s">
        <v>173</v>
      </c>
      <c r="AJ6" s="66" t="s">
        <v>173</v>
      </c>
      <c r="AK6" s="95" t="s">
        <v>178</v>
      </c>
      <c r="AL6" s="83" t="str" cm="1">
        <f t="array" aca="1" ref="AL6:AL10" ca="1">IFERROR(OFFSET(INDIRECT($L$26&amp;"!R6C35",FALSE),,,AL5,),"N/A")</f>
        <v>受注No</v>
      </c>
      <c r="AM6" s="83" t="str" cm="1">
        <f t="array" aca="1" ref="AM6:AM11" ca="1">IFERROR(OFFSET(INDIRECT($L$31&amp;"!R6C35",FALSE),,,AM5,),"N/A")</f>
        <v>得意先ID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27</v>
      </c>
      <c r="C7" s="35" t="str">
        <f ca="1">IFERROR(VLOOKUP(B7,項目!DATA_AREA,2,FALSE),"")</f>
        <v>product_no</v>
      </c>
      <c r="D7" s="35" t="str">
        <f ca="1">IFERROR(VLOOKUP(B7,項目!DATA_AREA,3,FALSE),"")</f>
        <v>varchar(10)</v>
      </c>
      <c r="E7" s="48">
        <v>1</v>
      </c>
      <c r="F7" s="117" t="s">
        <v>222</v>
      </c>
      <c r="G7" s="38" t="str">
        <f ca="1">IFERROR(VLOOKUP(B7,項目!DATA_AREA,4,FALSE),"")</f>
        <v>(LENGTH(product_no) &gt;= 9)</v>
      </c>
      <c r="H7" s="12" t="b">
        <f ca="1">IFERROR(VLOOKUP(B7,項目!DATA_AREA,5,FALSE),"")</f>
        <v>0</v>
      </c>
      <c r="K7" s="53" t="s">
        <v>12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19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14</v>
      </c>
      <c r="AF7" s="7" t="s">
        <v>26</v>
      </c>
      <c r="AG7" s="7" t="b">
        <f>_xlfn.CONCAT(PK_AREA)=""</f>
        <v>0</v>
      </c>
      <c r="AH7" s="7" t="s">
        <v>211</v>
      </c>
      <c r="AI7" s="56" t="s">
        <v>27</v>
      </c>
      <c r="AJ7" s="66" t="s">
        <v>27</v>
      </c>
      <c r="AK7" s="95" t="s">
        <v>165</v>
      </c>
      <c r="AL7" s="83" t="str">
        <f ca="1"/>
        <v>受注日</v>
      </c>
      <c r="AM7" s="83" t="str">
        <f ca="1"/>
        <v>得意先</v>
      </c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29</v>
      </c>
      <c r="C8" s="35" t="str">
        <f ca="1">IFERROR(VLOOKUP(B8,項目!DATA_AREA,2,FALSE),"")</f>
        <v>quantity</v>
      </c>
      <c r="D8" s="35" t="str">
        <f ca="1">IFERROR(VLOOKUP(B8,項目!DATA_AREA,3,FALSE),"")</f>
        <v>integer</v>
      </c>
      <c r="E8" s="48"/>
      <c r="F8" s="117" t="s">
        <v>222</v>
      </c>
      <c r="G8" s="38" t="str">
        <f ca="1">IFERROR(VLOOKUP(B8,項目!DATA_AREA,4,FALSE),"")</f>
        <v>(0 &lt;= quantity AND quantity &lt;= 99999)</v>
      </c>
      <c r="H8" s="12" t="b">
        <f ca="1">IFERROR(VLOOKUP(B8,項目!DATA_AREA,5,FALSE),"")</f>
        <v>0</v>
      </c>
      <c r="K8" s="67" t="s">
        <v>14</v>
      </c>
      <c r="L8" s="68" t="s">
        <v>30</v>
      </c>
      <c r="M8" s="69" t="s">
        <v>27</v>
      </c>
      <c r="N8" s="69"/>
      <c r="O8" s="69"/>
      <c r="P8" s="70"/>
      <c r="R8" s="83" t="str">
        <f>_xlfn.CONCAT(L8:P8)</f>
        <v>受注No商品No</v>
      </c>
      <c r="T8" s="19" t="b">
        <f t="shared" ca="1" si="0"/>
        <v>0</v>
      </c>
      <c r="U8" s="19" t="b">
        <f t="shared" si="2"/>
        <v>0</v>
      </c>
      <c r="V8" s="19"/>
      <c r="X8" s="7" t="s">
        <v>23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19</v>
      </c>
      <c r="AG8" s="7" t="b">
        <f ca="1">OR(Y7:AC7)</f>
        <v>0</v>
      </c>
      <c r="AH8" s="7" t="s">
        <v>217</v>
      </c>
      <c r="AI8" s="56" t="s">
        <v>29</v>
      </c>
      <c r="AJ8" s="66"/>
      <c r="AK8" s="95"/>
      <c r="AL8" s="83" t="str">
        <f ca="1"/>
        <v>担当者名</v>
      </c>
      <c r="AM8" s="83" t="str">
        <f ca="1"/>
        <v>担当者名</v>
      </c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4</v>
      </c>
      <c r="C9" s="35" t="str">
        <f ca="1">IFERROR(VLOOKUP(B9,項目!DATA_AREA,2,FALSE),"")</f>
        <v>price</v>
      </c>
      <c r="D9" s="35" t="str">
        <f ca="1">IFERROR(VLOOKUP(B9,項目!DATA_AREA,3,FALSE),"")</f>
        <v>integer</v>
      </c>
      <c r="E9" s="48"/>
      <c r="F9" s="117" t="s">
        <v>222</v>
      </c>
      <c r="G9" s="38" t="str">
        <f ca="1">IFERROR(VLOOKUP(B9,項目!DATA_AREA,4,FALSE),"")</f>
        <v>(price &gt;= 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/>
      <c r="AF9" s="7" t="s">
        <v>23</v>
      </c>
      <c r="AG9" s="7" t="b">
        <f>OR(Y8:AC8)</f>
        <v>0</v>
      </c>
      <c r="AH9" s="7" t="s">
        <v>212</v>
      </c>
      <c r="AI9" s="56" t="s">
        <v>4</v>
      </c>
      <c r="AJ9" s="66"/>
      <c r="AK9" s="95"/>
      <c r="AL9" s="83" t="str">
        <f ca="1"/>
        <v>得意先ID</v>
      </c>
      <c r="AM9" s="83" t="str">
        <f ca="1"/>
        <v>取引先区分</v>
      </c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137</v>
      </c>
      <c r="C10" s="35" t="str">
        <f ca="1">IFERROR(VLOOKUP(B10,項目!DATA_AREA,2,FALSE),"")</f>
        <v>order_pic</v>
      </c>
      <c r="D10" s="35" t="str">
        <f ca="1">IFERROR(VLOOKUP(B10,項目!DATA_AREA,3,FALSE),"")</f>
        <v>varchar(4)</v>
      </c>
      <c r="E10" s="48"/>
      <c r="F10" s="117" t="s">
        <v>222</v>
      </c>
      <c r="G10" s="38" t="str">
        <f ca="1">IFERROR(VLOOKUP(B10,項目!DATA_AREA,4,FALSE),"")</f>
        <v>(LENGTH(order_pic) = 4)</v>
      </c>
      <c r="H10" s="12" t="b">
        <f ca="1">IFERROR(VLOOKUP(B10,項目!DATA_AREA,5,FALSE),"")</f>
        <v>0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48</v>
      </c>
      <c r="AF10" s="7" t="s">
        <v>153</v>
      </c>
      <c r="AG10" s="7" t="b">
        <f ca="1">OR($Y$13:$AC$22)</f>
        <v>0</v>
      </c>
      <c r="AH10" s="7" t="s">
        <v>216</v>
      </c>
      <c r="AI10" s="56" t="s">
        <v>137</v>
      </c>
      <c r="AJ10" s="66"/>
      <c r="AK10" s="95"/>
      <c r="AL10" s="83" t="str">
        <f ca="1"/>
        <v>コメント</v>
      </c>
      <c r="AM10" s="83" t="str">
        <f ca="1"/>
        <v>登録日</v>
      </c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47</v>
      </c>
      <c r="L11" s="112" t="s">
        <v>49</v>
      </c>
      <c r="T11" s="19" t="b">
        <f t="shared" ca="1" si="0"/>
        <v>0</v>
      </c>
      <c r="U11" s="19" t="b">
        <f t="shared" si="2"/>
        <v>0</v>
      </c>
      <c r="V11" s="19"/>
      <c r="AF11" s="7" t="s">
        <v>152</v>
      </c>
      <c r="AG11" s="7" t="b">
        <f>OR($AD$13:$AD$22)</f>
        <v>0</v>
      </c>
      <c r="AH11" s="7" t="s">
        <v>210</v>
      </c>
      <c r="AI11" s="56"/>
      <c r="AJ11" s="66"/>
      <c r="AK11" s="95"/>
      <c r="AL11" s="83"/>
      <c r="AM11" s="83" t="str">
        <f ca="1"/>
        <v>商品担当者ID</v>
      </c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12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151</v>
      </c>
      <c r="AD12" s="7" t="s">
        <v>152</v>
      </c>
      <c r="AE12" s="7" t="s">
        <v>193</v>
      </c>
      <c r="AF12" s="7" t="s">
        <v>192</v>
      </c>
      <c r="AG12" s="7" t="b">
        <f ca="1">OR($Y$26:$AC$26,$Y$31:$AC$31,$Y$36:$AC$36,$Y$41:$AC$41,$Y$46:$AC$46)</f>
        <v>0</v>
      </c>
      <c r="AH12" s="7" t="s">
        <v>207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154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153</v>
      </c>
      <c r="AG13" s="7" t="b">
        <f ca="1">OR($Y$27:$AC$28,$Y$32:$AC$33,$Y$37:$AC$38,$Y$42:$AC$43,$Y$47:$AC$48)</f>
        <v>0</v>
      </c>
      <c r="AH13" s="7" t="s">
        <v>213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155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194</v>
      </c>
      <c r="AG14" s="7" t="b">
        <f>OR($AD$26,$AD$31,$AD$36,$AD$41,$AD$46)</f>
        <v>0</v>
      </c>
      <c r="AH14" s="7" t="s">
        <v>215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152</v>
      </c>
      <c r="AG15" s="7" t="b">
        <f>OR($AD$27,$AD$32,$AD$37,$AD$42,$AD$47)</f>
        <v>0</v>
      </c>
      <c r="AH15" s="7" t="s">
        <v>208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205</v>
      </c>
      <c r="AG16" s="7" t="b">
        <f ca="1">OR($AD$28,$AD$33,$AD$38,$AD$43,$AD$48)</f>
        <v>0</v>
      </c>
      <c r="AH16" s="7" t="s">
        <v>209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13</v>
      </c>
      <c r="AF17" s="7" t="s">
        <v>153</v>
      </c>
      <c r="AG17" s="7" t="b">
        <f ca="1">OR($Y$55:$AC$64)</f>
        <v>0</v>
      </c>
      <c r="AH17" s="7" t="s">
        <v>214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152</v>
      </c>
      <c r="AG18" s="7" t="b">
        <f>OR($AD$55:$AD$64)</f>
        <v>0</v>
      </c>
      <c r="AH18" s="7" t="s">
        <v>206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191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176</v>
      </c>
      <c r="L25" s="112" t="s">
        <v>203</v>
      </c>
      <c r="T25" s="19" t="b">
        <f t="shared" ca="1" si="0"/>
        <v>0</v>
      </c>
      <c r="U25" s="19" t="b">
        <f t="shared" si="2"/>
        <v>0</v>
      </c>
      <c r="V25" s="19"/>
      <c r="X25" s="7" t="s">
        <v>192</v>
      </c>
      <c r="AD25" s="7" t="s">
        <v>194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196</v>
      </c>
      <c r="L26" s="100" t="s">
        <v>165</v>
      </c>
      <c r="M26" s="104" t="s">
        <v>197</v>
      </c>
      <c r="N26" s="100" t="s">
        <v>188</v>
      </c>
      <c r="O26" s="104" t="s">
        <v>198</v>
      </c>
      <c r="P26" s="100" t="s">
        <v>188</v>
      </c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194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>受注No</v>
      </c>
      <c r="S27" s="66" t="str">
        <f>_xlfn.CONCAT(L26,R27)</f>
        <v>受注受注No</v>
      </c>
      <c r="T27" s="19" t="b">
        <f t="shared" ca="1" si="0"/>
        <v>0</v>
      </c>
      <c r="U27" s="19" t="b">
        <f t="shared" si="2"/>
        <v>0</v>
      </c>
      <c r="V27" s="19"/>
      <c r="X27" s="7" t="s">
        <v>154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152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199</v>
      </c>
      <c r="L28" s="92" t="s">
        <v>30</v>
      </c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155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205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200</v>
      </c>
      <c r="L29" s="93" t="s">
        <v>30</v>
      </c>
      <c r="M29" s="81"/>
      <c r="N29" s="81"/>
      <c r="O29" s="81"/>
      <c r="P29" s="82"/>
      <c r="R29" s="83" t="str">
        <f t="shared" ref="R29" si="10">_xlfn.CONCAT(L29:P29)</f>
        <v>受注No</v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受注No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受注No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196</v>
      </c>
      <c r="L31" s="100" t="s">
        <v>46</v>
      </c>
      <c r="M31" s="104" t="s">
        <v>197</v>
      </c>
      <c r="N31" s="100"/>
      <c r="O31" s="104" t="s">
        <v>198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>受注担当者ID</v>
      </c>
      <c r="S32" s="66" t="str">
        <f>_xlfn.CONCAT(L31,R32)</f>
        <v>得意先受注担当者ID</v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199</v>
      </c>
      <c r="L33" s="92" t="s">
        <v>137</v>
      </c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200</v>
      </c>
      <c r="L34" s="93" t="s">
        <v>140</v>
      </c>
      <c r="M34" s="81"/>
      <c r="N34" s="81"/>
      <c r="O34" s="81"/>
      <c r="P34" s="82"/>
      <c r="R34" s="83" t="str">
        <f t="shared" ref="R34" si="11">_xlfn.CONCAT(L34:P34)</f>
        <v>商品担当者ID</v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ユーザーID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ユーザーID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196</v>
      </c>
      <c r="L36" s="100"/>
      <c r="M36" s="104" t="s">
        <v>197</v>
      </c>
      <c r="N36" s="100"/>
      <c r="O36" s="104" t="s">
        <v>198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199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200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196</v>
      </c>
      <c r="L41" s="100"/>
      <c r="M41" s="104" t="s">
        <v>197</v>
      </c>
      <c r="N41" s="100"/>
      <c r="O41" s="104" t="s">
        <v>198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199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200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196</v>
      </c>
      <c r="L46" s="100"/>
      <c r="M46" s="104" t="s">
        <v>197</v>
      </c>
      <c r="N46" s="100"/>
      <c r="O46" s="104" t="s">
        <v>198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199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200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13</v>
      </c>
      <c r="L53" s="112" t="s">
        <v>201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12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195</v>
      </c>
      <c r="AD54" s="7" t="s">
        <v>152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 t="s">
        <v>27</v>
      </c>
      <c r="M55" s="107" t="s">
        <v>29</v>
      </c>
      <c r="N55" s="107"/>
      <c r="O55" s="107"/>
      <c r="P55" s="108"/>
      <c r="R55" s="83" t="str">
        <f t="shared" ref="R55:R63" si="16">_xlfn.CONCAT(L55:P55)</f>
        <v>商品No数量</v>
      </c>
      <c r="T55" s="19" t="b">
        <f t="shared" ca="1" si="0"/>
        <v>0</v>
      </c>
      <c r="U55" s="19" t="b">
        <f t="shared" si="12"/>
        <v>0</v>
      </c>
      <c r="V55" s="19"/>
      <c r="X55" s="7" t="s">
        <v>154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>
        <v>-1</v>
      </c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155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受注No</v>
      </c>
      <c r="AM106" s="66" t="str" cm="1">
        <f t="array" aca="1" ref="AM106" ca="1">IFERROR(INDIRECT($L$31&amp;"!R8C18",FALSE),"N/A")</f>
        <v>得意先ID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:AL116" ca="1">IFERROR(OFFSET(INDIRECT($L$26&amp;"!R13C18",FALSE),,,10,),"N/A")</f>
        <v/>
      </c>
      <c r="AM107" s="66" t="str" cm="1">
        <f t="array" aca="1" ref="AM107:AM116" ca="1">IFERROR(OFFSET(INDIRECT($L$31&amp;"!R13C18",FALSE),,,10,),"N/A")</f>
        <v>得意先ID担当者名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 t="str">
        <f ca="1"/>
        <v/>
      </c>
      <c r="AM108" s="66" t="str">
        <f ca="1"/>
        <v>登録日</v>
      </c>
      <c r="AN108" s="66"/>
      <c r="AO108" s="66"/>
      <c r="AP108" s="66"/>
    </row>
    <row r="109" spans="1:42">
      <c r="AL109" s="66" t="str">
        <f ca="1"/>
        <v/>
      </c>
      <c r="AM109" s="66" t="str">
        <f ca="1"/>
        <v>商品担当者ID</v>
      </c>
      <c r="AN109" s="66"/>
      <c r="AO109" s="66"/>
      <c r="AP109" s="66"/>
    </row>
    <row r="110" spans="1:42">
      <c r="AL110" s="66" t="str">
        <f ca="1"/>
        <v/>
      </c>
      <c r="AM110" s="66" t="str">
        <f ca="1"/>
        <v/>
      </c>
      <c r="AN110" s="66"/>
      <c r="AO110" s="66"/>
      <c r="AP110" s="66"/>
    </row>
    <row r="111" spans="1:42">
      <c r="AL111" s="66" t="str">
        <f ca="1"/>
        <v/>
      </c>
      <c r="AM111" s="66" t="str">
        <f ca="1"/>
        <v/>
      </c>
      <c r="AN111" s="66"/>
      <c r="AO111" s="66"/>
      <c r="AP111" s="66"/>
    </row>
    <row r="112" spans="1:42">
      <c r="AL112" s="66" t="str">
        <f ca="1"/>
        <v/>
      </c>
      <c r="AM112" s="66" t="str">
        <f ca="1"/>
        <v/>
      </c>
      <c r="AN112" s="66"/>
      <c r="AO112" s="66"/>
      <c r="AP112" s="66"/>
    </row>
    <row r="113" spans="38:42">
      <c r="AL113" s="66" t="str">
        <f ca="1"/>
        <v/>
      </c>
      <c r="AM113" s="66" t="str">
        <f ca="1"/>
        <v/>
      </c>
      <c r="AN113" s="66"/>
      <c r="AO113" s="66"/>
      <c r="AP113" s="66"/>
    </row>
    <row r="114" spans="38:42">
      <c r="AL114" s="66" t="str">
        <f ca="1"/>
        <v/>
      </c>
      <c r="AM114" s="66" t="str">
        <f ca="1"/>
        <v/>
      </c>
      <c r="AN114" s="66"/>
      <c r="AO114" s="66"/>
      <c r="AP114" s="66"/>
    </row>
    <row r="115" spans="38:42">
      <c r="AL115" s="66" t="str">
        <f ca="1"/>
        <v/>
      </c>
      <c r="AM115" s="66" t="str">
        <f ca="1"/>
        <v/>
      </c>
      <c r="AN115" s="66"/>
      <c r="AO115" s="66"/>
      <c r="AP115" s="66"/>
    </row>
    <row r="116" spans="38:42">
      <c r="AL116" s="66" t="str">
        <f ca="1"/>
        <v/>
      </c>
      <c r="AM116" s="66" t="str">
        <f ca="1"/>
        <v/>
      </c>
      <c r="AN116" s="66"/>
      <c r="AO116" s="66"/>
      <c r="AP116" s="66"/>
    </row>
  </sheetData>
  <phoneticPr fontId="2"/>
  <conditionalFormatting sqref="B2:C2">
    <cfRule type="expression" dxfId="40" priority="24">
      <formula>ISERROR(B2)</formula>
    </cfRule>
  </conditionalFormatting>
  <conditionalFormatting sqref="B6:B105">
    <cfRule type="expression" dxfId="39" priority="22">
      <formula>COUNTIF(FIELD_NAME,B6)&gt;1</formula>
    </cfRule>
    <cfRule type="expression" dxfId="38" priority="23">
      <formula>AND($B6&lt;&gt;"",ISNA(MATCH($B6,項目リスト,0)))</formula>
    </cfRule>
  </conditionalFormatting>
  <conditionalFormatting sqref="B6">
    <cfRule type="expression" dxfId="37" priority="21">
      <formula>$AI$6="N/A"</formula>
    </cfRule>
  </conditionalFormatting>
  <conditionalFormatting sqref="D1">
    <cfRule type="cellIs" dxfId="36" priority="20" operator="greaterThan">
      <formula>0</formula>
    </cfRule>
  </conditionalFormatting>
  <conditionalFormatting sqref="L8:P8">
    <cfRule type="expression" dxfId="35" priority="26">
      <formula>Y8</formula>
    </cfRule>
    <cfRule type="expression" dxfId="34" priority="27">
      <formula>Y7</formula>
    </cfRule>
  </conditionalFormatting>
  <conditionalFormatting sqref="L13:P22">
    <cfRule type="expression" dxfId="33" priority="18">
      <formula>Y13</formula>
    </cfRule>
    <cfRule type="expression" dxfId="32" priority="19">
      <formula>$AD13</formula>
    </cfRule>
  </conditionalFormatting>
  <conditionalFormatting sqref="L8">
    <cfRule type="expression" dxfId="31" priority="25">
      <formula>$AG$7</formula>
    </cfRule>
  </conditionalFormatting>
  <conditionalFormatting sqref="L55:P64">
    <cfRule type="expression" dxfId="30" priority="16">
      <formula>Y55</formula>
    </cfRule>
    <cfRule type="expression" dxfId="29" priority="17">
      <formula>$AD55</formula>
    </cfRule>
  </conditionalFormatting>
  <conditionalFormatting sqref="L43:P44">
    <cfRule type="expression" dxfId="28" priority="15">
      <formula>Y42</formula>
    </cfRule>
  </conditionalFormatting>
  <conditionalFormatting sqref="L43:P43">
    <cfRule type="expression" dxfId="27" priority="13">
      <formula>$AD42</formula>
    </cfRule>
    <cfRule type="expression" dxfId="26" priority="29">
      <formula>Y41</formula>
    </cfRule>
  </conditionalFormatting>
  <conditionalFormatting sqref="L43">
    <cfRule type="expression" dxfId="25" priority="14">
      <formula>$AD41</formula>
    </cfRule>
  </conditionalFormatting>
  <conditionalFormatting sqref="L28:P29 L33:P34 L38:P39 L48:P49 L43:P44">
    <cfRule type="expression" dxfId="24" priority="30">
      <formula>Y27</formula>
    </cfRule>
  </conditionalFormatting>
  <conditionalFormatting sqref="L29:P29 L34:P34 L39:P39 L49:P49">
    <cfRule type="expression" dxfId="23" priority="31">
      <formula>$AD27</formula>
    </cfRule>
    <cfRule type="expression" dxfId="22" priority="32">
      <formula>Y26</formula>
    </cfRule>
  </conditionalFormatting>
  <conditionalFormatting sqref="L28 L33 L38 L48 L43">
    <cfRule type="expression" dxfId="21" priority="33">
      <formula>$AD26</formula>
    </cfRule>
  </conditionalFormatting>
  <conditionalFormatting sqref="L44:P44">
    <cfRule type="expression" dxfId="20" priority="34">
      <formula>$AD42</formula>
    </cfRule>
    <cfRule type="expression" dxfId="19" priority="35">
      <formula>Y41</formula>
    </cfRule>
  </conditionalFormatting>
  <conditionalFormatting sqref="L28:P28 L33:P33 L38:P38 L43:P43 L48:P48">
    <cfRule type="expression" dxfId="18" priority="12">
      <formula>$AD27</formula>
    </cfRule>
    <cfRule type="expression" dxfId="17" priority="28">
      <formula>Y26</formula>
    </cfRule>
  </conditionalFormatting>
  <conditionalFormatting sqref="K56">
    <cfRule type="expression" dxfId="16" priority="10">
      <formula>X56</formula>
    </cfRule>
    <cfRule type="expression" dxfId="15" priority="11">
      <formula>$AD56</formula>
    </cfRule>
  </conditionalFormatting>
  <conditionalFormatting sqref="K58">
    <cfRule type="expression" dxfId="14" priority="8">
      <formula>X58</formula>
    </cfRule>
    <cfRule type="expression" dxfId="13" priority="9">
      <formula>$AD58</formula>
    </cfRule>
  </conditionalFormatting>
  <conditionalFormatting sqref="K60">
    <cfRule type="expression" dxfId="12" priority="6">
      <formula>X60</formula>
    </cfRule>
    <cfRule type="expression" dxfId="11" priority="7">
      <formula>$AD60</formula>
    </cfRule>
  </conditionalFormatting>
  <conditionalFormatting sqref="K62">
    <cfRule type="expression" dxfId="10" priority="4">
      <formula>X62</formula>
    </cfRule>
    <cfRule type="expression" dxfId="9" priority="5">
      <formula>$AD62</formula>
    </cfRule>
  </conditionalFormatting>
  <conditionalFormatting sqref="K64">
    <cfRule type="expression" dxfId="8" priority="2">
      <formula>X64</formula>
    </cfRule>
    <cfRule type="expression" dxfId="7" priority="3">
      <formula>$AD64</formula>
    </cfRule>
  </conditionalFormatting>
  <conditionalFormatting sqref="L29:P29 L34:P34 L39:P39 L44:P44 L49:P49">
    <cfRule type="expression" dxfId="6" priority="1">
      <formula>$AD28</formula>
    </cfRule>
  </conditionalFormatting>
  <conditionalFormatting sqref="E6">
    <cfRule type="expression" dxfId="5" priority="36" stopIfTrue="1">
      <formula>$V6</formula>
    </cfRule>
  </conditionalFormatting>
  <conditionalFormatting sqref="E7">
    <cfRule type="expression" dxfId="4" priority="37" stopIfTrue="1">
      <formula>$V7</formula>
    </cfRule>
  </conditionalFormatting>
  <conditionalFormatting sqref="E8">
    <cfRule type="expression" dxfId="3" priority="38" stopIfTrue="1">
      <formula>$V8</formula>
    </cfRule>
  </conditionalFormatting>
  <conditionalFormatting sqref="E9">
    <cfRule type="expression" dxfId="2" priority="39" stopIfTrue="1">
      <formula>$V9</formula>
    </cfRule>
  </conditionalFormatting>
  <conditionalFormatting sqref="E10">
    <cfRule type="expression" dxfId="1" priority="40" stopIfTrue="1">
      <formula>$V10</formula>
    </cfRule>
  </conditionalFormatting>
  <dataValidations count="16">
    <dataValidation imeMode="off" allowBlank="1" showInputMessage="1" showErrorMessage="1" sqref="D5:F5 C2 F6:F105" xr:uid="{34335CFE-E9D3-45EC-88A3-885549174F7B}"/>
    <dataValidation type="whole" imeMode="off" operator="equal" allowBlank="1" showInputMessage="1" showErrorMessage="1" error="DESC指定の場合に‐1を入力" sqref="L56:P56 L58:P58 L60:P60 L62:P62 L64:P64" xr:uid="{1D253AD3-7BDD-4DCE-9241-3473276AC41F}">
      <formula1>-1</formula1>
    </dataValidation>
    <dataValidation type="whole" imeMode="off" operator="equal" allowBlank="1" showInputMessage="1" showErrorMessage="1" error="Unique indexの場合に1を入力" sqref="K56 K58 K60 K62 K64" xr:uid="{D2231303-973C-4587-9AB4-6BF06ECA04D9}">
      <formula1>1</formula1>
    </dataValidation>
    <dataValidation type="list" allowBlank="1" showInputMessage="1" showErrorMessage="1" sqref="N26 P26 N31 P31 N36 P36 N41 P41 N46 P46" xr:uid="{4044B2EC-F559-47F4-AB43-B62690E0B670}">
      <formula1>FK_OPTION</formula1>
    </dataValidation>
    <dataValidation type="list" allowBlank="1" showInputMessage="1" showErrorMessage="1" sqref="L49:P49" xr:uid="{29E4435D-B96A-4834-9145-CD582D8B5D59}">
      <formula1>FK_FIELD_5</formula1>
    </dataValidation>
    <dataValidation type="list" allowBlank="1" showInputMessage="1" showErrorMessage="1" sqref="L44:P44" xr:uid="{87DCEEC9-5BA8-479B-8C09-E4FEC6B6FE73}">
      <formula1>FK_FIELD_4</formula1>
    </dataValidation>
    <dataValidation type="list" allowBlank="1" showInputMessage="1" showErrorMessage="1" sqref="L39:P39" xr:uid="{ED2B08E8-E1F9-43E8-B2E4-5EB5A2C69227}">
      <formula1>FK_FIELD_3</formula1>
    </dataValidation>
    <dataValidation type="list" allowBlank="1" showInputMessage="1" showErrorMessage="1" sqref="L34:P34" xr:uid="{82102FE7-8BE1-4226-8EF5-FDA1DFE5EA54}">
      <formula1>FK_FIELD_2</formula1>
    </dataValidation>
    <dataValidation type="list" allowBlank="1" showInputMessage="1" showErrorMessage="1" sqref="L29:P29" xr:uid="{ED90F250-4CFB-4615-9A26-668475420142}">
      <formula1>FK_FIELD_1</formula1>
    </dataValidation>
    <dataValidation type="list" allowBlank="1" showInputMessage="1" showErrorMessage="1" sqref="L26 L31 L36 L41 L46" xr:uid="{BF3A45B3-3120-469A-ADC5-5ECB7E15090E}">
      <formula1>TABLEリスト</formula1>
    </dataValidation>
    <dataValidation type="list" allowBlank="1" showInputMessage="1" showErrorMessage="1" sqref="F2" xr:uid="{2C5B6D38-8916-41D1-AAFD-11644C320671}">
      <formula1>"○,-"</formula1>
    </dataValidation>
    <dataValidation type="list" allowBlank="1" showInputMessage="1" showErrorMessage="1" sqref="L13:P22 L43:P43 L48:P48 L33:P33 L38:P38 L28:P28 L55:P55 L57:P57 L59:P59 L61:P61 L63:P63" xr:uid="{CCE3B73D-E78B-4C94-9E45-A122448C5D03}">
      <formula1>FIELDリスト</formula1>
    </dataValidation>
    <dataValidation type="list" allowBlank="1" showInputMessage="1" showErrorMessage="1" sqref="L8:P8" xr:uid="{19E1DECA-56AF-4E68-AB0A-5245E5130BFD}">
      <formula1>FIELDリストNN</formula1>
    </dataValidation>
    <dataValidation type="whole" imeMode="off" operator="equal" allowBlank="1" showInputMessage="1" showErrorMessage="1" error="NotNullの場合は[1]を入力する。" sqref="E6:E105" xr:uid="{1032455C-F8DB-4E4A-9B16-A4B3A2ED50FD}">
      <formula1>1</formula1>
    </dataValidation>
    <dataValidation type="list" allowBlank="1" showInputMessage="1" showErrorMessage="1" sqref="B6:B105" xr:uid="{448002F3-1D90-4ABE-A907-87273F54289F}">
      <formula1>項目リスト</formula1>
    </dataValidation>
    <dataValidation imeMode="on" allowBlank="1" showInputMessage="1" showErrorMessage="1" sqref="K12 A5 A1:A2 E2 K7 K54 G6:H105" xr:uid="{454E6FC2-7608-4D7D-8F10-BAE498D01C4E}"/>
  </dataValidations>
  <hyperlinks>
    <hyperlink ref="E1" location="一覧!R1C1" display="一覧へ" xr:uid="{6C08982A-AFA1-4552-AF11-426E921D4D14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9" sqref="A9"/>
    </sheetView>
  </sheetViews>
  <sheetFormatPr defaultRowHeight="18"/>
  <cols>
    <col min="1" max="1" width="14.25" bestFit="1" customWidth="1"/>
  </cols>
  <sheetData>
    <row r="2" spans="1:8">
      <c r="A2" t="s">
        <v>20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147</v>
      </c>
      <c r="C5" t="s">
        <v>156</v>
      </c>
      <c r="E5" t="s">
        <v>187</v>
      </c>
    </row>
    <row r="6" spans="1:8">
      <c r="A6" s="64" t="s">
        <v>145</v>
      </c>
      <c r="C6" s="84"/>
    </row>
    <row r="7" spans="1:8">
      <c r="E7" s="97" t="s">
        <v>188</v>
      </c>
    </row>
    <row r="8" spans="1:8">
      <c r="A8" t="s">
        <v>148</v>
      </c>
      <c r="E8" s="97" t="s">
        <v>189</v>
      </c>
    </row>
    <row r="9" spans="1:8">
      <c r="A9" s="64" t="s">
        <v>146</v>
      </c>
      <c r="E9" s="97" t="s">
        <v>190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91</vt:i4>
      </vt:variant>
    </vt:vector>
  </HeadingPairs>
  <TitlesOfParts>
    <vt:vector size="98" baseType="lpstr">
      <vt:lpstr>項目</vt:lpstr>
      <vt:lpstr>一覧</vt:lpstr>
      <vt:lpstr>テンプレート</vt:lpstr>
      <vt:lpstr>得意先</vt:lpstr>
      <vt:lpstr>受注</vt:lpstr>
      <vt:lpstr>受注明細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得意先!ERRORS</vt:lpstr>
      <vt:lpstr>テンプレート!FIELD_AREA</vt:lpstr>
      <vt:lpstr>受注!FIELD_AREA</vt:lpstr>
      <vt:lpstr>受注明細!FIELD_AREA</vt:lpstr>
      <vt:lpstr>得意先!FIELD_AREA</vt:lpstr>
      <vt:lpstr>テンプレート!FIELD_COUNT</vt:lpstr>
      <vt:lpstr>受注!FIELD_COUNT</vt:lpstr>
      <vt:lpstr>受注明細!FIELD_COUNT</vt:lpstr>
      <vt:lpstr>得意先!FIELD_COUNT</vt:lpstr>
      <vt:lpstr>テンプレート!FIELD_COUNT_NN</vt:lpstr>
      <vt:lpstr>受注!FIELD_COUNT_NN</vt:lpstr>
      <vt:lpstr>受注明細!FIELD_COUNT_NN</vt:lpstr>
      <vt:lpstr>得意先!FIELD_COUNT_NN</vt:lpstr>
      <vt:lpstr>テンプレート!FIELD_NAME</vt:lpstr>
      <vt:lpstr>受注!FIELD_NAME</vt:lpstr>
      <vt:lpstr>受注明細!FIELD_NAME</vt:lpstr>
      <vt:lpstr>得意先!FIELD_NAME</vt:lpstr>
      <vt:lpstr>テンプレート!FIELD_NN</vt:lpstr>
      <vt:lpstr>受注!FIELD_NN</vt:lpstr>
      <vt:lpstr>受注明細!FIELD_NN</vt:lpstr>
      <vt:lpstr>得意先!FIELD_NN</vt:lpstr>
      <vt:lpstr>テンプレート!FK_ENABLE_1</vt:lpstr>
      <vt:lpstr>受注!FK_ENABLE_1</vt:lpstr>
      <vt:lpstr>受注明細!FK_ENABLE_1</vt:lpstr>
      <vt:lpstr>得意先!FK_ENABLE_1</vt:lpstr>
      <vt:lpstr>テンプレート!FK_ENABLE_2</vt:lpstr>
      <vt:lpstr>受注!FK_ENABLE_2</vt:lpstr>
      <vt:lpstr>受注明細!FK_ENABLE_2</vt:lpstr>
      <vt:lpstr>得意先!FK_ENABLE_2</vt:lpstr>
      <vt:lpstr>テンプレート!FK_ENABLE_3</vt:lpstr>
      <vt:lpstr>受注!FK_ENABLE_3</vt:lpstr>
      <vt:lpstr>受注明細!FK_ENABLE_3</vt:lpstr>
      <vt:lpstr>得意先!FK_ENABLE_3</vt:lpstr>
      <vt:lpstr>テンプレート!FK_ENABLE_4</vt:lpstr>
      <vt:lpstr>受注!FK_ENABLE_4</vt:lpstr>
      <vt:lpstr>受注明細!FK_ENABLE_4</vt:lpstr>
      <vt:lpstr>得意先!FK_ENABLE_4</vt:lpstr>
      <vt:lpstr>テンプレート!FK_ENABLE_5</vt:lpstr>
      <vt:lpstr>受注!FK_ENABLE_5</vt:lpstr>
      <vt:lpstr>受注明細!FK_ENABLE_5</vt:lpstr>
      <vt:lpstr>得意先!FK_ENABLE_5</vt:lpstr>
      <vt:lpstr>FK_OPTION</vt:lpstr>
      <vt:lpstr>テンプレート!IS_MASTER</vt:lpstr>
      <vt:lpstr>受注!IS_MASTER</vt:lpstr>
      <vt:lpstr>受注明細!IS_MASTER</vt:lpstr>
      <vt:lpstr>得意先!IS_MASTER</vt:lpstr>
      <vt:lpstr>テンプレート!PK_AREA</vt:lpstr>
      <vt:lpstr>受注!PK_AREA</vt:lpstr>
      <vt:lpstr>受注明細!PK_AREA</vt:lpstr>
      <vt:lpstr>得意先!PK_AREA</vt:lpstr>
      <vt:lpstr>SCHEMA_EN</vt:lpstr>
      <vt:lpstr>SCHEMA_JP</vt:lpstr>
      <vt:lpstr>テンプレート!TABLE_AREA</vt:lpstr>
      <vt:lpstr>受注!TABLE_AREA</vt:lpstr>
      <vt:lpstr>受注明細!TABLE_AREA</vt:lpstr>
      <vt:lpstr>得意先!TABLE_AREA</vt:lpstr>
      <vt:lpstr>テンプレート!TABLE_COUNT</vt:lpstr>
      <vt:lpstr>受注!TABLE_COUNT</vt:lpstr>
      <vt:lpstr>受注明細!TABLE_COUNT</vt:lpstr>
      <vt:lpstr>得意先!TABLE_COUNT</vt:lpstr>
      <vt:lpstr>テンプレート!TABLE_EN</vt:lpstr>
      <vt:lpstr>受注!TABLE_EN</vt:lpstr>
      <vt:lpstr>受注明細!TABLE_EN</vt:lpstr>
      <vt:lpstr>得意先!TABLE_EN</vt:lpstr>
      <vt:lpstr>テンプレート!TABLE_JP</vt:lpstr>
      <vt:lpstr>受注!TABLE_JP</vt:lpstr>
      <vt:lpstr>受注明細!TABLE_JP</vt:lpstr>
      <vt:lpstr>得意先!TABLE_JP</vt:lpstr>
      <vt:lpstr>テンプレート!TABLE_NO</vt:lpstr>
      <vt:lpstr>受注!TABLE_NO</vt:lpstr>
      <vt:lpstr>受注明細!TABLE_NO</vt:lpstr>
      <vt:lpstr>得意先!TABLE_NO</vt:lpstr>
      <vt:lpstr>テンプレート!UNIQUE_AREA</vt:lpstr>
      <vt:lpstr>受注!UNIQUE_AREA</vt:lpstr>
      <vt:lpstr>受注明細!UNIQUE_AREA</vt:lpstr>
      <vt:lpstr>得意先!UNIQUE_AREA</vt:lpstr>
      <vt:lpstr>テンプレート!UNIQUE_EXIST</vt:lpstr>
      <vt:lpstr>受注!UNIQUE_EXIST</vt:lpstr>
      <vt:lpstr>受注明細!UNIQUE_EXIST</vt:lpstr>
      <vt:lpstr>得意先!UNIQUE_EXIST</vt:lpstr>
      <vt:lpstr>テンプレート!UNIQUE_LIST</vt:lpstr>
      <vt:lpstr>受注!UNIQUE_LIST</vt:lpstr>
      <vt:lpstr>受注明細!UNIQUE_LIST</vt:lpstr>
      <vt:lpstr>得意先!UNIQUE_LIST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2024-03-22T12:01:21Z</dcterms:modified>
</cp:coreProperties>
</file>