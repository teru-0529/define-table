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re\.local\share\go\workspace\define-table\"/>
    </mc:Choice>
  </mc:AlternateContent>
  <xr:revisionPtr revIDLastSave="0" documentId="13_ncr:1_{91BC011B-B1F6-4241-890E-A7E563DD32B0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項目" sheetId="2" r:id="rId1"/>
    <sheet name="一覧" sheetId="1" r:id="rId2"/>
    <sheet name="テンプレート" sheetId="4" state="hidden" r:id="rId3"/>
    <sheet name="得意先" sheetId="510" r:id="rId4"/>
    <sheet name="受注" sheetId="511" r:id="rId5"/>
    <sheet name="受注明細" sheetId="512" r:id="rId6"/>
    <sheet name="WORK" sheetId="5" state="hidden" r:id="rId7"/>
  </sheets>
  <functionGroups builtInGroupCount="19"/>
  <definedNames>
    <definedName name="CURRENT_DATETIME">45334.9428240741</definedName>
    <definedName name="DATA_AREA" localSheetId="1">一覧!$C$2:$F$101</definedName>
    <definedName name="DATA_AREA" localSheetId="0">OFFSET(項目!DATA_AREA_A,,,,8)</definedName>
    <definedName name="DATA_AREA_A" comment="値がない場合は、項目NAをWORKシートのダミーセルを指定" localSheetId="0">IF(項目!DATA_ROWS&gt;0,OFFSET(項目!$A$2,,,項目!DATA_ROWS,1),WORK!$A$3)</definedName>
    <definedName name="DATA_AREA_EN" localSheetId="1">OFFSET(一覧!DATA_AREA_JP,,1,,)</definedName>
    <definedName name="DATA_AREA_G" localSheetId="0">OFFSET(項目!DATA_AREA_A,,6,,)</definedName>
    <definedName name="DATA_AREA_JP" localSheetId="1">一覧!$D$2:$D$101</definedName>
    <definedName name="DATA_ROWS" localSheetId="0">COUNTA(項目!$A:$A)-1</definedName>
    <definedName name="ERRORS" localSheetId="2">テンプレート!$D$1</definedName>
    <definedName name="ERRORS" localSheetId="1">一覧!$F$1</definedName>
    <definedName name="ERRORS" localSheetId="4">受注!$D$1</definedName>
    <definedName name="ERRORS" localSheetId="5">受注明細!$D$1</definedName>
    <definedName name="ERRORS" localSheetId="3">得意先!$D$1</definedName>
    <definedName name="FIELD_AREA" localSheetId="2">テンプレート!$AI$6:$AJ$105</definedName>
    <definedName name="FIELD_AREA" localSheetId="4">受注!$AI$6:$AJ$105</definedName>
    <definedName name="FIELD_AREA" localSheetId="5">受注明細!$AI$6:$AJ$105</definedName>
    <definedName name="FIELD_AREA" localSheetId="3">得意先!$AI$6:$AJ$105</definedName>
    <definedName name="FIELD_COUNT" localSheetId="2">テンプレート!$AI$5</definedName>
    <definedName name="FIELD_COUNT" localSheetId="4">受注!$AI$5</definedName>
    <definedName name="FIELD_COUNT" localSheetId="5">受注明細!$AI$5</definedName>
    <definedName name="FIELD_COUNT" localSheetId="3">得意先!$AI$5</definedName>
    <definedName name="FIELD_COUNT_NN" localSheetId="2">テンプレート!$AJ$5</definedName>
    <definedName name="FIELD_COUNT_NN" localSheetId="4">受注!$AJ$5</definedName>
    <definedName name="FIELD_COUNT_NN" localSheetId="5">受注明細!$AJ$5</definedName>
    <definedName name="FIELD_COUNT_NN" localSheetId="3">得意先!$AJ$5</definedName>
    <definedName name="FIELD_NAME" localSheetId="2">テンプレート!$B$6:$B$105</definedName>
    <definedName name="FIELD_NAME" localSheetId="4">受注!$B$6:$B$105</definedName>
    <definedName name="FIELD_NAME" localSheetId="5">受注明細!$B$6:$B$105</definedName>
    <definedName name="FIELD_NAME" localSheetId="3">得意先!$B$6:$B$105</definedName>
    <definedName name="FIELD_NAME__" localSheetId="2">OFFSET(テンプレート!FIELD_NAME,,,,2)</definedName>
    <definedName name="FIELD_NAME__" localSheetId="4">OFFSET(受注!FIELD_NAME,,,,2)</definedName>
    <definedName name="FIELD_NAME__" localSheetId="5">OFFSET(受注明細!FIELD_NAME,,,,2)</definedName>
    <definedName name="FIELD_NAME__" localSheetId="3">OFFSET(得意先!FIELD_NAME,,,,2)</definedName>
    <definedName name="FIELD_NN" localSheetId="2">テンプレート!$E$6:$E$105</definedName>
    <definedName name="FIELD_NN" localSheetId="4">受注!$E$6:$E$105</definedName>
    <definedName name="FIELD_NN" localSheetId="5">受注明細!$E$6:$E$105</definedName>
    <definedName name="FIELD_NN" localSheetId="3">得意先!$E$6:$E$105</definedName>
    <definedName name="FIELDリスト" localSheetId="2">OFFSET(テンプレート!$AI$6,,,テンプレート!FIELD_COUNT,)</definedName>
    <definedName name="FIELDリスト" localSheetId="4">OFFSET(受注!$AI$6,,,受注!FIELD_COUNT,)</definedName>
    <definedName name="FIELDリスト" localSheetId="5">OFFSET(受注明細!$AI$6,,,受注明細!FIELD_COUNT,)</definedName>
    <definedName name="FIELDリスト" localSheetId="3">OFFSET(得意先!$AI$6,,,得意先!FIELD_COUNT,)</definedName>
    <definedName name="FIELDリストNN" localSheetId="2">OFFSET(テンプレート!$AJ$6,,,テンプレート!FIELD_COUNT_NN,)</definedName>
    <definedName name="FIELDリストNN" localSheetId="4">OFFSET(受注!$AJ$6,,,受注!FIELD_COUNT_NN,)</definedName>
    <definedName name="FIELDリストNN" localSheetId="5">OFFSET(受注明細!$AJ$6,,,受注明細!FIELD_COUNT_NN,)</definedName>
    <definedName name="FIELDリストNN" localSheetId="3">OFFSET(得意先!$AJ$6,,,得意先!FIELD_COUNT_NN,)</definedName>
    <definedName name="INVALID">FALSE</definedName>
    <definedName name="IS_MASTER" localSheetId="2">テンプレート!$F$2</definedName>
    <definedName name="IS_MASTER" localSheetId="4">受注!$F$2</definedName>
    <definedName name="IS_MASTER" localSheetId="5">受注明細!$F$2</definedName>
    <definedName name="IS_MASTER" localSheetId="3">得意先!$F$2</definedName>
    <definedName name="MODIFY_DATETIME">45334.9428240741</definedName>
    <definedName name="PK_AREA" localSheetId="2">テンプレート!$L$8:$P$8</definedName>
    <definedName name="PK_AREA" localSheetId="4">受注!$L$8:$P$8</definedName>
    <definedName name="PK_AREA" localSheetId="5">受注明細!$L$8:$P$8</definedName>
    <definedName name="PK_AREA" localSheetId="3">得意先!$L$8:$P$8</definedName>
    <definedName name="SCHEMA_EN">WORK!$A$9</definedName>
    <definedName name="SCHEMA_JP">WORK!$A$6</definedName>
    <definedName name="TABLE_EN" localSheetId="2">テンプレート!$C$2</definedName>
    <definedName name="TABLE_EN" localSheetId="4">受注!$C$2</definedName>
    <definedName name="TABLE_EN" localSheetId="5">受注明細!$C$2</definedName>
    <definedName name="TABLE_EN" localSheetId="3">得意先!$C$2</definedName>
    <definedName name="TABLE_JP" localSheetId="2">テンプレート!$B$2</definedName>
    <definedName name="TABLE_JP" localSheetId="4">受注!$B$2</definedName>
    <definedName name="TABLE_JP" localSheetId="5">受注明細!$B$2</definedName>
    <definedName name="TABLE_JP" localSheetId="3">得意先!$B$2</definedName>
    <definedName name="TABLE_NO" localSheetId="2">テンプレート!$D$2</definedName>
    <definedName name="TABLE_NO" localSheetId="4">受注!$D$2</definedName>
    <definedName name="TABLE_NO" localSheetId="5">受注明細!$D$2</definedName>
    <definedName name="TABLE_NO" localSheetId="3">得意先!$D$2</definedName>
    <definedName name="UNIQUE_AREA" localSheetId="2">テンプレート!$L$13:$P$22</definedName>
    <definedName name="UNIQUE_AREA" localSheetId="4">受注!$L$13:$P$22</definedName>
    <definedName name="UNIQUE_AREA" localSheetId="5">受注明細!$L$13:$P$22</definedName>
    <definedName name="UNIQUE_AREA" localSheetId="3">得意先!$L$13:$P$22</definedName>
    <definedName name="UNIQUE_EXIST" localSheetId="2">テンプレート!$R$11</definedName>
    <definedName name="UNIQUE_EXIST" localSheetId="4">受注!$R$11</definedName>
    <definedName name="UNIQUE_EXIST" localSheetId="5">受注明細!$R$11</definedName>
    <definedName name="UNIQUE_EXIST" localSheetId="3">得意先!$R$11</definedName>
    <definedName name="UNIQUE_LIST" localSheetId="2">テンプレート!$R$13:$R$22</definedName>
    <definedName name="UNIQUE_LIST" localSheetId="4">受注!$R$13:$R$22</definedName>
    <definedName name="UNIQUE_LIST" localSheetId="5">受注明細!$R$13:$R$22</definedName>
    <definedName name="UNIQUE_LIST" localSheetId="3">得意先!$R$13:$R$22</definedName>
    <definedName name="VALID">TRUE</definedName>
    <definedName name="VALIDATION_RESULT">TRUE</definedName>
    <definedName name="エラー">WORK!$C$6</definedName>
    <definedName name="項目リスト">項目!DATA_AREA_A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05" i="512" l="1"/>
  <c r="T105" i="512"/>
  <c r="H105" i="512"/>
  <c r="V105" i="512" s="1"/>
  <c r="G105" i="512"/>
  <c r="D105" i="512"/>
  <c r="C105" i="512"/>
  <c r="U104" i="512"/>
  <c r="T104" i="512"/>
  <c r="H104" i="512"/>
  <c r="V104" i="512" s="1"/>
  <c r="G104" i="512"/>
  <c r="D104" i="512"/>
  <c r="C104" i="512"/>
  <c r="U103" i="512"/>
  <c r="T103" i="512"/>
  <c r="H103" i="512"/>
  <c r="V103" i="512" s="1"/>
  <c r="G103" i="512"/>
  <c r="D103" i="512"/>
  <c r="C103" i="512"/>
  <c r="U102" i="512"/>
  <c r="T102" i="512"/>
  <c r="H102" i="512"/>
  <c r="V102" i="512" s="1"/>
  <c r="G102" i="512"/>
  <c r="D102" i="512"/>
  <c r="C102" i="512"/>
  <c r="U101" i="512"/>
  <c r="T101" i="512"/>
  <c r="H101" i="512"/>
  <c r="V101" i="512" s="1"/>
  <c r="G101" i="512"/>
  <c r="D101" i="512"/>
  <c r="C101" i="512"/>
  <c r="U100" i="512"/>
  <c r="T100" i="512"/>
  <c r="H100" i="512"/>
  <c r="V100" i="512" s="1"/>
  <c r="G100" i="512"/>
  <c r="D100" i="512"/>
  <c r="C100" i="512"/>
  <c r="U99" i="512"/>
  <c r="T99" i="512"/>
  <c r="H99" i="512"/>
  <c r="V99" i="512" s="1"/>
  <c r="G99" i="512"/>
  <c r="D99" i="512"/>
  <c r="C99" i="512"/>
  <c r="U98" i="512"/>
  <c r="T98" i="512"/>
  <c r="H98" i="512"/>
  <c r="V98" i="512" s="1"/>
  <c r="G98" i="512"/>
  <c r="D98" i="512"/>
  <c r="C98" i="512"/>
  <c r="U97" i="512"/>
  <c r="T97" i="512"/>
  <c r="H97" i="512"/>
  <c r="V97" i="512" s="1"/>
  <c r="G97" i="512"/>
  <c r="D97" i="512"/>
  <c r="C97" i="512"/>
  <c r="U96" i="512"/>
  <c r="T96" i="512"/>
  <c r="H96" i="512"/>
  <c r="V96" i="512" s="1"/>
  <c r="G96" i="512"/>
  <c r="D96" i="512"/>
  <c r="C96" i="512"/>
  <c r="U95" i="512"/>
  <c r="T95" i="512"/>
  <c r="H95" i="512"/>
  <c r="V95" i="512" s="1"/>
  <c r="G95" i="512"/>
  <c r="D95" i="512"/>
  <c r="C95" i="512"/>
  <c r="U94" i="512"/>
  <c r="T94" i="512"/>
  <c r="H94" i="512"/>
  <c r="V94" i="512" s="1"/>
  <c r="G94" i="512"/>
  <c r="D94" i="512"/>
  <c r="C94" i="512"/>
  <c r="U93" i="512"/>
  <c r="T93" i="512"/>
  <c r="H93" i="512"/>
  <c r="V93" i="512" s="1"/>
  <c r="G93" i="512"/>
  <c r="D93" i="512"/>
  <c r="C93" i="512"/>
  <c r="U92" i="512"/>
  <c r="T92" i="512"/>
  <c r="H92" i="512"/>
  <c r="V92" i="512" s="1"/>
  <c r="G92" i="512"/>
  <c r="D92" i="512"/>
  <c r="C92" i="512"/>
  <c r="U91" i="512"/>
  <c r="T91" i="512"/>
  <c r="H91" i="512"/>
  <c r="V91" i="512" s="1"/>
  <c r="G91" i="512"/>
  <c r="D91" i="512"/>
  <c r="C91" i="512"/>
  <c r="U90" i="512"/>
  <c r="T90" i="512"/>
  <c r="H90" i="512"/>
  <c r="V90" i="512" s="1"/>
  <c r="G90" i="512"/>
  <c r="D90" i="512"/>
  <c r="C90" i="512"/>
  <c r="U89" i="512"/>
  <c r="T89" i="512"/>
  <c r="H89" i="512"/>
  <c r="V89" i="512" s="1"/>
  <c r="G89" i="512"/>
  <c r="D89" i="512"/>
  <c r="C89" i="512"/>
  <c r="U88" i="512"/>
  <c r="T88" i="512"/>
  <c r="H88" i="512"/>
  <c r="V88" i="512" s="1"/>
  <c r="G88" i="512"/>
  <c r="D88" i="512"/>
  <c r="C88" i="512"/>
  <c r="U87" i="512"/>
  <c r="T87" i="512"/>
  <c r="H87" i="512"/>
  <c r="V87" i="512" s="1"/>
  <c r="G87" i="512"/>
  <c r="D87" i="512"/>
  <c r="C87" i="512"/>
  <c r="U86" i="512"/>
  <c r="T86" i="512"/>
  <c r="H86" i="512"/>
  <c r="V86" i="512" s="1"/>
  <c r="G86" i="512"/>
  <c r="D86" i="512"/>
  <c r="C86" i="512"/>
  <c r="U85" i="512"/>
  <c r="T85" i="512"/>
  <c r="H85" i="512"/>
  <c r="V85" i="512" s="1"/>
  <c r="G85" i="512"/>
  <c r="D85" i="512"/>
  <c r="C85" i="512"/>
  <c r="U84" i="512"/>
  <c r="T84" i="512"/>
  <c r="H84" i="512"/>
  <c r="V84" i="512" s="1"/>
  <c r="G84" i="512"/>
  <c r="D84" i="512"/>
  <c r="C84" i="512"/>
  <c r="U83" i="512"/>
  <c r="T83" i="512"/>
  <c r="H83" i="512"/>
  <c r="V83" i="512" s="1"/>
  <c r="G83" i="512"/>
  <c r="D83" i="512"/>
  <c r="C83" i="512"/>
  <c r="U82" i="512"/>
  <c r="T82" i="512"/>
  <c r="H82" i="512"/>
  <c r="V82" i="512" s="1"/>
  <c r="G82" i="512"/>
  <c r="D82" i="512"/>
  <c r="C82" i="512"/>
  <c r="U81" i="512"/>
  <c r="T81" i="512"/>
  <c r="H81" i="512"/>
  <c r="V81" i="512" s="1"/>
  <c r="G81" i="512"/>
  <c r="D81" i="512"/>
  <c r="C81" i="512"/>
  <c r="U80" i="512"/>
  <c r="T80" i="512"/>
  <c r="H80" i="512"/>
  <c r="V80" i="512" s="1"/>
  <c r="G80" i="512"/>
  <c r="D80" i="512"/>
  <c r="C80" i="512"/>
  <c r="U79" i="512"/>
  <c r="T79" i="512"/>
  <c r="H79" i="512"/>
  <c r="V79" i="512" s="1"/>
  <c r="G79" i="512"/>
  <c r="D79" i="512"/>
  <c r="C79" i="512"/>
  <c r="U78" i="512"/>
  <c r="T78" i="512"/>
  <c r="H78" i="512"/>
  <c r="V78" i="512" s="1"/>
  <c r="G78" i="512"/>
  <c r="D78" i="512"/>
  <c r="C78" i="512"/>
  <c r="U77" i="512"/>
  <c r="T77" i="512"/>
  <c r="H77" i="512"/>
  <c r="V77" i="512" s="1"/>
  <c r="G77" i="512"/>
  <c r="D77" i="512"/>
  <c r="C77" i="512"/>
  <c r="U76" i="512"/>
  <c r="T76" i="512"/>
  <c r="H76" i="512"/>
  <c r="V76" i="512" s="1"/>
  <c r="G76" i="512"/>
  <c r="D76" i="512"/>
  <c r="C76" i="512"/>
  <c r="U75" i="512"/>
  <c r="T75" i="512"/>
  <c r="H75" i="512"/>
  <c r="V75" i="512" s="1"/>
  <c r="G75" i="512"/>
  <c r="D75" i="512"/>
  <c r="C75" i="512"/>
  <c r="AB74" i="512"/>
  <c r="AA74" i="512"/>
  <c r="Z74" i="512"/>
  <c r="Y74" i="512"/>
  <c r="X74" i="512"/>
  <c r="U74" i="512"/>
  <c r="T74" i="512"/>
  <c r="H74" i="512"/>
  <c r="V74" i="512" s="1"/>
  <c r="G74" i="512"/>
  <c r="D74" i="512"/>
  <c r="C74" i="512"/>
  <c r="AB73" i="512"/>
  <c r="AA73" i="512"/>
  <c r="Z73" i="512"/>
  <c r="Y73" i="512"/>
  <c r="X73" i="512"/>
  <c r="U73" i="512"/>
  <c r="T73" i="512"/>
  <c r="H73" i="512"/>
  <c r="V73" i="512" s="1"/>
  <c r="G73" i="512"/>
  <c r="D73" i="512"/>
  <c r="C73" i="512"/>
  <c r="AB72" i="512"/>
  <c r="AA72" i="512"/>
  <c r="Z72" i="512"/>
  <c r="Y72" i="512"/>
  <c r="X72" i="512"/>
  <c r="U72" i="512"/>
  <c r="T72" i="512"/>
  <c r="H72" i="512"/>
  <c r="V72" i="512" s="1"/>
  <c r="G72" i="512"/>
  <c r="D72" i="512"/>
  <c r="C72" i="512"/>
  <c r="AB71" i="512"/>
  <c r="AA71" i="512"/>
  <c r="Z71" i="512"/>
  <c r="Y71" i="512"/>
  <c r="X71" i="512"/>
  <c r="U71" i="512"/>
  <c r="T71" i="512"/>
  <c r="H71" i="512"/>
  <c r="V71" i="512" s="1"/>
  <c r="G71" i="512"/>
  <c r="D71" i="512"/>
  <c r="C71" i="512"/>
  <c r="AB70" i="512"/>
  <c r="AA70" i="512"/>
  <c r="Z70" i="512"/>
  <c r="Y70" i="512"/>
  <c r="X70" i="512"/>
  <c r="U70" i="512"/>
  <c r="T70" i="512"/>
  <c r="H70" i="512"/>
  <c r="V70" i="512" s="1"/>
  <c r="G70" i="512"/>
  <c r="D70" i="512"/>
  <c r="C70" i="512"/>
  <c r="AB69" i="512"/>
  <c r="AA69" i="512"/>
  <c r="Z69" i="512"/>
  <c r="Y69" i="512"/>
  <c r="X69" i="512"/>
  <c r="U69" i="512"/>
  <c r="T69" i="512"/>
  <c r="H69" i="512"/>
  <c r="V69" i="512" s="1"/>
  <c r="G69" i="512"/>
  <c r="D69" i="512"/>
  <c r="C69" i="512"/>
  <c r="AB68" i="512"/>
  <c r="AA68" i="512"/>
  <c r="Z68" i="512"/>
  <c r="Y68" i="512"/>
  <c r="X68" i="512"/>
  <c r="U68" i="512"/>
  <c r="T68" i="512"/>
  <c r="H68" i="512"/>
  <c r="V68" i="512" s="1"/>
  <c r="G68" i="512"/>
  <c r="D68" i="512"/>
  <c r="C68" i="512"/>
  <c r="AB67" i="512"/>
  <c r="AA67" i="512"/>
  <c r="Z67" i="512"/>
  <c r="Y67" i="512"/>
  <c r="X67" i="512"/>
  <c r="U67" i="512"/>
  <c r="T67" i="512"/>
  <c r="H67" i="512"/>
  <c r="V67" i="512" s="1"/>
  <c r="G67" i="512"/>
  <c r="D67" i="512"/>
  <c r="C67" i="512"/>
  <c r="AB66" i="512"/>
  <c r="AA66" i="512"/>
  <c r="Z66" i="512"/>
  <c r="Y66" i="512"/>
  <c r="X66" i="512"/>
  <c r="U66" i="512"/>
  <c r="T66" i="512"/>
  <c r="H66" i="512"/>
  <c r="V66" i="512" s="1"/>
  <c r="G66" i="512"/>
  <c r="D66" i="512"/>
  <c r="C66" i="512"/>
  <c r="AB65" i="512"/>
  <c r="AA65" i="512"/>
  <c r="Z65" i="512"/>
  <c r="Y65" i="512"/>
  <c r="X65" i="512"/>
  <c r="U65" i="512"/>
  <c r="T65" i="512"/>
  <c r="H65" i="512"/>
  <c r="V65" i="512" s="1"/>
  <c r="G65" i="512"/>
  <c r="D65" i="512"/>
  <c r="C65" i="512"/>
  <c r="U64" i="512"/>
  <c r="T64" i="512"/>
  <c r="H64" i="512"/>
  <c r="V64" i="512" s="1"/>
  <c r="G64" i="512"/>
  <c r="D64" i="512"/>
  <c r="C64" i="512"/>
  <c r="U63" i="512"/>
  <c r="T63" i="512"/>
  <c r="H63" i="512"/>
  <c r="V63" i="512" s="1"/>
  <c r="G63" i="512"/>
  <c r="D63" i="512"/>
  <c r="C63" i="512"/>
  <c r="U62" i="512"/>
  <c r="T62" i="512"/>
  <c r="H62" i="512"/>
  <c r="V62" i="512" s="1"/>
  <c r="G62" i="512"/>
  <c r="D62" i="512"/>
  <c r="C62" i="512"/>
  <c r="AB61" i="512"/>
  <c r="AA61" i="512"/>
  <c r="Z61" i="512"/>
  <c r="Y61" i="512"/>
  <c r="X61" i="512"/>
  <c r="U61" i="512"/>
  <c r="T61" i="512"/>
  <c r="H61" i="512"/>
  <c r="V61" i="512" s="1"/>
  <c r="G61" i="512"/>
  <c r="D61" i="512"/>
  <c r="C61" i="512"/>
  <c r="AB60" i="512"/>
  <c r="AA60" i="512"/>
  <c r="Z60" i="512"/>
  <c r="Y60" i="512"/>
  <c r="X60" i="512"/>
  <c r="U60" i="512"/>
  <c r="T60" i="512"/>
  <c r="H60" i="512"/>
  <c r="V60" i="512" s="1"/>
  <c r="G60" i="512"/>
  <c r="D60" i="512"/>
  <c r="C60" i="512"/>
  <c r="AB59" i="512"/>
  <c r="AA59" i="512"/>
  <c r="Z59" i="512"/>
  <c r="Y59" i="512"/>
  <c r="X59" i="512"/>
  <c r="U59" i="512"/>
  <c r="T59" i="512"/>
  <c r="H59" i="512"/>
  <c r="V59" i="512" s="1"/>
  <c r="G59" i="512"/>
  <c r="D59" i="512"/>
  <c r="C59" i="512"/>
  <c r="AB58" i="512"/>
  <c r="AA58" i="512"/>
  <c r="Z58" i="512"/>
  <c r="Y58" i="512"/>
  <c r="X58" i="512"/>
  <c r="U58" i="512"/>
  <c r="T58" i="512"/>
  <c r="H58" i="512"/>
  <c r="V58" i="512" s="1"/>
  <c r="G58" i="512"/>
  <c r="D58" i="512"/>
  <c r="C58" i="512"/>
  <c r="AB57" i="512"/>
  <c r="AA57" i="512"/>
  <c r="Z57" i="512"/>
  <c r="Y57" i="512"/>
  <c r="X57" i="512"/>
  <c r="U57" i="512"/>
  <c r="T57" i="512"/>
  <c r="H57" i="512"/>
  <c r="V57" i="512" s="1"/>
  <c r="G57" i="512"/>
  <c r="D57" i="512"/>
  <c r="C57" i="512"/>
  <c r="AB56" i="512"/>
  <c r="AA56" i="512"/>
  <c r="Z56" i="512"/>
  <c r="Y56" i="512"/>
  <c r="X56" i="512"/>
  <c r="U56" i="512"/>
  <c r="T56" i="512"/>
  <c r="H56" i="512"/>
  <c r="V56" i="512" s="1"/>
  <c r="G56" i="512"/>
  <c r="D56" i="512"/>
  <c r="C56" i="512"/>
  <c r="AB55" i="512"/>
  <c r="AA55" i="512"/>
  <c r="Z55" i="512"/>
  <c r="Y55" i="512"/>
  <c r="X55" i="512"/>
  <c r="U55" i="512"/>
  <c r="T55" i="512"/>
  <c r="H55" i="512"/>
  <c r="V55" i="512" s="1"/>
  <c r="G55" i="512"/>
  <c r="D55" i="512"/>
  <c r="C55" i="512"/>
  <c r="AB54" i="512"/>
  <c r="AA54" i="512"/>
  <c r="Z54" i="512"/>
  <c r="Y54" i="512"/>
  <c r="X54" i="512"/>
  <c r="U54" i="512"/>
  <c r="T54" i="512"/>
  <c r="H54" i="512"/>
  <c r="V54" i="512" s="1"/>
  <c r="G54" i="512"/>
  <c r="D54" i="512"/>
  <c r="C54" i="512"/>
  <c r="AB53" i="512"/>
  <c r="AA53" i="512"/>
  <c r="Z53" i="512"/>
  <c r="Y53" i="512"/>
  <c r="X53" i="512"/>
  <c r="U53" i="512"/>
  <c r="T53" i="512"/>
  <c r="H53" i="512"/>
  <c r="V53" i="512" s="1"/>
  <c r="G53" i="512"/>
  <c r="D53" i="512"/>
  <c r="C53" i="512"/>
  <c r="AB52" i="512"/>
  <c r="AA52" i="512"/>
  <c r="Z52" i="512"/>
  <c r="Y52" i="512"/>
  <c r="X52" i="512"/>
  <c r="U52" i="512"/>
  <c r="T52" i="512"/>
  <c r="H52" i="512"/>
  <c r="V52" i="512" s="1"/>
  <c r="G52" i="512"/>
  <c r="D52" i="512"/>
  <c r="C52" i="512"/>
  <c r="U51" i="512"/>
  <c r="T51" i="512"/>
  <c r="H51" i="512"/>
  <c r="V51" i="512" s="1"/>
  <c r="G51" i="512"/>
  <c r="D51" i="512"/>
  <c r="C51" i="512"/>
  <c r="U50" i="512"/>
  <c r="T50" i="512"/>
  <c r="H50" i="512"/>
  <c r="V50" i="512" s="1"/>
  <c r="G50" i="512"/>
  <c r="D50" i="512"/>
  <c r="C50" i="512"/>
  <c r="U49" i="512"/>
  <c r="T49" i="512"/>
  <c r="H49" i="512"/>
  <c r="V49" i="512" s="1"/>
  <c r="G49" i="512"/>
  <c r="D49" i="512"/>
  <c r="C49" i="512"/>
  <c r="U48" i="512"/>
  <c r="T48" i="512"/>
  <c r="H48" i="512"/>
  <c r="V48" i="512" s="1"/>
  <c r="G48" i="512"/>
  <c r="D48" i="512"/>
  <c r="C48" i="512"/>
  <c r="U47" i="512"/>
  <c r="T47" i="512"/>
  <c r="H47" i="512"/>
  <c r="V47" i="512" s="1"/>
  <c r="G47" i="512"/>
  <c r="D47" i="512"/>
  <c r="C47" i="512"/>
  <c r="U46" i="512"/>
  <c r="T46" i="512"/>
  <c r="H46" i="512"/>
  <c r="V46" i="512" s="1"/>
  <c r="G46" i="512"/>
  <c r="D46" i="512"/>
  <c r="C46" i="512"/>
  <c r="U45" i="512"/>
  <c r="T45" i="512"/>
  <c r="H45" i="512"/>
  <c r="V45" i="512" s="1"/>
  <c r="G45" i="512"/>
  <c r="D45" i="512"/>
  <c r="C45" i="512"/>
  <c r="U44" i="512"/>
  <c r="T44" i="512"/>
  <c r="H44" i="512"/>
  <c r="V44" i="512" s="1"/>
  <c r="G44" i="512"/>
  <c r="D44" i="512"/>
  <c r="C44" i="512"/>
  <c r="U43" i="512"/>
  <c r="T43" i="512"/>
  <c r="H43" i="512"/>
  <c r="V43" i="512" s="1"/>
  <c r="G43" i="512"/>
  <c r="D43" i="512"/>
  <c r="C43" i="512"/>
  <c r="U42" i="512"/>
  <c r="T42" i="512"/>
  <c r="H42" i="512"/>
  <c r="V42" i="512" s="1"/>
  <c r="G42" i="512"/>
  <c r="D42" i="512"/>
  <c r="C42" i="512"/>
  <c r="U41" i="512"/>
  <c r="T41" i="512"/>
  <c r="H41" i="512"/>
  <c r="V41" i="512" s="1"/>
  <c r="G41" i="512"/>
  <c r="D41" i="512"/>
  <c r="C41" i="512"/>
  <c r="U40" i="512"/>
  <c r="T40" i="512"/>
  <c r="H40" i="512"/>
  <c r="V40" i="512" s="1"/>
  <c r="G40" i="512"/>
  <c r="D40" i="512"/>
  <c r="C40" i="512"/>
  <c r="U39" i="512"/>
  <c r="T39" i="512"/>
  <c r="H39" i="512"/>
  <c r="V39" i="512" s="1"/>
  <c r="G39" i="512"/>
  <c r="D39" i="512"/>
  <c r="C39" i="512"/>
  <c r="U38" i="512"/>
  <c r="T38" i="512"/>
  <c r="H38" i="512"/>
  <c r="V38" i="512" s="1"/>
  <c r="G38" i="512"/>
  <c r="D38" i="512"/>
  <c r="C38" i="512"/>
  <c r="U37" i="512"/>
  <c r="T37" i="512"/>
  <c r="H37" i="512"/>
  <c r="V37" i="512" s="1"/>
  <c r="G37" i="512"/>
  <c r="D37" i="512"/>
  <c r="C37" i="512"/>
  <c r="U36" i="512"/>
  <c r="T36" i="512"/>
  <c r="H36" i="512"/>
  <c r="V36" i="512" s="1"/>
  <c r="G36" i="512"/>
  <c r="D36" i="512"/>
  <c r="C36" i="512"/>
  <c r="U35" i="512"/>
  <c r="T35" i="512"/>
  <c r="H35" i="512"/>
  <c r="V35" i="512" s="1"/>
  <c r="G35" i="512"/>
  <c r="D35" i="512"/>
  <c r="C35" i="512"/>
  <c r="U34" i="512"/>
  <c r="T34" i="512"/>
  <c r="H34" i="512"/>
  <c r="V34" i="512" s="1"/>
  <c r="G34" i="512"/>
  <c r="D34" i="512"/>
  <c r="C34" i="512"/>
  <c r="U33" i="512"/>
  <c r="T33" i="512"/>
  <c r="H33" i="512"/>
  <c r="V33" i="512" s="1"/>
  <c r="G33" i="512"/>
  <c r="D33" i="512"/>
  <c r="C33" i="512"/>
  <c r="U32" i="512"/>
  <c r="T32" i="512"/>
  <c r="H32" i="512"/>
  <c r="V32" i="512" s="1"/>
  <c r="G32" i="512"/>
  <c r="D32" i="512"/>
  <c r="C32" i="512"/>
  <c r="U31" i="512"/>
  <c r="T31" i="512"/>
  <c r="H31" i="512"/>
  <c r="V31" i="512" s="1"/>
  <c r="G31" i="512"/>
  <c r="D31" i="512"/>
  <c r="C31" i="512"/>
  <c r="U30" i="512"/>
  <c r="T30" i="512"/>
  <c r="H30" i="512"/>
  <c r="V30" i="512" s="1"/>
  <c r="G30" i="512"/>
  <c r="D30" i="512"/>
  <c r="C30" i="512"/>
  <c r="U29" i="512"/>
  <c r="T29" i="512"/>
  <c r="H29" i="512"/>
  <c r="V29" i="512" s="1"/>
  <c r="G29" i="512"/>
  <c r="D29" i="512"/>
  <c r="C29" i="512"/>
  <c r="U28" i="512"/>
  <c r="T28" i="512"/>
  <c r="H28" i="512"/>
  <c r="V28" i="512" s="1"/>
  <c r="G28" i="512"/>
  <c r="D28" i="512"/>
  <c r="C28" i="512"/>
  <c r="U27" i="512"/>
  <c r="T27" i="512"/>
  <c r="H27" i="512"/>
  <c r="V27" i="512" s="1"/>
  <c r="G27" i="512"/>
  <c r="D27" i="512"/>
  <c r="C27" i="512"/>
  <c r="U26" i="512"/>
  <c r="T26" i="512"/>
  <c r="H26" i="512"/>
  <c r="V26" i="512" s="1"/>
  <c r="G26" i="512"/>
  <c r="D26" i="512"/>
  <c r="C26" i="512"/>
  <c r="U25" i="512"/>
  <c r="T25" i="512"/>
  <c r="H25" i="512"/>
  <c r="V25" i="512" s="1"/>
  <c r="G25" i="512"/>
  <c r="D25" i="512"/>
  <c r="C25" i="512"/>
  <c r="U24" i="512"/>
  <c r="T24" i="512"/>
  <c r="H24" i="512"/>
  <c r="V24" i="512" s="1"/>
  <c r="G24" i="512"/>
  <c r="D24" i="512"/>
  <c r="C24" i="512"/>
  <c r="U23" i="512"/>
  <c r="T23" i="512"/>
  <c r="H23" i="512"/>
  <c r="V23" i="512" s="1"/>
  <c r="G23" i="512"/>
  <c r="D23" i="512"/>
  <c r="C23" i="512"/>
  <c r="AO22" i="512"/>
  <c r="AN22" i="512"/>
  <c r="AM22" i="512"/>
  <c r="AL22" i="512"/>
  <c r="AK22" i="512"/>
  <c r="U22" i="512"/>
  <c r="T22" i="512"/>
  <c r="R22" i="512"/>
  <c r="H22" i="512"/>
  <c r="V22" i="512" s="1"/>
  <c r="G22" i="512"/>
  <c r="D22" i="512"/>
  <c r="C22" i="512"/>
  <c r="AO21" i="512"/>
  <c r="AN21" i="512"/>
  <c r="AM21" i="512"/>
  <c r="AL21" i="512"/>
  <c r="AK21" i="512"/>
  <c r="U21" i="512"/>
  <c r="T21" i="512"/>
  <c r="R21" i="512"/>
  <c r="H21" i="512"/>
  <c r="V21" i="512" s="1"/>
  <c r="G21" i="512"/>
  <c r="D21" i="512"/>
  <c r="C21" i="512"/>
  <c r="AO20" i="512"/>
  <c r="AN20" i="512"/>
  <c r="AM20" i="512"/>
  <c r="AL20" i="512"/>
  <c r="AK20" i="512"/>
  <c r="U20" i="512"/>
  <c r="T20" i="512"/>
  <c r="R20" i="512"/>
  <c r="H20" i="512"/>
  <c r="V20" i="512" s="1"/>
  <c r="G20" i="512"/>
  <c r="D20" i="512"/>
  <c r="C20" i="512"/>
  <c r="AO19" i="512"/>
  <c r="AN19" i="512"/>
  <c r="AM19" i="512"/>
  <c r="AL19" i="512"/>
  <c r="AK19" i="512"/>
  <c r="U19" i="512"/>
  <c r="T19" i="512"/>
  <c r="R19" i="512"/>
  <c r="AD19" i="512" s="1"/>
  <c r="H19" i="512"/>
  <c r="V19" i="512" s="1"/>
  <c r="G19" i="512"/>
  <c r="D19" i="512"/>
  <c r="C19" i="512"/>
  <c r="AO18" i="512"/>
  <c r="AN18" i="512"/>
  <c r="AM18" i="512"/>
  <c r="AL18" i="512"/>
  <c r="AK18" i="512"/>
  <c r="U18" i="512"/>
  <c r="T18" i="512"/>
  <c r="R18" i="512"/>
  <c r="H18" i="512"/>
  <c r="V18" i="512" s="1"/>
  <c r="G18" i="512"/>
  <c r="D18" i="512"/>
  <c r="C18" i="512"/>
  <c r="AO17" i="512"/>
  <c r="AN17" i="512"/>
  <c r="AM17" i="512"/>
  <c r="AL17" i="512"/>
  <c r="AK17" i="512"/>
  <c r="U17" i="512"/>
  <c r="T17" i="512"/>
  <c r="R17" i="512"/>
  <c r="AD17" i="512" s="1"/>
  <c r="H17" i="512"/>
  <c r="V17" i="512" s="1"/>
  <c r="G17" i="512"/>
  <c r="D17" i="512"/>
  <c r="C17" i="512"/>
  <c r="AO16" i="512"/>
  <c r="AN16" i="512"/>
  <c r="AM16" i="512"/>
  <c r="AL16" i="512"/>
  <c r="AK16" i="512"/>
  <c r="U16" i="512"/>
  <c r="T16" i="512"/>
  <c r="R16" i="512"/>
  <c r="AD16" i="512" s="1"/>
  <c r="H16" i="512"/>
  <c r="V16" i="512" s="1"/>
  <c r="G16" i="512"/>
  <c r="D16" i="512"/>
  <c r="C16" i="512"/>
  <c r="AO15" i="512"/>
  <c r="AN15" i="512"/>
  <c r="AM15" i="512"/>
  <c r="AL15" i="512"/>
  <c r="AK15" i="512"/>
  <c r="U15" i="512"/>
  <c r="T15" i="512"/>
  <c r="R15" i="512"/>
  <c r="AD14" i="512" s="1"/>
  <c r="H15" i="512"/>
  <c r="V15" i="512" s="1"/>
  <c r="G15" i="512"/>
  <c r="D15" i="512"/>
  <c r="C15" i="512"/>
  <c r="AO14" i="512"/>
  <c r="AN14" i="512"/>
  <c r="AM14" i="512"/>
  <c r="AL14" i="512"/>
  <c r="AK14" i="512"/>
  <c r="U14" i="512"/>
  <c r="T14" i="512"/>
  <c r="R14" i="512"/>
  <c r="H14" i="512"/>
  <c r="V14" i="512" s="1"/>
  <c r="G14" i="512"/>
  <c r="D14" i="512"/>
  <c r="C14" i="512"/>
  <c r="AO13" i="512"/>
  <c r="AN13" i="512"/>
  <c r="AM13" i="512"/>
  <c r="AL13" i="512"/>
  <c r="AK13" i="512"/>
  <c r="U13" i="512"/>
  <c r="T13" i="512"/>
  <c r="R13" i="512"/>
  <c r="AD22" i="512" s="1"/>
  <c r="H13" i="512"/>
  <c r="V13" i="512" s="1"/>
  <c r="G13" i="512"/>
  <c r="D13" i="512"/>
  <c r="C13" i="512"/>
  <c r="U12" i="512"/>
  <c r="T12" i="512"/>
  <c r="H12" i="512"/>
  <c r="V12" i="512" s="1"/>
  <c r="G12" i="512"/>
  <c r="D12" i="512"/>
  <c r="C12" i="512"/>
  <c r="U11" i="512"/>
  <c r="T11" i="512"/>
  <c r="H11" i="512"/>
  <c r="V11" i="512" s="1"/>
  <c r="G11" i="512"/>
  <c r="D11" i="512"/>
  <c r="C11" i="512"/>
  <c r="U10" i="512"/>
  <c r="T10" i="512"/>
  <c r="H10" i="512"/>
  <c r="V10" i="512" s="1"/>
  <c r="G10" i="512"/>
  <c r="D10" i="512"/>
  <c r="C10" i="512"/>
  <c r="U9" i="512"/>
  <c r="T9" i="512"/>
  <c r="H9" i="512"/>
  <c r="V9" i="512" s="1"/>
  <c r="G9" i="512"/>
  <c r="D9" i="512"/>
  <c r="C9" i="512"/>
  <c r="AO8" i="512"/>
  <c r="AN8" i="512"/>
  <c r="AM8" i="512"/>
  <c r="AC8" i="512"/>
  <c r="AB8" i="512"/>
  <c r="AA8" i="512"/>
  <c r="Z8" i="512"/>
  <c r="Y8" i="512"/>
  <c r="AG9" i="512" s="1"/>
  <c r="U8" i="512"/>
  <c r="T8" i="512"/>
  <c r="H8" i="512"/>
  <c r="V8" i="512" s="1"/>
  <c r="G8" i="512"/>
  <c r="D8" i="512"/>
  <c r="C8" i="512"/>
  <c r="AG7" i="512"/>
  <c r="U7" i="512"/>
  <c r="T7" i="512"/>
  <c r="H7" i="512"/>
  <c r="V7" i="512" s="1"/>
  <c r="G7" i="512"/>
  <c r="D7" i="512"/>
  <c r="C7" i="512"/>
  <c r="AL8" i="512" s="1"/>
  <c r="U6" i="512"/>
  <c r="T6" i="512"/>
  <c r="H6" i="512"/>
  <c r="V6" i="512" s="1"/>
  <c r="G6" i="512"/>
  <c r="D6" i="512"/>
  <c r="C6" i="512"/>
  <c r="AK8" i="512" s="1"/>
  <c r="AJ5" i="512"/>
  <c r="Y7" i="512" s="1"/>
  <c r="AI5" i="512"/>
  <c r="Y21" i="512" s="1"/>
  <c r="AG3" i="512"/>
  <c r="C2" i="512" a="1"/>
  <c r="C2" i="512" s="1"/>
  <c r="B2" i="512" a="1"/>
  <c r="B2" i="512" s="1"/>
  <c r="AG2" i="512" s="1"/>
  <c r="C1" i="512"/>
  <c r="B1" i="512"/>
  <c r="U105" i="511"/>
  <c r="T105" i="511"/>
  <c r="H105" i="511"/>
  <c r="V105" i="511" s="1"/>
  <c r="G105" i="511"/>
  <c r="D105" i="511"/>
  <c r="C105" i="511"/>
  <c r="U104" i="511"/>
  <c r="T104" i="511"/>
  <c r="H104" i="511"/>
  <c r="V104" i="511" s="1"/>
  <c r="G104" i="511"/>
  <c r="D104" i="511"/>
  <c r="C104" i="511"/>
  <c r="U103" i="511"/>
  <c r="T103" i="511"/>
  <c r="H103" i="511"/>
  <c r="V103" i="511" s="1"/>
  <c r="G103" i="511"/>
  <c r="D103" i="511"/>
  <c r="C103" i="511"/>
  <c r="U102" i="511"/>
  <c r="T102" i="511"/>
  <c r="H102" i="511"/>
  <c r="V102" i="511" s="1"/>
  <c r="G102" i="511"/>
  <c r="D102" i="511"/>
  <c r="C102" i="511"/>
  <c r="U101" i="511"/>
  <c r="T101" i="511"/>
  <c r="H101" i="511"/>
  <c r="V101" i="511" s="1"/>
  <c r="G101" i="511"/>
  <c r="D101" i="511"/>
  <c r="C101" i="511"/>
  <c r="U100" i="511"/>
  <c r="T100" i="511"/>
  <c r="H100" i="511"/>
  <c r="V100" i="511" s="1"/>
  <c r="G100" i="511"/>
  <c r="D100" i="511"/>
  <c r="C100" i="511"/>
  <c r="U99" i="511"/>
  <c r="T99" i="511"/>
  <c r="H99" i="511"/>
  <c r="V99" i="511" s="1"/>
  <c r="G99" i="511"/>
  <c r="D99" i="511"/>
  <c r="C99" i="511"/>
  <c r="U98" i="511"/>
  <c r="T98" i="511"/>
  <c r="H98" i="511"/>
  <c r="V98" i="511" s="1"/>
  <c r="G98" i="511"/>
  <c r="D98" i="511"/>
  <c r="C98" i="511"/>
  <c r="U97" i="511"/>
  <c r="T97" i="511"/>
  <c r="H97" i="511"/>
  <c r="V97" i="511" s="1"/>
  <c r="G97" i="511"/>
  <c r="D97" i="511"/>
  <c r="C97" i="511"/>
  <c r="U96" i="511"/>
  <c r="T96" i="511"/>
  <c r="H96" i="511"/>
  <c r="V96" i="511" s="1"/>
  <c r="G96" i="511"/>
  <c r="D96" i="511"/>
  <c r="C96" i="511"/>
  <c r="U95" i="511"/>
  <c r="T95" i="511"/>
  <c r="H95" i="511"/>
  <c r="V95" i="511" s="1"/>
  <c r="G95" i="511"/>
  <c r="D95" i="511"/>
  <c r="C95" i="511"/>
  <c r="U94" i="511"/>
  <c r="T94" i="511"/>
  <c r="H94" i="511"/>
  <c r="V94" i="511" s="1"/>
  <c r="G94" i="511"/>
  <c r="D94" i="511"/>
  <c r="C94" i="511"/>
  <c r="U93" i="511"/>
  <c r="T93" i="511"/>
  <c r="H93" i="511"/>
  <c r="V93" i="511" s="1"/>
  <c r="G93" i="511"/>
  <c r="D93" i="511"/>
  <c r="C93" i="511"/>
  <c r="U92" i="511"/>
  <c r="T92" i="511"/>
  <c r="H92" i="511"/>
  <c r="V92" i="511" s="1"/>
  <c r="G92" i="511"/>
  <c r="D92" i="511"/>
  <c r="C92" i="511"/>
  <c r="U91" i="511"/>
  <c r="T91" i="511"/>
  <c r="H91" i="511"/>
  <c r="V91" i="511" s="1"/>
  <c r="G91" i="511"/>
  <c r="D91" i="511"/>
  <c r="C91" i="511"/>
  <c r="U90" i="511"/>
  <c r="T90" i="511"/>
  <c r="H90" i="511"/>
  <c r="V90" i="511" s="1"/>
  <c r="G90" i="511"/>
  <c r="D90" i="511"/>
  <c r="C90" i="511"/>
  <c r="U89" i="511"/>
  <c r="T89" i="511"/>
  <c r="H89" i="511"/>
  <c r="V89" i="511" s="1"/>
  <c r="G89" i="511"/>
  <c r="D89" i="511"/>
  <c r="C89" i="511"/>
  <c r="U88" i="511"/>
  <c r="T88" i="511"/>
  <c r="H88" i="511"/>
  <c r="V88" i="511" s="1"/>
  <c r="G88" i="511"/>
  <c r="D88" i="511"/>
  <c r="C88" i="511"/>
  <c r="U87" i="511"/>
  <c r="T87" i="511"/>
  <c r="H87" i="511"/>
  <c r="V87" i="511" s="1"/>
  <c r="G87" i="511"/>
  <c r="D87" i="511"/>
  <c r="C87" i="511"/>
  <c r="U86" i="511"/>
  <c r="T86" i="511"/>
  <c r="H86" i="511"/>
  <c r="V86" i="511" s="1"/>
  <c r="G86" i="511"/>
  <c r="D86" i="511"/>
  <c r="C86" i="511"/>
  <c r="U85" i="511"/>
  <c r="T85" i="511"/>
  <c r="H85" i="511"/>
  <c r="V85" i="511" s="1"/>
  <c r="G85" i="511"/>
  <c r="D85" i="511"/>
  <c r="C85" i="511"/>
  <c r="U84" i="511"/>
  <c r="T84" i="511"/>
  <c r="H84" i="511"/>
  <c r="V84" i="511" s="1"/>
  <c r="G84" i="511"/>
  <c r="D84" i="511"/>
  <c r="C84" i="511"/>
  <c r="U83" i="511"/>
  <c r="T83" i="511"/>
  <c r="H83" i="511"/>
  <c r="V83" i="511" s="1"/>
  <c r="G83" i="511"/>
  <c r="D83" i="511"/>
  <c r="C83" i="511"/>
  <c r="U82" i="511"/>
  <c r="T82" i="511"/>
  <c r="H82" i="511"/>
  <c r="V82" i="511" s="1"/>
  <c r="G82" i="511"/>
  <c r="D82" i="511"/>
  <c r="C82" i="511"/>
  <c r="U81" i="511"/>
  <c r="T81" i="511"/>
  <c r="H81" i="511"/>
  <c r="V81" i="511" s="1"/>
  <c r="G81" i="511"/>
  <c r="D81" i="511"/>
  <c r="C81" i="511"/>
  <c r="U80" i="511"/>
  <c r="T80" i="511"/>
  <c r="H80" i="511"/>
  <c r="V80" i="511" s="1"/>
  <c r="G80" i="511"/>
  <c r="D80" i="511"/>
  <c r="C80" i="511"/>
  <c r="U79" i="511"/>
  <c r="T79" i="511"/>
  <c r="H79" i="511"/>
  <c r="V79" i="511" s="1"/>
  <c r="G79" i="511"/>
  <c r="D79" i="511"/>
  <c r="C79" i="511"/>
  <c r="U78" i="511"/>
  <c r="T78" i="511"/>
  <c r="H78" i="511"/>
  <c r="V78" i="511" s="1"/>
  <c r="G78" i="511"/>
  <c r="D78" i="511"/>
  <c r="C78" i="511"/>
  <c r="U77" i="511"/>
  <c r="T77" i="511"/>
  <c r="H77" i="511"/>
  <c r="V77" i="511" s="1"/>
  <c r="G77" i="511"/>
  <c r="D77" i="511"/>
  <c r="C77" i="511"/>
  <c r="U76" i="511"/>
  <c r="T76" i="511"/>
  <c r="H76" i="511"/>
  <c r="V76" i="511" s="1"/>
  <c r="G76" i="511"/>
  <c r="D76" i="511"/>
  <c r="C76" i="511"/>
  <c r="U75" i="511"/>
  <c r="T75" i="511"/>
  <c r="H75" i="511"/>
  <c r="V75" i="511" s="1"/>
  <c r="G75" i="511"/>
  <c r="D75" i="511"/>
  <c r="C75" i="511"/>
  <c r="AB74" i="511"/>
  <c r="AA74" i="511"/>
  <c r="Z74" i="511"/>
  <c r="Y74" i="511"/>
  <c r="X74" i="511"/>
  <c r="U74" i="511"/>
  <c r="T74" i="511"/>
  <c r="H74" i="511"/>
  <c r="V74" i="511" s="1"/>
  <c r="G74" i="511"/>
  <c r="D74" i="511"/>
  <c r="C74" i="511"/>
  <c r="AB73" i="511"/>
  <c r="AA73" i="511"/>
  <c r="Z73" i="511"/>
  <c r="Y73" i="511"/>
  <c r="X73" i="511"/>
  <c r="U73" i="511"/>
  <c r="T73" i="511"/>
  <c r="H73" i="511"/>
  <c r="V73" i="511" s="1"/>
  <c r="G73" i="511"/>
  <c r="D73" i="511"/>
  <c r="C73" i="511"/>
  <c r="AB72" i="511"/>
  <c r="AA72" i="511"/>
  <c r="Z72" i="511"/>
  <c r="Y72" i="511"/>
  <c r="X72" i="511"/>
  <c r="U72" i="511"/>
  <c r="T72" i="511"/>
  <c r="H72" i="511"/>
  <c r="V72" i="511" s="1"/>
  <c r="G72" i="511"/>
  <c r="D72" i="511"/>
  <c r="C72" i="511"/>
  <c r="AB71" i="511"/>
  <c r="AA71" i="511"/>
  <c r="Z71" i="511"/>
  <c r="Y71" i="511"/>
  <c r="X71" i="511"/>
  <c r="U71" i="511"/>
  <c r="T71" i="511"/>
  <c r="H71" i="511"/>
  <c r="V71" i="511" s="1"/>
  <c r="G71" i="511"/>
  <c r="D71" i="511"/>
  <c r="C71" i="511"/>
  <c r="AB70" i="511"/>
  <c r="AA70" i="511"/>
  <c r="Z70" i="511"/>
  <c r="Y70" i="511"/>
  <c r="X70" i="511"/>
  <c r="U70" i="511"/>
  <c r="T70" i="511"/>
  <c r="H70" i="511"/>
  <c r="V70" i="511" s="1"/>
  <c r="G70" i="511"/>
  <c r="D70" i="511"/>
  <c r="C70" i="511"/>
  <c r="AB69" i="511"/>
  <c r="AA69" i="511"/>
  <c r="Z69" i="511"/>
  <c r="Y69" i="511"/>
  <c r="X69" i="511"/>
  <c r="U69" i="511"/>
  <c r="T69" i="511"/>
  <c r="H69" i="511"/>
  <c r="V69" i="511" s="1"/>
  <c r="G69" i="511"/>
  <c r="D69" i="511"/>
  <c r="C69" i="511"/>
  <c r="AB68" i="511"/>
  <c r="AA68" i="511"/>
  <c r="Z68" i="511"/>
  <c r="Y68" i="511"/>
  <c r="X68" i="511"/>
  <c r="U68" i="511"/>
  <c r="T68" i="511"/>
  <c r="H68" i="511"/>
  <c r="V68" i="511" s="1"/>
  <c r="G68" i="511"/>
  <c r="D68" i="511"/>
  <c r="C68" i="511"/>
  <c r="AB67" i="511"/>
  <c r="AA67" i="511"/>
  <c r="Z67" i="511"/>
  <c r="Y67" i="511"/>
  <c r="X67" i="511"/>
  <c r="U67" i="511"/>
  <c r="T67" i="511"/>
  <c r="H67" i="511"/>
  <c r="V67" i="511" s="1"/>
  <c r="G67" i="511"/>
  <c r="D67" i="511"/>
  <c r="C67" i="511"/>
  <c r="AB66" i="511"/>
  <c r="AA66" i="511"/>
  <c r="Z66" i="511"/>
  <c r="Y66" i="511"/>
  <c r="X66" i="511"/>
  <c r="U66" i="511"/>
  <c r="T66" i="511"/>
  <c r="H66" i="511"/>
  <c r="V66" i="511" s="1"/>
  <c r="G66" i="511"/>
  <c r="D66" i="511"/>
  <c r="C66" i="511"/>
  <c r="AB65" i="511"/>
  <c r="AA65" i="511"/>
  <c r="Z65" i="511"/>
  <c r="Y65" i="511"/>
  <c r="X65" i="511"/>
  <c r="U65" i="511"/>
  <c r="T65" i="511"/>
  <c r="H65" i="511"/>
  <c r="V65" i="511" s="1"/>
  <c r="G65" i="511"/>
  <c r="D65" i="511"/>
  <c r="C65" i="511"/>
  <c r="U64" i="511"/>
  <c r="T64" i="511"/>
  <c r="H64" i="511"/>
  <c r="V64" i="511" s="1"/>
  <c r="G64" i="511"/>
  <c r="D64" i="511"/>
  <c r="C64" i="511"/>
  <c r="U63" i="511"/>
  <c r="T63" i="511"/>
  <c r="H63" i="511"/>
  <c r="V63" i="511" s="1"/>
  <c r="G63" i="511"/>
  <c r="D63" i="511"/>
  <c r="C63" i="511"/>
  <c r="U62" i="511"/>
  <c r="T62" i="511"/>
  <c r="H62" i="511"/>
  <c r="V62" i="511" s="1"/>
  <c r="G62" i="511"/>
  <c r="D62" i="511"/>
  <c r="C62" i="511"/>
  <c r="AB61" i="511"/>
  <c r="AA61" i="511"/>
  <c r="Z61" i="511"/>
  <c r="Y61" i="511"/>
  <c r="X61" i="511"/>
  <c r="U61" i="511"/>
  <c r="T61" i="511"/>
  <c r="H61" i="511"/>
  <c r="V61" i="511" s="1"/>
  <c r="G61" i="511"/>
  <c r="D61" i="511"/>
  <c r="C61" i="511"/>
  <c r="AB60" i="511"/>
  <c r="AA60" i="511"/>
  <c r="Z60" i="511"/>
  <c r="Y60" i="511"/>
  <c r="X60" i="511"/>
  <c r="U60" i="511"/>
  <c r="T60" i="511"/>
  <c r="H60" i="511"/>
  <c r="V60" i="511" s="1"/>
  <c r="G60" i="511"/>
  <c r="D60" i="511"/>
  <c r="C60" i="511"/>
  <c r="AB59" i="511"/>
  <c r="AA59" i="511"/>
  <c r="Z59" i="511"/>
  <c r="Y59" i="511"/>
  <c r="X59" i="511"/>
  <c r="U59" i="511"/>
  <c r="T59" i="511"/>
  <c r="H59" i="511"/>
  <c r="V59" i="511" s="1"/>
  <c r="G59" i="511"/>
  <c r="D59" i="511"/>
  <c r="C59" i="511"/>
  <c r="AB58" i="511"/>
  <c r="AA58" i="511"/>
  <c r="Z58" i="511"/>
  <c r="Y58" i="511"/>
  <c r="X58" i="511"/>
  <c r="U58" i="511"/>
  <c r="T58" i="511"/>
  <c r="H58" i="511"/>
  <c r="V58" i="511" s="1"/>
  <c r="G58" i="511"/>
  <c r="D58" i="511"/>
  <c r="C58" i="511"/>
  <c r="AB57" i="511"/>
  <c r="AA57" i="511"/>
  <c r="Z57" i="511"/>
  <c r="Y57" i="511"/>
  <c r="X57" i="511"/>
  <c r="U57" i="511"/>
  <c r="T57" i="511"/>
  <c r="H57" i="511"/>
  <c r="V57" i="511" s="1"/>
  <c r="G57" i="511"/>
  <c r="D57" i="511"/>
  <c r="C57" i="511"/>
  <c r="AB56" i="511"/>
  <c r="AA56" i="511"/>
  <c r="Z56" i="511"/>
  <c r="Y56" i="511"/>
  <c r="X56" i="511"/>
  <c r="U56" i="511"/>
  <c r="T56" i="511"/>
  <c r="H56" i="511"/>
  <c r="V56" i="511" s="1"/>
  <c r="G56" i="511"/>
  <c r="D56" i="511"/>
  <c r="C56" i="511"/>
  <c r="AB55" i="511"/>
  <c r="AA55" i="511"/>
  <c r="Z55" i="511"/>
  <c r="Y55" i="511"/>
  <c r="X55" i="511"/>
  <c r="U55" i="511"/>
  <c r="T55" i="511"/>
  <c r="H55" i="511"/>
  <c r="V55" i="511" s="1"/>
  <c r="G55" i="511"/>
  <c r="D55" i="511"/>
  <c r="C55" i="511"/>
  <c r="AB54" i="511"/>
  <c r="AA54" i="511"/>
  <c r="Z54" i="511"/>
  <c r="Y54" i="511"/>
  <c r="X54" i="511"/>
  <c r="U54" i="511"/>
  <c r="T54" i="511"/>
  <c r="H54" i="511"/>
  <c r="V54" i="511" s="1"/>
  <c r="G54" i="511"/>
  <c r="D54" i="511"/>
  <c r="C54" i="511"/>
  <c r="AB53" i="511"/>
  <c r="AA53" i="511"/>
  <c r="Z53" i="511"/>
  <c r="Y53" i="511"/>
  <c r="X53" i="511"/>
  <c r="U53" i="511"/>
  <c r="T53" i="511"/>
  <c r="H53" i="511"/>
  <c r="V53" i="511" s="1"/>
  <c r="G53" i="511"/>
  <c r="D53" i="511"/>
  <c r="C53" i="511"/>
  <c r="AB52" i="511"/>
  <c r="AA52" i="511"/>
  <c r="Z52" i="511"/>
  <c r="Y52" i="511"/>
  <c r="X52" i="511"/>
  <c r="U52" i="511"/>
  <c r="T52" i="511"/>
  <c r="H52" i="511"/>
  <c r="V52" i="511" s="1"/>
  <c r="G52" i="511"/>
  <c r="D52" i="511"/>
  <c r="C52" i="511"/>
  <c r="U51" i="511"/>
  <c r="T51" i="511"/>
  <c r="H51" i="511"/>
  <c r="V51" i="511" s="1"/>
  <c r="G51" i="511"/>
  <c r="D51" i="511"/>
  <c r="C51" i="511"/>
  <c r="U50" i="511"/>
  <c r="T50" i="511"/>
  <c r="H50" i="511"/>
  <c r="V50" i="511" s="1"/>
  <c r="G50" i="511"/>
  <c r="D50" i="511"/>
  <c r="C50" i="511"/>
  <c r="U49" i="511"/>
  <c r="T49" i="511"/>
  <c r="H49" i="511"/>
  <c r="V49" i="511" s="1"/>
  <c r="G49" i="511"/>
  <c r="D49" i="511"/>
  <c r="C49" i="511"/>
  <c r="U48" i="511"/>
  <c r="T48" i="511"/>
  <c r="H48" i="511"/>
  <c r="V48" i="511" s="1"/>
  <c r="G48" i="511"/>
  <c r="D48" i="511"/>
  <c r="C48" i="511"/>
  <c r="U47" i="511"/>
  <c r="T47" i="511"/>
  <c r="H47" i="511"/>
  <c r="V47" i="511" s="1"/>
  <c r="G47" i="511"/>
  <c r="D47" i="511"/>
  <c r="C47" i="511"/>
  <c r="U46" i="511"/>
  <c r="T46" i="511"/>
  <c r="H46" i="511"/>
  <c r="V46" i="511" s="1"/>
  <c r="G46" i="511"/>
  <c r="D46" i="511"/>
  <c r="C46" i="511"/>
  <c r="U45" i="511"/>
  <c r="T45" i="511"/>
  <c r="H45" i="511"/>
  <c r="V45" i="511" s="1"/>
  <c r="G45" i="511"/>
  <c r="D45" i="511"/>
  <c r="C45" i="511"/>
  <c r="U44" i="511"/>
  <c r="T44" i="511"/>
  <c r="H44" i="511"/>
  <c r="V44" i="511" s="1"/>
  <c r="G44" i="511"/>
  <c r="D44" i="511"/>
  <c r="C44" i="511"/>
  <c r="U43" i="511"/>
  <c r="T43" i="511"/>
  <c r="H43" i="511"/>
  <c r="V43" i="511" s="1"/>
  <c r="G43" i="511"/>
  <c r="D43" i="511"/>
  <c r="C43" i="511"/>
  <c r="U42" i="511"/>
  <c r="T42" i="511"/>
  <c r="H42" i="511"/>
  <c r="V42" i="511" s="1"/>
  <c r="G42" i="511"/>
  <c r="D42" i="511"/>
  <c r="C42" i="511"/>
  <c r="U41" i="511"/>
  <c r="T41" i="511"/>
  <c r="H41" i="511"/>
  <c r="V41" i="511" s="1"/>
  <c r="G41" i="511"/>
  <c r="D41" i="511"/>
  <c r="C41" i="511"/>
  <c r="U40" i="511"/>
  <c r="T40" i="511"/>
  <c r="H40" i="511"/>
  <c r="V40" i="511" s="1"/>
  <c r="G40" i="511"/>
  <c r="D40" i="511"/>
  <c r="C40" i="511"/>
  <c r="U39" i="511"/>
  <c r="T39" i="511"/>
  <c r="H39" i="511"/>
  <c r="V39" i="511" s="1"/>
  <c r="G39" i="511"/>
  <c r="D39" i="511"/>
  <c r="C39" i="511"/>
  <c r="U38" i="511"/>
  <c r="T38" i="511"/>
  <c r="H38" i="511"/>
  <c r="V38" i="511" s="1"/>
  <c r="G38" i="511"/>
  <c r="D38" i="511"/>
  <c r="C38" i="511"/>
  <c r="U37" i="511"/>
  <c r="T37" i="511"/>
  <c r="H37" i="511"/>
  <c r="V37" i="511" s="1"/>
  <c r="G37" i="511"/>
  <c r="D37" i="511"/>
  <c r="C37" i="511"/>
  <c r="U36" i="511"/>
  <c r="T36" i="511"/>
  <c r="H36" i="511"/>
  <c r="V36" i="511" s="1"/>
  <c r="G36" i="511"/>
  <c r="D36" i="511"/>
  <c r="C36" i="511"/>
  <c r="U35" i="511"/>
  <c r="T35" i="511"/>
  <c r="H35" i="511"/>
  <c r="V35" i="511" s="1"/>
  <c r="G35" i="511"/>
  <c r="D35" i="511"/>
  <c r="C35" i="511"/>
  <c r="U34" i="511"/>
  <c r="T34" i="511"/>
  <c r="H34" i="511"/>
  <c r="V34" i="511" s="1"/>
  <c r="G34" i="511"/>
  <c r="D34" i="511"/>
  <c r="C34" i="511"/>
  <c r="U33" i="511"/>
  <c r="T33" i="511"/>
  <c r="H33" i="511"/>
  <c r="V33" i="511" s="1"/>
  <c r="G33" i="511"/>
  <c r="D33" i="511"/>
  <c r="C33" i="511"/>
  <c r="U32" i="511"/>
  <c r="T32" i="511"/>
  <c r="H32" i="511"/>
  <c r="V32" i="511" s="1"/>
  <c r="G32" i="511"/>
  <c r="D32" i="511"/>
  <c r="C32" i="511"/>
  <c r="U31" i="511"/>
  <c r="T31" i="511"/>
  <c r="H31" i="511"/>
  <c r="V31" i="511" s="1"/>
  <c r="G31" i="511"/>
  <c r="D31" i="511"/>
  <c r="C31" i="511"/>
  <c r="U30" i="511"/>
  <c r="T30" i="511"/>
  <c r="H30" i="511"/>
  <c r="V30" i="511" s="1"/>
  <c r="G30" i="511"/>
  <c r="D30" i="511"/>
  <c r="C30" i="511"/>
  <c r="U29" i="511"/>
  <c r="T29" i="511"/>
  <c r="H29" i="511"/>
  <c r="V29" i="511" s="1"/>
  <c r="G29" i="511"/>
  <c r="D29" i="511"/>
  <c r="C29" i="511"/>
  <c r="U28" i="511"/>
  <c r="T28" i="511"/>
  <c r="H28" i="511"/>
  <c r="V28" i="511" s="1"/>
  <c r="G28" i="511"/>
  <c r="D28" i="511"/>
  <c r="C28" i="511"/>
  <c r="U27" i="511"/>
  <c r="T27" i="511"/>
  <c r="H27" i="511"/>
  <c r="V27" i="511" s="1"/>
  <c r="G27" i="511"/>
  <c r="D27" i="511"/>
  <c r="C27" i="511"/>
  <c r="U26" i="511"/>
  <c r="T26" i="511"/>
  <c r="H26" i="511"/>
  <c r="V26" i="511" s="1"/>
  <c r="G26" i="511"/>
  <c r="D26" i="511"/>
  <c r="C26" i="511"/>
  <c r="U25" i="511"/>
  <c r="T25" i="511"/>
  <c r="H25" i="511"/>
  <c r="V25" i="511" s="1"/>
  <c r="G25" i="511"/>
  <c r="D25" i="511"/>
  <c r="C25" i="511"/>
  <c r="U24" i="511"/>
  <c r="T24" i="511"/>
  <c r="H24" i="511"/>
  <c r="V24" i="511" s="1"/>
  <c r="G24" i="511"/>
  <c r="D24" i="511"/>
  <c r="C24" i="511"/>
  <c r="U23" i="511"/>
  <c r="T23" i="511"/>
  <c r="H23" i="511"/>
  <c r="V23" i="511" s="1"/>
  <c r="G23" i="511"/>
  <c r="D23" i="511"/>
  <c r="C23" i="511"/>
  <c r="AO22" i="511"/>
  <c r="AN22" i="511"/>
  <c r="AM22" i="511"/>
  <c r="AL22" i="511"/>
  <c r="AK22" i="511"/>
  <c r="U22" i="511"/>
  <c r="T22" i="511"/>
  <c r="R22" i="511"/>
  <c r="H22" i="511"/>
  <c r="V22" i="511" s="1"/>
  <c r="G22" i="511"/>
  <c r="D22" i="511"/>
  <c r="C22" i="511"/>
  <c r="AO21" i="511"/>
  <c r="AN21" i="511"/>
  <c r="AM21" i="511"/>
  <c r="AL21" i="511"/>
  <c r="AK21" i="511"/>
  <c r="U21" i="511"/>
  <c r="T21" i="511"/>
  <c r="R21" i="511"/>
  <c r="AD21" i="511" s="1"/>
  <c r="H21" i="511"/>
  <c r="V21" i="511" s="1"/>
  <c r="G21" i="511"/>
  <c r="D21" i="511"/>
  <c r="C21" i="511"/>
  <c r="AO20" i="511"/>
  <c r="AN20" i="511"/>
  <c r="AM20" i="511"/>
  <c r="AL20" i="511"/>
  <c r="AK20" i="511"/>
  <c r="U20" i="511"/>
  <c r="T20" i="511"/>
  <c r="R20" i="511"/>
  <c r="H20" i="511"/>
  <c r="V20" i="511" s="1"/>
  <c r="G20" i="511"/>
  <c r="D20" i="511"/>
  <c r="C20" i="511"/>
  <c r="AO19" i="511"/>
  <c r="AN19" i="511"/>
  <c r="AM19" i="511"/>
  <c r="AL19" i="511"/>
  <c r="AK19" i="511"/>
  <c r="U19" i="511"/>
  <c r="T19" i="511"/>
  <c r="R19" i="511"/>
  <c r="AD19" i="511" s="1"/>
  <c r="H19" i="511"/>
  <c r="V19" i="511" s="1"/>
  <c r="G19" i="511"/>
  <c r="D19" i="511"/>
  <c r="C19" i="511"/>
  <c r="AO18" i="511"/>
  <c r="AN18" i="511"/>
  <c r="AM18" i="511"/>
  <c r="AL18" i="511"/>
  <c r="AK18" i="511"/>
  <c r="U18" i="511"/>
  <c r="T18" i="511"/>
  <c r="R18" i="511"/>
  <c r="H18" i="511"/>
  <c r="V18" i="511" s="1"/>
  <c r="G18" i="511"/>
  <c r="D18" i="511"/>
  <c r="C18" i="511"/>
  <c r="AO17" i="511"/>
  <c r="AN17" i="511"/>
  <c r="AM17" i="511"/>
  <c r="AL17" i="511"/>
  <c r="AK17" i="511"/>
  <c r="U17" i="511"/>
  <c r="T17" i="511"/>
  <c r="R17" i="511"/>
  <c r="AD17" i="511" s="1"/>
  <c r="H17" i="511"/>
  <c r="V17" i="511" s="1"/>
  <c r="G17" i="511"/>
  <c r="D17" i="511"/>
  <c r="C17" i="511"/>
  <c r="AO16" i="511"/>
  <c r="AN16" i="511"/>
  <c r="AM16" i="511"/>
  <c r="AL16" i="511"/>
  <c r="AK16" i="511"/>
  <c r="U16" i="511"/>
  <c r="T16" i="511"/>
  <c r="R16" i="511"/>
  <c r="H16" i="511"/>
  <c r="V16" i="511" s="1"/>
  <c r="G16" i="511"/>
  <c r="D16" i="511"/>
  <c r="C16" i="511"/>
  <c r="AO15" i="511"/>
  <c r="AN15" i="511"/>
  <c r="AM15" i="511"/>
  <c r="AL15" i="511"/>
  <c r="AK15" i="511"/>
  <c r="U15" i="511"/>
  <c r="T15" i="511"/>
  <c r="R15" i="511"/>
  <c r="AD15" i="511" s="1"/>
  <c r="H15" i="511"/>
  <c r="V15" i="511" s="1"/>
  <c r="G15" i="511"/>
  <c r="D15" i="511"/>
  <c r="C15" i="511"/>
  <c r="AO14" i="511"/>
  <c r="AN14" i="511"/>
  <c r="AM14" i="511"/>
  <c r="AL14" i="511"/>
  <c r="AK14" i="511"/>
  <c r="U14" i="511"/>
  <c r="T14" i="511"/>
  <c r="R14" i="511"/>
  <c r="H14" i="511"/>
  <c r="V14" i="511" s="1"/>
  <c r="G14" i="511"/>
  <c r="D14" i="511"/>
  <c r="C14" i="511"/>
  <c r="AO13" i="511"/>
  <c r="AN13" i="511"/>
  <c r="AM13" i="511"/>
  <c r="AL13" i="511"/>
  <c r="AK13" i="511"/>
  <c r="U13" i="511"/>
  <c r="T13" i="511"/>
  <c r="R13" i="511"/>
  <c r="AD22" i="511" s="1"/>
  <c r="H13" i="511"/>
  <c r="V13" i="511" s="1"/>
  <c r="G13" i="511"/>
  <c r="D13" i="511"/>
  <c r="C13" i="511"/>
  <c r="U12" i="511"/>
  <c r="T12" i="511"/>
  <c r="H12" i="511"/>
  <c r="V12" i="511" s="1"/>
  <c r="G12" i="511"/>
  <c r="D12" i="511"/>
  <c r="C12" i="511"/>
  <c r="U11" i="511"/>
  <c r="T11" i="511"/>
  <c r="R11" i="511"/>
  <c r="H11" i="511"/>
  <c r="V11" i="511" s="1"/>
  <c r="G11" i="511"/>
  <c r="D11" i="511"/>
  <c r="C11" i="511"/>
  <c r="U10" i="511"/>
  <c r="T10" i="511"/>
  <c r="H10" i="511"/>
  <c r="V10" i="511" s="1"/>
  <c r="G10" i="511"/>
  <c r="D10" i="511"/>
  <c r="C10" i="511"/>
  <c r="U9" i="511"/>
  <c r="T9" i="511"/>
  <c r="H9" i="511"/>
  <c r="V9" i="511" s="1"/>
  <c r="G9" i="511"/>
  <c r="D9" i="511"/>
  <c r="C9" i="511"/>
  <c r="AO8" i="511"/>
  <c r="AN8" i="511"/>
  <c r="AM8" i="511"/>
  <c r="AL8" i="511"/>
  <c r="AC8" i="511"/>
  <c r="AB8" i="511"/>
  <c r="AA8" i="511"/>
  <c r="Z8" i="511"/>
  <c r="Y8" i="511"/>
  <c r="U8" i="511"/>
  <c r="T8" i="511"/>
  <c r="H8" i="511"/>
  <c r="V8" i="511" s="1"/>
  <c r="G8" i="511"/>
  <c r="D8" i="511"/>
  <c r="C8" i="511"/>
  <c r="AG7" i="511"/>
  <c r="U7" i="511"/>
  <c r="T7" i="511"/>
  <c r="H7" i="511"/>
  <c r="V7" i="511" s="1"/>
  <c r="G7" i="511"/>
  <c r="D7" i="511"/>
  <c r="C7" i="511"/>
  <c r="U6" i="511"/>
  <c r="T6" i="511"/>
  <c r="H6" i="511"/>
  <c r="V6" i="511" s="1"/>
  <c r="G6" i="511"/>
  <c r="D6" i="511"/>
  <c r="C6" i="511"/>
  <c r="AK8" i="511" s="1"/>
  <c r="AJ5" i="511"/>
  <c r="Y7" i="511" s="1"/>
  <c r="AI5" i="511"/>
  <c r="Y21" i="511" s="1"/>
  <c r="AG3" i="511"/>
  <c r="C2" i="511" a="1"/>
  <c r="C2" i="511" s="1"/>
  <c r="B2" i="511" a="1"/>
  <c r="B2" i="511" s="1"/>
  <c r="C1" i="511"/>
  <c r="B1" i="511"/>
  <c r="U105" i="510"/>
  <c r="T105" i="510"/>
  <c r="H105" i="510"/>
  <c r="V105" i="510" s="1"/>
  <c r="G105" i="510"/>
  <c r="D105" i="510"/>
  <c r="C105" i="510"/>
  <c r="U104" i="510"/>
  <c r="T104" i="510"/>
  <c r="H104" i="510"/>
  <c r="V104" i="510" s="1"/>
  <c r="G104" i="510"/>
  <c r="D104" i="510"/>
  <c r="C104" i="510"/>
  <c r="U103" i="510"/>
  <c r="T103" i="510"/>
  <c r="H103" i="510"/>
  <c r="V103" i="510" s="1"/>
  <c r="G103" i="510"/>
  <c r="D103" i="510"/>
  <c r="C103" i="510"/>
  <c r="U102" i="510"/>
  <c r="T102" i="510"/>
  <c r="H102" i="510"/>
  <c r="V102" i="510" s="1"/>
  <c r="G102" i="510"/>
  <c r="D102" i="510"/>
  <c r="C102" i="510"/>
  <c r="U101" i="510"/>
  <c r="T101" i="510"/>
  <c r="H101" i="510"/>
  <c r="V101" i="510" s="1"/>
  <c r="G101" i="510"/>
  <c r="D101" i="510"/>
  <c r="C101" i="510"/>
  <c r="U100" i="510"/>
  <c r="T100" i="510"/>
  <c r="H100" i="510"/>
  <c r="V100" i="510" s="1"/>
  <c r="G100" i="510"/>
  <c r="D100" i="510"/>
  <c r="C100" i="510"/>
  <c r="U99" i="510"/>
  <c r="T99" i="510"/>
  <c r="H99" i="510"/>
  <c r="V99" i="510" s="1"/>
  <c r="G99" i="510"/>
  <c r="D99" i="510"/>
  <c r="C99" i="510"/>
  <c r="U98" i="510"/>
  <c r="T98" i="510"/>
  <c r="H98" i="510"/>
  <c r="V98" i="510" s="1"/>
  <c r="G98" i="510"/>
  <c r="D98" i="510"/>
  <c r="C98" i="510"/>
  <c r="U97" i="510"/>
  <c r="T97" i="510"/>
  <c r="H97" i="510"/>
  <c r="V97" i="510" s="1"/>
  <c r="G97" i="510"/>
  <c r="D97" i="510"/>
  <c r="C97" i="510"/>
  <c r="U96" i="510"/>
  <c r="T96" i="510"/>
  <c r="H96" i="510"/>
  <c r="V96" i="510" s="1"/>
  <c r="G96" i="510"/>
  <c r="D96" i="510"/>
  <c r="C96" i="510"/>
  <c r="U95" i="510"/>
  <c r="T95" i="510"/>
  <c r="H95" i="510"/>
  <c r="V95" i="510" s="1"/>
  <c r="G95" i="510"/>
  <c r="D95" i="510"/>
  <c r="C95" i="510"/>
  <c r="U94" i="510"/>
  <c r="T94" i="510"/>
  <c r="H94" i="510"/>
  <c r="V94" i="510" s="1"/>
  <c r="G94" i="510"/>
  <c r="D94" i="510"/>
  <c r="C94" i="510"/>
  <c r="U93" i="510"/>
  <c r="T93" i="510"/>
  <c r="H93" i="510"/>
  <c r="V93" i="510" s="1"/>
  <c r="G93" i="510"/>
  <c r="D93" i="510"/>
  <c r="C93" i="510"/>
  <c r="U92" i="510"/>
  <c r="T92" i="510"/>
  <c r="H92" i="510"/>
  <c r="V92" i="510" s="1"/>
  <c r="G92" i="510"/>
  <c r="D92" i="510"/>
  <c r="C92" i="510"/>
  <c r="U91" i="510"/>
  <c r="T91" i="510"/>
  <c r="H91" i="510"/>
  <c r="V91" i="510" s="1"/>
  <c r="G91" i="510"/>
  <c r="D91" i="510"/>
  <c r="C91" i="510"/>
  <c r="U90" i="510"/>
  <c r="T90" i="510"/>
  <c r="H90" i="510"/>
  <c r="V90" i="510" s="1"/>
  <c r="G90" i="510"/>
  <c r="D90" i="510"/>
  <c r="C90" i="510"/>
  <c r="U89" i="510"/>
  <c r="T89" i="510"/>
  <c r="H89" i="510"/>
  <c r="V89" i="510" s="1"/>
  <c r="G89" i="510"/>
  <c r="D89" i="510"/>
  <c r="C89" i="510"/>
  <c r="U88" i="510"/>
  <c r="T88" i="510"/>
  <c r="H88" i="510"/>
  <c r="V88" i="510" s="1"/>
  <c r="G88" i="510"/>
  <c r="D88" i="510"/>
  <c r="C88" i="510"/>
  <c r="U87" i="510"/>
  <c r="T87" i="510"/>
  <c r="H87" i="510"/>
  <c r="V87" i="510" s="1"/>
  <c r="G87" i="510"/>
  <c r="D87" i="510"/>
  <c r="C87" i="510"/>
  <c r="U86" i="510"/>
  <c r="T86" i="510"/>
  <c r="H86" i="510"/>
  <c r="V86" i="510" s="1"/>
  <c r="G86" i="510"/>
  <c r="D86" i="510"/>
  <c r="C86" i="510"/>
  <c r="U85" i="510"/>
  <c r="T85" i="510"/>
  <c r="H85" i="510"/>
  <c r="V85" i="510" s="1"/>
  <c r="G85" i="510"/>
  <c r="D85" i="510"/>
  <c r="C85" i="510"/>
  <c r="U84" i="510"/>
  <c r="T84" i="510"/>
  <c r="H84" i="510"/>
  <c r="V84" i="510" s="1"/>
  <c r="G84" i="510"/>
  <c r="D84" i="510"/>
  <c r="C84" i="510"/>
  <c r="U83" i="510"/>
  <c r="T83" i="510"/>
  <c r="H83" i="510"/>
  <c r="V83" i="510" s="1"/>
  <c r="G83" i="510"/>
  <c r="D83" i="510"/>
  <c r="C83" i="510"/>
  <c r="U82" i="510"/>
  <c r="T82" i="510"/>
  <c r="H82" i="510"/>
  <c r="V82" i="510" s="1"/>
  <c r="G82" i="510"/>
  <c r="D82" i="510"/>
  <c r="C82" i="510"/>
  <c r="U81" i="510"/>
  <c r="T81" i="510"/>
  <c r="H81" i="510"/>
  <c r="V81" i="510" s="1"/>
  <c r="G81" i="510"/>
  <c r="D81" i="510"/>
  <c r="C81" i="510"/>
  <c r="U80" i="510"/>
  <c r="T80" i="510"/>
  <c r="H80" i="510"/>
  <c r="V80" i="510" s="1"/>
  <c r="G80" i="510"/>
  <c r="D80" i="510"/>
  <c r="C80" i="510"/>
  <c r="U79" i="510"/>
  <c r="T79" i="510"/>
  <c r="H79" i="510"/>
  <c r="V79" i="510" s="1"/>
  <c r="G79" i="510"/>
  <c r="D79" i="510"/>
  <c r="C79" i="510"/>
  <c r="U78" i="510"/>
  <c r="T78" i="510"/>
  <c r="H78" i="510"/>
  <c r="V78" i="510" s="1"/>
  <c r="G78" i="510"/>
  <c r="D78" i="510"/>
  <c r="C78" i="510"/>
  <c r="U77" i="510"/>
  <c r="T77" i="510"/>
  <c r="H77" i="510"/>
  <c r="V77" i="510" s="1"/>
  <c r="G77" i="510"/>
  <c r="D77" i="510"/>
  <c r="C77" i="510"/>
  <c r="U76" i="510"/>
  <c r="T76" i="510"/>
  <c r="H76" i="510"/>
  <c r="V76" i="510" s="1"/>
  <c r="G76" i="510"/>
  <c r="D76" i="510"/>
  <c r="C76" i="510"/>
  <c r="U75" i="510"/>
  <c r="T75" i="510"/>
  <c r="H75" i="510"/>
  <c r="V75" i="510" s="1"/>
  <c r="G75" i="510"/>
  <c r="D75" i="510"/>
  <c r="C75" i="510"/>
  <c r="AB74" i="510"/>
  <c r="AA74" i="510"/>
  <c r="Z74" i="510"/>
  <c r="Y74" i="510"/>
  <c r="X74" i="510"/>
  <c r="U74" i="510"/>
  <c r="T74" i="510"/>
  <c r="H74" i="510"/>
  <c r="V74" i="510" s="1"/>
  <c r="G74" i="510"/>
  <c r="D74" i="510"/>
  <c r="C74" i="510"/>
  <c r="AB73" i="510"/>
  <c r="AA73" i="510"/>
  <c r="Z73" i="510"/>
  <c r="Y73" i="510"/>
  <c r="X73" i="510"/>
  <c r="U73" i="510"/>
  <c r="T73" i="510"/>
  <c r="H73" i="510"/>
  <c r="V73" i="510" s="1"/>
  <c r="G73" i="510"/>
  <c r="D73" i="510"/>
  <c r="C73" i="510"/>
  <c r="AB72" i="510"/>
  <c r="AA72" i="510"/>
  <c r="Z72" i="510"/>
  <c r="Y72" i="510"/>
  <c r="X72" i="510"/>
  <c r="U72" i="510"/>
  <c r="T72" i="510"/>
  <c r="H72" i="510"/>
  <c r="V72" i="510" s="1"/>
  <c r="G72" i="510"/>
  <c r="D72" i="510"/>
  <c r="C72" i="510"/>
  <c r="AB71" i="510"/>
  <c r="AA71" i="510"/>
  <c r="Z71" i="510"/>
  <c r="Y71" i="510"/>
  <c r="X71" i="510"/>
  <c r="U71" i="510"/>
  <c r="T71" i="510"/>
  <c r="H71" i="510"/>
  <c r="V71" i="510" s="1"/>
  <c r="G71" i="510"/>
  <c r="D71" i="510"/>
  <c r="C71" i="510"/>
  <c r="AB70" i="510"/>
  <c r="AA70" i="510"/>
  <c r="Z70" i="510"/>
  <c r="Y70" i="510"/>
  <c r="X70" i="510"/>
  <c r="U70" i="510"/>
  <c r="T70" i="510"/>
  <c r="H70" i="510"/>
  <c r="V70" i="510" s="1"/>
  <c r="G70" i="510"/>
  <c r="D70" i="510"/>
  <c r="C70" i="510"/>
  <c r="AB69" i="510"/>
  <c r="AA69" i="510"/>
  <c r="Z69" i="510"/>
  <c r="Y69" i="510"/>
  <c r="X69" i="510"/>
  <c r="U69" i="510"/>
  <c r="T69" i="510"/>
  <c r="H69" i="510"/>
  <c r="V69" i="510" s="1"/>
  <c r="G69" i="510"/>
  <c r="D69" i="510"/>
  <c r="C69" i="510"/>
  <c r="AB68" i="510"/>
  <c r="AA68" i="510"/>
  <c r="Z68" i="510"/>
  <c r="Y68" i="510"/>
  <c r="X68" i="510"/>
  <c r="U68" i="510"/>
  <c r="T68" i="510"/>
  <c r="H68" i="510"/>
  <c r="V68" i="510" s="1"/>
  <c r="G68" i="510"/>
  <c r="D68" i="510"/>
  <c r="C68" i="510"/>
  <c r="AB67" i="510"/>
  <c r="AA67" i="510"/>
  <c r="Z67" i="510"/>
  <c r="Y67" i="510"/>
  <c r="X67" i="510"/>
  <c r="U67" i="510"/>
  <c r="T67" i="510"/>
  <c r="H67" i="510"/>
  <c r="V67" i="510" s="1"/>
  <c r="G67" i="510"/>
  <c r="D67" i="510"/>
  <c r="C67" i="510"/>
  <c r="AB66" i="510"/>
  <c r="AA66" i="510"/>
  <c r="Z66" i="510"/>
  <c r="Y66" i="510"/>
  <c r="X66" i="510"/>
  <c r="U66" i="510"/>
  <c r="T66" i="510"/>
  <c r="H66" i="510"/>
  <c r="V66" i="510" s="1"/>
  <c r="G66" i="510"/>
  <c r="D66" i="510"/>
  <c r="C66" i="510"/>
  <c r="AB65" i="510"/>
  <c r="AA65" i="510"/>
  <c r="Z65" i="510"/>
  <c r="Y65" i="510"/>
  <c r="X65" i="510"/>
  <c r="U65" i="510"/>
  <c r="T65" i="510"/>
  <c r="H65" i="510"/>
  <c r="V65" i="510" s="1"/>
  <c r="G65" i="510"/>
  <c r="D65" i="510"/>
  <c r="C65" i="510"/>
  <c r="U64" i="510"/>
  <c r="T64" i="510"/>
  <c r="H64" i="510"/>
  <c r="V64" i="510" s="1"/>
  <c r="G64" i="510"/>
  <c r="D64" i="510"/>
  <c r="C64" i="510"/>
  <c r="U63" i="510"/>
  <c r="T63" i="510"/>
  <c r="H63" i="510"/>
  <c r="V63" i="510" s="1"/>
  <c r="G63" i="510"/>
  <c r="D63" i="510"/>
  <c r="C63" i="510"/>
  <c r="U62" i="510"/>
  <c r="T62" i="510"/>
  <c r="H62" i="510"/>
  <c r="V62" i="510" s="1"/>
  <c r="G62" i="510"/>
  <c r="D62" i="510"/>
  <c r="C62" i="510"/>
  <c r="AB61" i="510"/>
  <c r="AA61" i="510"/>
  <c r="Z61" i="510"/>
  <c r="Y61" i="510"/>
  <c r="X61" i="510"/>
  <c r="U61" i="510"/>
  <c r="T61" i="510"/>
  <c r="H61" i="510"/>
  <c r="V61" i="510" s="1"/>
  <c r="G61" i="510"/>
  <c r="D61" i="510"/>
  <c r="C61" i="510"/>
  <c r="AB60" i="510"/>
  <c r="AA60" i="510"/>
  <c r="Z60" i="510"/>
  <c r="Y60" i="510"/>
  <c r="X60" i="510"/>
  <c r="U60" i="510"/>
  <c r="T60" i="510"/>
  <c r="H60" i="510"/>
  <c r="V60" i="510" s="1"/>
  <c r="G60" i="510"/>
  <c r="D60" i="510"/>
  <c r="C60" i="510"/>
  <c r="AB59" i="510"/>
  <c r="AA59" i="510"/>
  <c r="Z59" i="510"/>
  <c r="Y59" i="510"/>
  <c r="X59" i="510"/>
  <c r="U59" i="510"/>
  <c r="T59" i="510"/>
  <c r="H59" i="510"/>
  <c r="V59" i="510" s="1"/>
  <c r="G59" i="510"/>
  <c r="D59" i="510"/>
  <c r="C59" i="510"/>
  <c r="AB58" i="510"/>
  <c r="AA58" i="510"/>
  <c r="Z58" i="510"/>
  <c r="Y58" i="510"/>
  <c r="X58" i="510"/>
  <c r="U58" i="510"/>
  <c r="T58" i="510"/>
  <c r="H58" i="510"/>
  <c r="V58" i="510" s="1"/>
  <c r="G58" i="510"/>
  <c r="D58" i="510"/>
  <c r="C58" i="510"/>
  <c r="AB57" i="510"/>
  <c r="AA57" i="510"/>
  <c r="Z57" i="510"/>
  <c r="Y57" i="510"/>
  <c r="X57" i="510"/>
  <c r="U57" i="510"/>
  <c r="T57" i="510"/>
  <c r="H57" i="510"/>
  <c r="V57" i="510" s="1"/>
  <c r="G57" i="510"/>
  <c r="D57" i="510"/>
  <c r="C57" i="510"/>
  <c r="AB56" i="510"/>
  <c r="AA56" i="510"/>
  <c r="Z56" i="510"/>
  <c r="Y56" i="510"/>
  <c r="X56" i="510"/>
  <c r="U56" i="510"/>
  <c r="T56" i="510"/>
  <c r="H56" i="510"/>
  <c r="V56" i="510" s="1"/>
  <c r="G56" i="510"/>
  <c r="D56" i="510"/>
  <c r="C56" i="510"/>
  <c r="AB55" i="510"/>
  <c r="AA55" i="510"/>
  <c r="Z55" i="510"/>
  <c r="Y55" i="510"/>
  <c r="X55" i="510"/>
  <c r="U55" i="510"/>
  <c r="T55" i="510"/>
  <c r="H55" i="510"/>
  <c r="V55" i="510" s="1"/>
  <c r="G55" i="510"/>
  <c r="D55" i="510"/>
  <c r="C55" i="510"/>
  <c r="AB54" i="510"/>
  <c r="AA54" i="510"/>
  <c r="Z54" i="510"/>
  <c r="Y54" i="510"/>
  <c r="X54" i="510"/>
  <c r="U54" i="510"/>
  <c r="T54" i="510"/>
  <c r="H54" i="510"/>
  <c r="V54" i="510" s="1"/>
  <c r="G54" i="510"/>
  <c r="D54" i="510"/>
  <c r="C54" i="510"/>
  <c r="AB53" i="510"/>
  <c r="AA53" i="510"/>
  <c r="Z53" i="510"/>
  <c r="Y53" i="510"/>
  <c r="X53" i="510"/>
  <c r="U53" i="510"/>
  <c r="T53" i="510"/>
  <c r="H53" i="510"/>
  <c r="V53" i="510" s="1"/>
  <c r="G53" i="510"/>
  <c r="D53" i="510"/>
  <c r="C53" i="510"/>
  <c r="AB52" i="510"/>
  <c r="AA52" i="510"/>
  <c r="Z52" i="510"/>
  <c r="Y52" i="510"/>
  <c r="X52" i="510"/>
  <c r="U52" i="510"/>
  <c r="T52" i="510"/>
  <c r="H52" i="510"/>
  <c r="V52" i="510" s="1"/>
  <c r="G52" i="510"/>
  <c r="D52" i="510"/>
  <c r="C52" i="510"/>
  <c r="U51" i="510"/>
  <c r="T51" i="510"/>
  <c r="H51" i="510"/>
  <c r="V51" i="510" s="1"/>
  <c r="G51" i="510"/>
  <c r="D51" i="510"/>
  <c r="C51" i="510"/>
  <c r="U50" i="510"/>
  <c r="T50" i="510"/>
  <c r="H50" i="510"/>
  <c r="V50" i="510" s="1"/>
  <c r="G50" i="510"/>
  <c r="D50" i="510"/>
  <c r="C50" i="510"/>
  <c r="U49" i="510"/>
  <c r="T49" i="510"/>
  <c r="H49" i="510"/>
  <c r="V49" i="510" s="1"/>
  <c r="G49" i="510"/>
  <c r="D49" i="510"/>
  <c r="C49" i="510"/>
  <c r="U48" i="510"/>
  <c r="T48" i="510"/>
  <c r="H48" i="510"/>
  <c r="V48" i="510" s="1"/>
  <c r="G48" i="510"/>
  <c r="D48" i="510"/>
  <c r="C48" i="510"/>
  <c r="U47" i="510"/>
  <c r="T47" i="510"/>
  <c r="H47" i="510"/>
  <c r="V47" i="510" s="1"/>
  <c r="G47" i="510"/>
  <c r="D47" i="510"/>
  <c r="C47" i="510"/>
  <c r="U46" i="510"/>
  <c r="T46" i="510"/>
  <c r="H46" i="510"/>
  <c r="V46" i="510" s="1"/>
  <c r="G46" i="510"/>
  <c r="D46" i="510"/>
  <c r="C46" i="510"/>
  <c r="U45" i="510"/>
  <c r="T45" i="510"/>
  <c r="H45" i="510"/>
  <c r="V45" i="510" s="1"/>
  <c r="G45" i="510"/>
  <c r="D45" i="510"/>
  <c r="C45" i="510"/>
  <c r="U44" i="510"/>
  <c r="T44" i="510"/>
  <c r="H44" i="510"/>
  <c r="V44" i="510" s="1"/>
  <c r="G44" i="510"/>
  <c r="D44" i="510"/>
  <c r="C44" i="510"/>
  <c r="U43" i="510"/>
  <c r="T43" i="510"/>
  <c r="H43" i="510"/>
  <c r="V43" i="510" s="1"/>
  <c r="G43" i="510"/>
  <c r="D43" i="510"/>
  <c r="C43" i="510"/>
  <c r="U42" i="510"/>
  <c r="T42" i="510"/>
  <c r="H42" i="510"/>
  <c r="V42" i="510" s="1"/>
  <c r="G42" i="510"/>
  <c r="D42" i="510"/>
  <c r="C42" i="510"/>
  <c r="U41" i="510"/>
  <c r="T41" i="510"/>
  <c r="H41" i="510"/>
  <c r="V41" i="510" s="1"/>
  <c r="G41" i="510"/>
  <c r="D41" i="510"/>
  <c r="C41" i="510"/>
  <c r="U40" i="510"/>
  <c r="T40" i="510"/>
  <c r="H40" i="510"/>
  <c r="V40" i="510" s="1"/>
  <c r="G40" i="510"/>
  <c r="D40" i="510"/>
  <c r="C40" i="510"/>
  <c r="U39" i="510"/>
  <c r="T39" i="510"/>
  <c r="H39" i="510"/>
  <c r="V39" i="510" s="1"/>
  <c r="G39" i="510"/>
  <c r="D39" i="510"/>
  <c r="C39" i="510"/>
  <c r="U38" i="510"/>
  <c r="T38" i="510"/>
  <c r="H38" i="510"/>
  <c r="V38" i="510" s="1"/>
  <c r="G38" i="510"/>
  <c r="D38" i="510"/>
  <c r="C38" i="510"/>
  <c r="U37" i="510"/>
  <c r="T37" i="510"/>
  <c r="H37" i="510"/>
  <c r="V37" i="510" s="1"/>
  <c r="G37" i="510"/>
  <c r="D37" i="510"/>
  <c r="C37" i="510"/>
  <c r="U36" i="510"/>
  <c r="T36" i="510"/>
  <c r="H36" i="510"/>
  <c r="V36" i="510" s="1"/>
  <c r="G36" i="510"/>
  <c r="D36" i="510"/>
  <c r="C36" i="510"/>
  <c r="U35" i="510"/>
  <c r="T35" i="510"/>
  <c r="H35" i="510"/>
  <c r="V35" i="510" s="1"/>
  <c r="G35" i="510"/>
  <c r="D35" i="510"/>
  <c r="C35" i="510"/>
  <c r="U34" i="510"/>
  <c r="T34" i="510"/>
  <c r="H34" i="510"/>
  <c r="V34" i="510" s="1"/>
  <c r="G34" i="510"/>
  <c r="D34" i="510"/>
  <c r="C34" i="510"/>
  <c r="U33" i="510"/>
  <c r="T33" i="510"/>
  <c r="H33" i="510"/>
  <c r="V33" i="510" s="1"/>
  <c r="G33" i="510"/>
  <c r="D33" i="510"/>
  <c r="C33" i="510"/>
  <c r="U32" i="510"/>
  <c r="T32" i="510"/>
  <c r="H32" i="510"/>
  <c r="V32" i="510" s="1"/>
  <c r="G32" i="510"/>
  <c r="D32" i="510"/>
  <c r="C32" i="510"/>
  <c r="U31" i="510"/>
  <c r="T31" i="510"/>
  <c r="H31" i="510"/>
  <c r="V31" i="510" s="1"/>
  <c r="G31" i="510"/>
  <c r="D31" i="510"/>
  <c r="C31" i="510"/>
  <c r="U30" i="510"/>
  <c r="T30" i="510"/>
  <c r="H30" i="510"/>
  <c r="V30" i="510" s="1"/>
  <c r="G30" i="510"/>
  <c r="D30" i="510"/>
  <c r="C30" i="510"/>
  <c r="U29" i="510"/>
  <c r="T29" i="510"/>
  <c r="H29" i="510"/>
  <c r="V29" i="510" s="1"/>
  <c r="G29" i="510"/>
  <c r="D29" i="510"/>
  <c r="C29" i="510"/>
  <c r="U28" i="510"/>
  <c r="T28" i="510"/>
  <c r="H28" i="510"/>
  <c r="V28" i="510" s="1"/>
  <c r="G28" i="510"/>
  <c r="D28" i="510"/>
  <c r="C28" i="510"/>
  <c r="U27" i="510"/>
  <c r="T27" i="510"/>
  <c r="H27" i="510"/>
  <c r="V27" i="510" s="1"/>
  <c r="G27" i="510"/>
  <c r="D27" i="510"/>
  <c r="C27" i="510"/>
  <c r="U26" i="510"/>
  <c r="T26" i="510"/>
  <c r="H26" i="510"/>
  <c r="V26" i="510" s="1"/>
  <c r="G26" i="510"/>
  <c r="D26" i="510"/>
  <c r="C26" i="510"/>
  <c r="U25" i="510"/>
  <c r="T25" i="510"/>
  <c r="H25" i="510"/>
  <c r="V25" i="510" s="1"/>
  <c r="G25" i="510"/>
  <c r="D25" i="510"/>
  <c r="C25" i="510"/>
  <c r="U24" i="510"/>
  <c r="T24" i="510"/>
  <c r="H24" i="510"/>
  <c r="V24" i="510" s="1"/>
  <c r="G24" i="510"/>
  <c r="D24" i="510"/>
  <c r="C24" i="510"/>
  <c r="U23" i="510"/>
  <c r="T23" i="510"/>
  <c r="H23" i="510"/>
  <c r="V23" i="510" s="1"/>
  <c r="G23" i="510"/>
  <c r="D23" i="510"/>
  <c r="C23" i="510"/>
  <c r="AO22" i="510"/>
  <c r="AN22" i="510"/>
  <c r="AM22" i="510"/>
  <c r="AL22" i="510"/>
  <c r="AK22" i="510"/>
  <c r="U22" i="510"/>
  <c r="T22" i="510"/>
  <c r="R22" i="510"/>
  <c r="H22" i="510"/>
  <c r="V22" i="510" s="1"/>
  <c r="G22" i="510"/>
  <c r="D22" i="510"/>
  <c r="C22" i="510"/>
  <c r="AO21" i="510"/>
  <c r="AN21" i="510"/>
  <c r="AM21" i="510"/>
  <c r="AL21" i="510"/>
  <c r="AK21" i="510"/>
  <c r="U21" i="510"/>
  <c r="T21" i="510"/>
  <c r="R21" i="510"/>
  <c r="H21" i="510"/>
  <c r="V21" i="510" s="1"/>
  <c r="G21" i="510"/>
  <c r="D21" i="510"/>
  <c r="C21" i="510"/>
  <c r="AO20" i="510"/>
  <c r="AN20" i="510"/>
  <c r="AM20" i="510"/>
  <c r="AL20" i="510"/>
  <c r="AK20" i="510"/>
  <c r="U20" i="510"/>
  <c r="T20" i="510"/>
  <c r="R20" i="510"/>
  <c r="H20" i="510"/>
  <c r="V20" i="510" s="1"/>
  <c r="G20" i="510"/>
  <c r="D20" i="510"/>
  <c r="C20" i="510"/>
  <c r="AO19" i="510"/>
  <c r="AN19" i="510"/>
  <c r="AM19" i="510"/>
  <c r="AL19" i="510"/>
  <c r="AK19" i="510"/>
  <c r="U19" i="510"/>
  <c r="T19" i="510"/>
  <c r="R19" i="510"/>
  <c r="H19" i="510"/>
  <c r="V19" i="510" s="1"/>
  <c r="G19" i="510"/>
  <c r="D19" i="510"/>
  <c r="C19" i="510"/>
  <c r="AO18" i="510"/>
  <c r="AN18" i="510"/>
  <c r="AM18" i="510"/>
  <c r="AL18" i="510"/>
  <c r="AK18" i="510"/>
  <c r="U18" i="510"/>
  <c r="T18" i="510"/>
  <c r="R18" i="510"/>
  <c r="H18" i="510"/>
  <c r="V18" i="510" s="1"/>
  <c r="G18" i="510"/>
  <c r="D18" i="510"/>
  <c r="C18" i="510"/>
  <c r="AO17" i="510"/>
  <c r="AN17" i="510"/>
  <c r="AM17" i="510"/>
  <c r="AL17" i="510"/>
  <c r="AK17" i="510"/>
  <c r="U17" i="510"/>
  <c r="T17" i="510"/>
  <c r="R17" i="510"/>
  <c r="H17" i="510"/>
  <c r="V17" i="510" s="1"/>
  <c r="G17" i="510"/>
  <c r="D17" i="510"/>
  <c r="C17" i="510"/>
  <c r="AO16" i="510"/>
  <c r="AN16" i="510"/>
  <c r="AM16" i="510"/>
  <c r="AL16" i="510"/>
  <c r="AK16" i="510"/>
  <c r="AD16" i="510"/>
  <c r="U16" i="510"/>
  <c r="T16" i="510"/>
  <c r="R16" i="510"/>
  <c r="H16" i="510"/>
  <c r="V16" i="510" s="1"/>
  <c r="G16" i="510"/>
  <c r="D16" i="510"/>
  <c r="C16" i="510"/>
  <c r="AO15" i="510"/>
  <c r="AN15" i="510"/>
  <c r="AM15" i="510"/>
  <c r="AL15" i="510"/>
  <c r="AK15" i="510"/>
  <c r="U15" i="510"/>
  <c r="T15" i="510"/>
  <c r="R15" i="510"/>
  <c r="H15" i="510"/>
  <c r="V15" i="510" s="1"/>
  <c r="G15" i="510"/>
  <c r="D15" i="510"/>
  <c r="C15" i="510"/>
  <c r="AO14" i="510"/>
  <c r="AN14" i="510"/>
  <c r="AM14" i="510"/>
  <c r="AL14" i="510"/>
  <c r="U14" i="510"/>
  <c r="T14" i="510"/>
  <c r="R14" i="510"/>
  <c r="H14" i="510"/>
  <c r="V14" i="510" s="1"/>
  <c r="G14" i="510"/>
  <c r="D14" i="510"/>
  <c r="C14" i="510"/>
  <c r="AO13" i="510"/>
  <c r="AN13" i="510"/>
  <c r="AM13" i="510"/>
  <c r="U13" i="510"/>
  <c r="T13" i="510"/>
  <c r="R13" i="510"/>
  <c r="AD22" i="510" s="1"/>
  <c r="H13" i="510"/>
  <c r="V13" i="510" s="1"/>
  <c r="G13" i="510"/>
  <c r="D13" i="510"/>
  <c r="C13" i="510"/>
  <c r="U12" i="510"/>
  <c r="T12" i="510"/>
  <c r="H12" i="510"/>
  <c r="V12" i="510" s="1"/>
  <c r="G12" i="510"/>
  <c r="D12" i="510"/>
  <c r="C12" i="510"/>
  <c r="U11" i="510"/>
  <c r="T11" i="510"/>
  <c r="H11" i="510"/>
  <c r="V11" i="510" s="1"/>
  <c r="G11" i="510"/>
  <c r="D11" i="510"/>
  <c r="C11" i="510"/>
  <c r="U10" i="510"/>
  <c r="T10" i="510"/>
  <c r="H10" i="510"/>
  <c r="V10" i="510" s="1"/>
  <c r="G10" i="510"/>
  <c r="D10" i="510"/>
  <c r="C10" i="510"/>
  <c r="AK14" i="510" s="1"/>
  <c r="U9" i="510"/>
  <c r="T9" i="510"/>
  <c r="H9" i="510"/>
  <c r="V9" i="510" s="1"/>
  <c r="G9" i="510"/>
  <c r="D9" i="510"/>
  <c r="C9" i="510"/>
  <c r="AO8" i="510"/>
  <c r="AN8" i="510"/>
  <c r="AM8" i="510"/>
  <c r="AL8" i="510"/>
  <c r="AC8" i="510"/>
  <c r="AB8" i="510"/>
  <c r="AA8" i="510"/>
  <c r="Z8" i="510"/>
  <c r="Y8" i="510"/>
  <c r="AG9" i="510" s="1"/>
  <c r="U8" i="510"/>
  <c r="T8" i="510"/>
  <c r="H8" i="510"/>
  <c r="V8" i="510" s="1"/>
  <c r="G8" i="510"/>
  <c r="D8" i="510"/>
  <c r="C8" i="510"/>
  <c r="AL13" i="510" s="1"/>
  <c r="AG7" i="510"/>
  <c r="U7" i="510"/>
  <c r="T7" i="510"/>
  <c r="H7" i="510"/>
  <c r="V7" i="510" s="1"/>
  <c r="G7" i="510"/>
  <c r="D7" i="510"/>
  <c r="C7" i="510"/>
  <c r="AK13" i="510" s="1"/>
  <c r="U6" i="510"/>
  <c r="T6" i="510"/>
  <c r="H6" i="510"/>
  <c r="V6" i="510" s="1"/>
  <c r="G6" i="510"/>
  <c r="D6" i="510"/>
  <c r="C6" i="510"/>
  <c r="AK8" i="510" s="1"/>
  <c r="AJ5" i="510"/>
  <c r="Y7" i="510" s="1"/>
  <c r="AI5" i="510"/>
  <c r="AC22" i="510" s="1"/>
  <c r="AG3" i="510"/>
  <c r="C2" i="510" a="1"/>
  <c r="C2" i="510" s="1"/>
  <c r="B2" i="510" a="1"/>
  <c r="B2" i="510" s="1"/>
  <c r="C1" i="510"/>
  <c r="B1" i="510"/>
  <c r="AG11" i="4"/>
  <c r="AD22" i="4"/>
  <c r="AD21" i="4"/>
  <c r="AD20" i="4"/>
  <c r="AD19" i="4"/>
  <c r="AD18" i="4"/>
  <c r="AD17" i="4"/>
  <c r="AD16" i="4"/>
  <c r="AD15" i="4"/>
  <c r="AD14" i="4"/>
  <c r="AD13" i="4"/>
  <c r="R11" i="4"/>
  <c r="AG7" i="4"/>
  <c r="AO22" i="4"/>
  <c r="AN22" i="4"/>
  <c r="AM22" i="4"/>
  <c r="AL22" i="4"/>
  <c r="AK22" i="4"/>
  <c r="AO21" i="4"/>
  <c r="AN21" i="4"/>
  <c r="AM21" i="4"/>
  <c r="AL21" i="4"/>
  <c r="AK21" i="4"/>
  <c r="AO20" i="4"/>
  <c r="AN20" i="4"/>
  <c r="AM20" i="4"/>
  <c r="AL20" i="4"/>
  <c r="AK20" i="4"/>
  <c r="AO19" i="4"/>
  <c r="AN19" i="4"/>
  <c r="AM19" i="4"/>
  <c r="AL19" i="4"/>
  <c r="AK19" i="4"/>
  <c r="AO18" i="4"/>
  <c r="AN18" i="4"/>
  <c r="AM18" i="4"/>
  <c r="AL18" i="4"/>
  <c r="AK18" i="4"/>
  <c r="AO17" i="4"/>
  <c r="AN17" i="4"/>
  <c r="AM17" i="4"/>
  <c r="AL17" i="4"/>
  <c r="AK17" i="4"/>
  <c r="AO16" i="4"/>
  <c r="AN16" i="4"/>
  <c r="AM16" i="4"/>
  <c r="AL16" i="4"/>
  <c r="AK16" i="4"/>
  <c r="AO15" i="4"/>
  <c r="AN15" i="4"/>
  <c r="AM15" i="4"/>
  <c r="AL15" i="4"/>
  <c r="AK15" i="4"/>
  <c r="AO14" i="4"/>
  <c r="AN14" i="4"/>
  <c r="AM14" i="4"/>
  <c r="AL14" i="4"/>
  <c r="AK14" i="4"/>
  <c r="AO13" i="4"/>
  <c r="AN13" i="4"/>
  <c r="AM13" i="4"/>
  <c r="AL13" i="4"/>
  <c r="AK13" i="4"/>
  <c r="AO8" i="4"/>
  <c r="AN8" i="4"/>
  <c r="AM8" i="4"/>
  <c r="AL8" i="4"/>
  <c r="AK8" i="4"/>
  <c r="AG3" i="4"/>
  <c r="R13" i="4"/>
  <c r="R22" i="4"/>
  <c r="R21" i="4"/>
  <c r="R20" i="4"/>
  <c r="R19" i="4"/>
  <c r="R18" i="4"/>
  <c r="R17" i="4"/>
  <c r="R16" i="4"/>
  <c r="R15" i="4"/>
  <c r="R14" i="4"/>
  <c r="AI5" i="4"/>
  <c r="AB22" i="4" s="1"/>
  <c r="AJ5" i="4"/>
  <c r="AC7" i="4" s="1"/>
  <c r="U105" i="4"/>
  <c r="U104" i="4"/>
  <c r="U103" i="4"/>
  <c r="U102" i="4"/>
  <c r="U101" i="4"/>
  <c r="U100" i="4"/>
  <c r="U99" i="4"/>
  <c r="U98" i="4"/>
  <c r="U97" i="4"/>
  <c r="U96" i="4"/>
  <c r="U95" i="4"/>
  <c r="U94" i="4"/>
  <c r="U93" i="4"/>
  <c r="U92" i="4"/>
  <c r="U91" i="4"/>
  <c r="U90" i="4"/>
  <c r="U89" i="4"/>
  <c r="U88" i="4"/>
  <c r="U87" i="4"/>
  <c r="U86" i="4"/>
  <c r="U85" i="4"/>
  <c r="U84" i="4"/>
  <c r="U83" i="4"/>
  <c r="U82" i="4"/>
  <c r="U81" i="4"/>
  <c r="U80" i="4"/>
  <c r="U79" i="4"/>
  <c r="U78" i="4"/>
  <c r="U77" i="4"/>
  <c r="U76" i="4"/>
  <c r="U75" i="4"/>
  <c r="U74" i="4"/>
  <c r="U73" i="4"/>
  <c r="U72" i="4"/>
  <c r="U71" i="4"/>
  <c r="U70" i="4"/>
  <c r="U69" i="4"/>
  <c r="U68" i="4"/>
  <c r="U67" i="4"/>
  <c r="U66" i="4"/>
  <c r="U65" i="4"/>
  <c r="U64" i="4"/>
  <c r="U63" i="4"/>
  <c r="U62" i="4"/>
  <c r="U61" i="4"/>
  <c r="U60" i="4"/>
  <c r="U59" i="4"/>
  <c r="U58" i="4"/>
  <c r="U57" i="4"/>
  <c r="U56" i="4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U25" i="4"/>
  <c r="U24" i="4"/>
  <c r="U23" i="4"/>
  <c r="U22" i="4"/>
  <c r="U21" i="4"/>
  <c r="U20" i="4"/>
  <c r="U19" i="4"/>
  <c r="U18" i="4"/>
  <c r="U17" i="4"/>
  <c r="U16" i="4"/>
  <c r="U15" i="4"/>
  <c r="U14" i="4"/>
  <c r="U13" i="4"/>
  <c r="U12" i="4"/>
  <c r="U11" i="4"/>
  <c r="U10" i="4"/>
  <c r="U9" i="4"/>
  <c r="U8" i="4"/>
  <c r="U7" i="4"/>
  <c r="U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J101" i="1" a="1"/>
  <c r="J101" i="1" s="1"/>
  <c r="J100" i="1" a="1"/>
  <c r="J100" i="1" s="1"/>
  <c r="J99" i="1" a="1"/>
  <c r="J99" i="1" s="1"/>
  <c r="J98" i="1" a="1"/>
  <c r="J98" i="1" s="1"/>
  <c r="J97" i="1" a="1"/>
  <c r="J97" i="1" s="1"/>
  <c r="J96" i="1" a="1"/>
  <c r="J96" i="1" s="1"/>
  <c r="J95" i="1" a="1"/>
  <c r="J95" i="1" s="1"/>
  <c r="J94" i="1" a="1"/>
  <c r="J94" i="1" s="1"/>
  <c r="J93" i="1" a="1"/>
  <c r="J93" i="1" s="1"/>
  <c r="J92" i="1" a="1"/>
  <c r="J92" i="1" s="1"/>
  <c r="J91" i="1" a="1"/>
  <c r="J91" i="1" s="1"/>
  <c r="J90" i="1" a="1"/>
  <c r="J90" i="1" s="1"/>
  <c r="J89" i="1" a="1"/>
  <c r="J89" i="1" s="1"/>
  <c r="J88" i="1" a="1"/>
  <c r="J88" i="1" s="1"/>
  <c r="J87" i="1" a="1"/>
  <c r="J87" i="1" s="1"/>
  <c r="J86" i="1" a="1"/>
  <c r="J86" i="1" s="1"/>
  <c r="J85" i="1" a="1"/>
  <c r="J85" i="1" s="1"/>
  <c r="J84" i="1" a="1"/>
  <c r="J84" i="1" s="1"/>
  <c r="J83" i="1" a="1"/>
  <c r="J83" i="1" s="1"/>
  <c r="J82" i="1" a="1"/>
  <c r="J82" i="1" s="1"/>
  <c r="J81" i="1" a="1"/>
  <c r="J81" i="1" s="1"/>
  <c r="J80" i="1" a="1"/>
  <c r="J80" i="1" s="1"/>
  <c r="J79" i="1" a="1"/>
  <c r="J79" i="1" s="1"/>
  <c r="J78" i="1" a="1"/>
  <c r="J78" i="1" s="1"/>
  <c r="J77" i="1" a="1"/>
  <c r="J77" i="1" s="1"/>
  <c r="J76" i="1" a="1"/>
  <c r="J76" i="1" s="1"/>
  <c r="J75" i="1" a="1"/>
  <c r="J75" i="1" s="1"/>
  <c r="J74" i="1" a="1"/>
  <c r="J74" i="1" s="1"/>
  <c r="J73" i="1" a="1"/>
  <c r="J73" i="1" s="1"/>
  <c r="J72" i="1" a="1"/>
  <c r="J72" i="1" s="1"/>
  <c r="J71" i="1" a="1"/>
  <c r="J71" i="1" s="1"/>
  <c r="J70" i="1" a="1"/>
  <c r="J70" i="1" s="1"/>
  <c r="J69" i="1" a="1"/>
  <c r="J69" i="1" s="1"/>
  <c r="J68" i="1" a="1"/>
  <c r="J68" i="1" s="1"/>
  <c r="J67" i="1" a="1"/>
  <c r="J67" i="1" s="1"/>
  <c r="J66" i="1" a="1"/>
  <c r="J66" i="1" s="1"/>
  <c r="J65" i="1" a="1"/>
  <c r="J65" i="1" s="1"/>
  <c r="J64" i="1" a="1"/>
  <c r="J64" i="1" s="1"/>
  <c r="J63" i="1" a="1"/>
  <c r="J63" i="1" s="1"/>
  <c r="J62" i="1" a="1"/>
  <c r="J62" i="1" s="1"/>
  <c r="J61" i="1" a="1"/>
  <c r="J61" i="1" s="1"/>
  <c r="J60" i="1" a="1"/>
  <c r="J60" i="1" s="1"/>
  <c r="J59" i="1" a="1"/>
  <c r="J59" i="1" s="1"/>
  <c r="J58" i="1" a="1"/>
  <c r="J58" i="1" s="1"/>
  <c r="J57" i="1" a="1"/>
  <c r="J57" i="1" s="1"/>
  <c r="J56" i="1" a="1"/>
  <c r="J56" i="1" s="1"/>
  <c r="J55" i="1" a="1"/>
  <c r="J55" i="1" s="1"/>
  <c r="J54" i="1" a="1"/>
  <c r="J54" i="1" s="1"/>
  <c r="J53" i="1" a="1"/>
  <c r="J53" i="1" s="1"/>
  <c r="J52" i="1" a="1"/>
  <c r="J52" i="1" s="1"/>
  <c r="J51" i="1" a="1"/>
  <c r="J51" i="1" s="1"/>
  <c r="J50" i="1" a="1"/>
  <c r="J50" i="1" s="1"/>
  <c r="J49" i="1" a="1"/>
  <c r="J49" i="1" s="1"/>
  <c r="J48" i="1" a="1"/>
  <c r="J48" i="1" s="1"/>
  <c r="J47" i="1" a="1"/>
  <c r="J47" i="1" s="1"/>
  <c r="J46" i="1" a="1"/>
  <c r="J46" i="1" s="1"/>
  <c r="J45" i="1" a="1"/>
  <c r="J45" i="1" s="1"/>
  <c r="J44" i="1" a="1"/>
  <c r="J44" i="1" s="1"/>
  <c r="J43" i="1" a="1"/>
  <c r="J43" i="1" s="1"/>
  <c r="J42" i="1" a="1"/>
  <c r="J42" i="1" s="1"/>
  <c r="J41" i="1" a="1"/>
  <c r="J41" i="1" s="1"/>
  <c r="J40" i="1" a="1"/>
  <c r="J40" i="1" s="1"/>
  <c r="J39" i="1" a="1"/>
  <c r="J39" i="1" s="1"/>
  <c r="J38" i="1" a="1"/>
  <c r="J38" i="1" s="1"/>
  <c r="J37" i="1" a="1"/>
  <c r="J37" i="1" s="1"/>
  <c r="J36" i="1" a="1"/>
  <c r="J36" i="1" s="1"/>
  <c r="J35" i="1" a="1"/>
  <c r="J35" i="1" s="1"/>
  <c r="J34" i="1" a="1"/>
  <c r="J34" i="1" s="1"/>
  <c r="J33" i="1" a="1"/>
  <c r="J33" i="1" s="1"/>
  <c r="J32" i="1" a="1"/>
  <c r="J32" i="1" s="1"/>
  <c r="J31" i="1" a="1"/>
  <c r="J31" i="1" s="1"/>
  <c r="J30" i="1" a="1"/>
  <c r="J30" i="1" s="1"/>
  <c r="J29" i="1" a="1"/>
  <c r="J29" i="1" s="1"/>
  <c r="J28" i="1" a="1"/>
  <c r="J28" i="1" s="1"/>
  <c r="J27" i="1" a="1"/>
  <c r="J27" i="1" s="1"/>
  <c r="J26" i="1" a="1"/>
  <c r="J26" i="1" s="1"/>
  <c r="J25" i="1" a="1"/>
  <c r="J25" i="1" s="1"/>
  <c r="J24" i="1" a="1"/>
  <c r="J24" i="1" s="1"/>
  <c r="J23" i="1" a="1"/>
  <c r="J23" i="1" s="1"/>
  <c r="J22" i="1" a="1"/>
  <c r="J22" i="1" s="1"/>
  <c r="J21" i="1" a="1"/>
  <c r="J21" i="1" s="1"/>
  <c r="J20" i="1" a="1"/>
  <c r="J20" i="1" s="1"/>
  <c r="J19" i="1" a="1"/>
  <c r="J19" i="1" s="1"/>
  <c r="J18" i="1" a="1"/>
  <c r="J18" i="1" s="1"/>
  <c r="J17" i="1" a="1"/>
  <c r="J17" i="1" s="1"/>
  <c r="J16" i="1" a="1"/>
  <c r="J16" i="1" s="1"/>
  <c r="J15" i="1" a="1"/>
  <c r="J15" i="1" s="1"/>
  <c r="J14" i="1" a="1"/>
  <c r="J14" i="1" s="1"/>
  <c r="J13" i="1" a="1"/>
  <c r="J13" i="1" s="1"/>
  <c r="J12" i="1" a="1"/>
  <c r="J12" i="1" s="1"/>
  <c r="J11" i="1" a="1"/>
  <c r="J11" i="1" s="1"/>
  <c r="J10" i="1" a="1"/>
  <c r="J10" i="1" s="1"/>
  <c r="J9" i="1" a="1"/>
  <c r="J9" i="1" s="1"/>
  <c r="J8" i="1" a="1"/>
  <c r="J8" i="1" s="1"/>
  <c r="J7" i="1" a="1"/>
  <c r="J7" i="1" s="1"/>
  <c r="J6" i="1" a="1"/>
  <c r="J6" i="1" s="1"/>
  <c r="J5" i="1" a="1"/>
  <c r="J5" i="1" s="1"/>
  <c r="J4" i="1" a="1"/>
  <c r="J4" i="1" s="1"/>
  <c r="J3" i="1" a="1"/>
  <c r="J3" i="1" s="1"/>
  <c r="J2" i="1" a="1"/>
  <c r="J2" i="1" s="1"/>
  <c r="C2" i="4" a="1"/>
  <c r="C2" i="4" s="1"/>
  <c r="B2" i="4" a="1"/>
  <c r="B2" i="4" s="1"/>
  <c r="C1" i="4"/>
  <c r="B1" i="4"/>
  <c r="Z14" i="512" l="1"/>
  <c r="AA17" i="512"/>
  <c r="Y16" i="512"/>
  <c r="AB15" i="512"/>
  <c r="AA7" i="512"/>
  <c r="AA15" i="512"/>
  <c r="AB16" i="512"/>
  <c r="AA22" i="512"/>
  <c r="Y13" i="512"/>
  <c r="Z17" i="512"/>
  <c r="Y15" i="512"/>
  <c r="Z16" i="512"/>
  <c r="AC19" i="512"/>
  <c r="Y17" i="512"/>
  <c r="AB18" i="512"/>
  <c r="AB20" i="512"/>
  <c r="AA14" i="512"/>
  <c r="Y19" i="512"/>
  <c r="Z13" i="512"/>
  <c r="Z18" i="512"/>
  <c r="AC13" i="512"/>
  <c r="Y20" i="512"/>
  <c r="AB19" i="512"/>
  <c r="AA13" i="512"/>
  <c r="AB14" i="512"/>
  <c r="AC15" i="512"/>
  <c r="AC16" i="512"/>
  <c r="AC17" i="512"/>
  <c r="AA21" i="512"/>
  <c r="AG5" i="512"/>
  <c r="X84" i="512"/>
  <c r="X85" i="512"/>
  <c r="X86" i="512"/>
  <c r="X87" i="512"/>
  <c r="AG4" i="512"/>
  <c r="AG6" i="512"/>
  <c r="Z7" i="512"/>
  <c r="AA18" i="512"/>
  <c r="AC20" i="512"/>
  <c r="Z21" i="512"/>
  <c r="AD20" i="512"/>
  <c r="X78" i="512"/>
  <c r="X79" i="512"/>
  <c r="X80" i="512"/>
  <c r="X81" i="512"/>
  <c r="X82" i="512"/>
  <c r="X83" i="512"/>
  <c r="AB7" i="512"/>
  <c r="AB13" i="512"/>
  <c r="Y14" i="512"/>
  <c r="AD15" i="512"/>
  <c r="AA16" i="512"/>
  <c r="AC18" i="512"/>
  <c r="Z19" i="512"/>
  <c r="AB21" i="512"/>
  <c r="Y22" i="512"/>
  <c r="AC7" i="512"/>
  <c r="R11" i="512"/>
  <c r="AD18" i="512"/>
  <c r="AA19" i="512"/>
  <c r="AC21" i="512"/>
  <c r="Z22" i="512"/>
  <c r="AD13" i="512"/>
  <c r="AD21" i="512"/>
  <c r="Z20" i="512"/>
  <c r="AB22" i="512"/>
  <c r="AC14" i="512"/>
  <c r="Z15" i="512"/>
  <c r="AB17" i="512"/>
  <c r="Y18" i="512"/>
  <c r="AA20" i="512"/>
  <c r="AC22" i="512"/>
  <c r="AC15" i="511"/>
  <c r="AA14" i="511"/>
  <c r="AA13" i="511"/>
  <c r="AC13" i="511"/>
  <c r="AA19" i="511"/>
  <c r="Z20" i="511"/>
  <c r="AA7" i="511"/>
  <c r="AB19" i="511"/>
  <c r="AB7" i="511"/>
  <c r="Y17" i="511"/>
  <c r="Z18" i="511"/>
  <c r="AC19" i="511"/>
  <c r="Z22" i="511"/>
  <c r="AC7" i="511"/>
  <c r="Z16" i="511"/>
  <c r="Z17" i="511"/>
  <c r="AB18" i="511"/>
  <c r="AA22" i="511"/>
  <c r="Y15" i="511"/>
  <c r="AB16" i="511"/>
  <c r="AA17" i="511"/>
  <c r="AB22" i="511"/>
  <c r="Y13" i="511"/>
  <c r="Z14" i="511"/>
  <c r="AA15" i="511"/>
  <c r="AC16" i="511"/>
  <c r="AC17" i="511"/>
  <c r="AC21" i="511"/>
  <c r="AB13" i="511"/>
  <c r="AB14" i="511"/>
  <c r="Y20" i="511"/>
  <c r="AG9" i="511"/>
  <c r="AG5" i="511"/>
  <c r="X84" i="511"/>
  <c r="AG2" i="511"/>
  <c r="X85" i="511"/>
  <c r="AG4" i="511"/>
  <c r="X86" i="511"/>
  <c r="X87" i="511"/>
  <c r="AG6" i="511"/>
  <c r="Z7" i="511"/>
  <c r="Z13" i="511"/>
  <c r="AB15" i="511"/>
  <c r="Y16" i="511"/>
  <c r="AA18" i="511"/>
  <c r="AC20" i="511"/>
  <c r="Z21" i="511"/>
  <c r="Y19" i="511"/>
  <c r="AD20" i="511"/>
  <c r="AA21" i="511"/>
  <c r="X78" i="511"/>
  <c r="X79" i="511"/>
  <c r="X80" i="511"/>
  <c r="X81" i="511"/>
  <c r="X82" i="511"/>
  <c r="X83" i="511"/>
  <c r="Y14" i="511"/>
  <c r="AA16" i="511"/>
  <c r="AC18" i="511"/>
  <c r="Z19" i="511"/>
  <c r="AB21" i="511"/>
  <c r="Y22" i="511"/>
  <c r="AD18" i="511"/>
  <c r="AD13" i="511"/>
  <c r="AD16" i="511"/>
  <c r="AC14" i="511"/>
  <c r="Z15" i="511"/>
  <c r="AB17" i="511"/>
  <c r="Y18" i="511"/>
  <c r="AA20" i="511"/>
  <c r="AC22" i="511"/>
  <c r="AD14" i="511"/>
  <c r="AB20" i="511"/>
  <c r="AA15" i="510"/>
  <c r="AC13" i="510"/>
  <c r="AC15" i="510"/>
  <c r="AC18" i="510"/>
  <c r="Z20" i="510"/>
  <c r="Z14" i="510"/>
  <c r="AA17" i="510"/>
  <c r="AB16" i="510"/>
  <c r="AA19" i="510"/>
  <c r="Y14" i="510"/>
  <c r="AB18" i="510"/>
  <c r="Z17" i="510"/>
  <c r="AC16" i="510"/>
  <c r="AB13" i="510"/>
  <c r="Z16" i="510"/>
  <c r="Y19" i="510"/>
  <c r="Y21" i="510"/>
  <c r="Y22" i="510"/>
  <c r="Y15" i="510"/>
  <c r="AA16" i="510"/>
  <c r="Y17" i="510"/>
  <c r="Z18" i="510"/>
  <c r="Z19" i="510"/>
  <c r="Y20" i="510"/>
  <c r="AA21" i="510"/>
  <c r="Z22" i="510"/>
  <c r="AB21" i="510"/>
  <c r="AB22" i="510"/>
  <c r="AB19" i="510"/>
  <c r="AB20" i="510"/>
  <c r="AC21" i="510"/>
  <c r="AB7" i="510"/>
  <c r="Y13" i="510"/>
  <c r="AA14" i="510"/>
  <c r="AC17" i="510"/>
  <c r="AC19" i="510"/>
  <c r="AA13" i="510"/>
  <c r="AB14" i="510"/>
  <c r="AD19" i="510"/>
  <c r="AD21" i="510"/>
  <c r="R11" i="510"/>
  <c r="AD14" i="510"/>
  <c r="AG5" i="510"/>
  <c r="X84" i="510"/>
  <c r="AG2" i="510"/>
  <c r="AG6" i="510"/>
  <c r="AG4" i="510"/>
  <c r="X85" i="510"/>
  <c r="X86" i="510"/>
  <c r="X87" i="510"/>
  <c r="Z7" i="510"/>
  <c r="Z13" i="510"/>
  <c r="AB15" i="510"/>
  <c r="Y16" i="510"/>
  <c r="AD17" i="510"/>
  <c r="AA18" i="510"/>
  <c r="AC20" i="510"/>
  <c r="Z21" i="510"/>
  <c r="AA7" i="510"/>
  <c r="AD20" i="510"/>
  <c r="X78" i="510"/>
  <c r="X79" i="510"/>
  <c r="X80" i="510"/>
  <c r="X81" i="510"/>
  <c r="X82" i="510"/>
  <c r="X83" i="510"/>
  <c r="AD15" i="510"/>
  <c r="AC7" i="510"/>
  <c r="AD18" i="510"/>
  <c r="AD13" i="510"/>
  <c r="AA22" i="510"/>
  <c r="AC14" i="510"/>
  <c r="Z15" i="510"/>
  <c r="AB17" i="510"/>
  <c r="Y18" i="510"/>
  <c r="AA20" i="510"/>
  <c r="Y13" i="4"/>
  <c r="AB14" i="4"/>
  <c r="AA19" i="4"/>
  <c r="Z16" i="4"/>
  <c r="AC17" i="4"/>
  <c r="AC14" i="4"/>
  <c r="Y18" i="4"/>
  <c r="Z22" i="4"/>
  <c r="Y15" i="4"/>
  <c r="Z18" i="4"/>
  <c r="Y16" i="4"/>
  <c r="Z19" i="4"/>
  <c r="Z13" i="4"/>
  <c r="AA16" i="4"/>
  <c r="AB19" i="4"/>
  <c r="AA13" i="4"/>
  <c r="AB16" i="4"/>
  <c r="Y21" i="4"/>
  <c r="AA14" i="4"/>
  <c r="AB17" i="4"/>
  <c r="AC22" i="4"/>
  <c r="AC20" i="4"/>
  <c r="Z21" i="4"/>
  <c r="AA22" i="4"/>
  <c r="AC19" i="4"/>
  <c r="AA21" i="4"/>
  <c r="Y7" i="4"/>
  <c r="AB13" i="4"/>
  <c r="Z15" i="4"/>
  <c r="AC16" i="4"/>
  <c r="AA18" i="4"/>
  <c r="Y20" i="4"/>
  <c r="AB21" i="4"/>
  <c r="Z7" i="4"/>
  <c r="AC13" i="4"/>
  <c r="AA15" i="4"/>
  <c r="Y17" i="4"/>
  <c r="AB18" i="4"/>
  <c r="Z20" i="4"/>
  <c r="AC21" i="4"/>
  <c r="AA7" i="4"/>
  <c r="Y14" i="4"/>
  <c r="AB15" i="4"/>
  <c r="Z17" i="4"/>
  <c r="AC18" i="4"/>
  <c r="AA20" i="4"/>
  <c r="Y22" i="4"/>
  <c r="AB7" i="4"/>
  <c r="Z14" i="4"/>
  <c r="AC15" i="4"/>
  <c r="AA17" i="4"/>
  <c r="Y19" i="4"/>
  <c r="AB20" i="4"/>
  <c r="AG2" i="4"/>
  <c r="X65" i="4"/>
  <c r="AC8" i="4"/>
  <c r="Y8" i="4"/>
  <c r="AB8" i="4"/>
  <c r="AA8" i="4"/>
  <c r="Z8" i="4"/>
  <c r="X52" i="4"/>
  <c r="AG8" i="512" l="1"/>
  <c r="AG10" i="512"/>
  <c r="AG11" i="512"/>
  <c r="AG8" i="511"/>
  <c r="AG10" i="511"/>
  <c r="AG11" i="511"/>
  <c r="AG11" i="510"/>
  <c r="AG8" i="510"/>
  <c r="AG10" i="510"/>
  <c r="AG10" i="4"/>
  <c r="AG9" i="4"/>
  <c r="AG8" i="4"/>
  <c r="V105" i="4"/>
  <c r="V104" i="4"/>
  <c r="V103" i="4"/>
  <c r="V102" i="4"/>
  <c r="V101" i="4"/>
  <c r="V100" i="4"/>
  <c r="V99" i="4"/>
  <c r="V98" i="4"/>
  <c r="V97" i="4"/>
  <c r="V96" i="4"/>
  <c r="V95" i="4"/>
  <c r="V94" i="4"/>
  <c r="V93" i="4"/>
  <c r="V92" i="4"/>
  <c r="V91" i="4"/>
  <c r="V90" i="4"/>
  <c r="V89" i="4"/>
  <c r="V88" i="4"/>
  <c r="V87" i="4"/>
  <c r="V86" i="4"/>
  <c r="V85" i="4"/>
  <c r="V84" i="4"/>
  <c r="V83" i="4"/>
  <c r="V82" i="4"/>
  <c r="V81" i="4"/>
  <c r="V80" i="4"/>
  <c r="V79" i="4"/>
  <c r="V78" i="4"/>
  <c r="V77" i="4"/>
  <c r="V76" i="4"/>
  <c r="V75" i="4"/>
  <c r="V74" i="4"/>
  <c r="V73" i="4"/>
  <c r="V72" i="4"/>
  <c r="V71" i="4"/>
  <c r="V70" i="4"/>
  <c r="V69" i="4"/>
  <c r="V68" i="4"/>
  <c r="V67" i="4"/>
  <c r="V66" i="4"/>
  <c r="V65" i="4"/>
  <c r="V64" i="4"/>
  <c r="V63" i="4"/>
  <c r="V62" i="4"/>
  <c r="V61" i="4"/>
  <c r="V60" i="4"/>
  <c r="V59" i="4"/>
  <c r="V58" i="4"/>
  <c r="V57" i="4"/>
  <c r="V56" i="4"/>
  <c r="V55" i="4"/>
  <c r="V54" i="4"/>
  <c r="V53" i="4"/>
  <c r="V52" i="4"/>
  <c r="V51" i="4"/>
  <c r="V50" i="4"/>
  <c r="V49" i="4"/>
  <c r="V48" i="4"/>
  <c r="V47" i="4"/>
  <c r="V46" i="4"/>
  <c r="V45" i="4"/>
  <c r="V44" i="4"/>
  <c r="V43" i="4"/>
  <c r="V42" i="4"/>
  <c r="V41" i="4"/>
  <c r="V40" i="4"/>
  <c r="V39" i="4"/>
  <c r="V38" i="4"/>
  <c r="V37" i="4"/>
  <c r="V36" i="4"/>
  <c r="V35" i="4"/>
  <c r="V34" i="4"/>
  <c r="V33" i="4"/>
  <c r="V32" i="4"/>
  <c r="V31" i="4"/>
  <c r="V30" i="4"/>
  <c r="V29" i="4"/>
  <c r="V28" i="4"/>
  <c r="V27" i="4"/>
  <c r="V26" i="4"/>
  <c r="V25" i="4"/>
  <c r="V24" i="4"/>
  <c r="V23" i="4"/>
  <c r="V22" i="4"/>
  <c r="V21" i="4"/>
  <c r="V20" i="4"/>
  <c r="V19" i="4"/>
  <c r="V18" i="4"/>
  <c r="V17" i="4"/>
  <c r="V16" i="4"/>
  <c r="V15" i="4"/>
  <c r="V14" i="4"/>
  <c r="V13" i="4"/>
  <c r="V12" i="4"/>
  <c r="V11" i="4"/>
  <c r="V10" i="4"/>
  <c r="V9" i="4"/>
  <c r="V8" i="4"/>
  <c r="V7" i="4"/>
  <c r="V6" i="4"/>
  <c r="D1" i="512" l="1"/>
  <c r="F4" i="1" s="1"/>
  <c r="D1" i="511"/>
  <c r="F3" i="1" s="1"/>
  <c r="D1" i="510"/>
  <c r="F2" i="1" s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F1" i="1" l="1"/>
  <c r="B5" i="1"/>
  <c r="B4" i="1"/>
  <c r="B2" i="1"/>
  <c r="B66" i="1"/>
  <c r="B70" i="1"/>
  <c r="B74" i="1"/>
  <c r="B46" i="1"/>
  <c r="B82" i="1"/>
  <c r="B22" i="1"/>
  <c r="B54" i="1"/>
  <c r="B86" i="1"/>
  <c r="B34" i="1"/>
  <c r="B38" i="1"/>
  <c r="B14" i="1"/>
  <c r="B78" i="1"/>
  <c r="B18" i="1"/>
  <c r="B26" i="1"/>
  <c r="B58" i="1"/>
  <c r="B90" i="1"/>
  <c r="B10" i="1"/>
  <c r="B42" i="1"/>
  <c r="B50" i="1"/>
  <c r="B6" i="1"/>
  <c r="B30" i="1"/>
  <c r="B62" i="1"/>
  <c r="B94" i="1"/>
  <c r="B98" i="1"/>
  <c r="B7" i="1"/>
  <c r="B15" i="1"/>
  <c r="B27" i="1"/>
  <c r="B35" i="1"/>
  <c r="B51" i="1"/>
  <c r="B63" i="1"/>
  <c r="B75" i="1"/>
  <c r="B87" i="1"/>
  <c r="B95" i="1"/>
  <c r="B12" i="1"/>
  <c r="B24" i="1"/>
  <c r="B32" i="1"/>
  <c r="B40" i="1"/>
  <c r="B44" i="1"/>
  <c r="B56" i="1"/>
  <c r="B60" i="1"/>
  <c r="B64" i="1"/>
  <c r="B68" i="1"/>
  <c r="B72" i="1"/>
  <c r="B76" i="1"/>
  <c r="B80" i="1"/>
  <c r="B88" i="1"/>
  <c r="B92" i="1"/>
  <c r="B96" i="1"/>
  <c r="B100" i="1"/>
  <c r="B11" i="1"/>
  <c r="B23" i="1"/>
  <c r="B39" i="1"/>
  <c r="B47" i="1"/>
  <c r="B55" i="1"/>
  <c r="B67" i="1"/>
  <c r="B79" i="1"/>
  <c r="B91" i="1"/>
  <c r="B16" i="1"/>
  <c r="B52" i="1"/>
  <c r="B9" i="1"/>
  <c r="B13" i="1"/>
  <c r="B17" i="1"/>
  <c r="B21" i="1"/>
  <c r="B25" i="1"/>
  <c r="B29" i="1"/>
  <c r="B33" i="1"/>
  <c r="B37" i="1"/>
  <c r="B41" i="1"/>
  <c r="B45" i="1"/>
  <c r="B49" i="1"/>
  <c r="B53" i="1"/>
  <c r="B57" i="1"/>
  <c r="B61" i="1"/>
  <c r="B65" i="1"/>
  <c r="B69" i="1"/>
  <c r="B73" i="1"/>
  <c r="B77" i="1"/>
  <c r="B81" i="1"/>
  <c r="B85" i="1"/>
  <c r="B89" i="1"/>
  <c r="B93" i="1"/>
  <c r="B97" i="1"/>
  <c r="B101" i="1"/>
  <c r="B3" i="1"/>
  <c r="B19" i="1"/>
  <c r="B31" i="1"/>
  <c r="B43" i="1"/>
  <c r="B59" i="1"/>
  <c r="B71" i="1"/>
  <c r="B83" i="1"/>
  <c r="B99" i="1"/>
  <c r="B8" i="1"/>
  <c r="B20" i="1"/>
  <c r="B28" i="1"/>
  <c r="B36" i="1"/>
  <c r="B48" i="1"/>
  <c r="B84" i="1"/>
  <c r="AB74" i="4"/>
  <c r="AA74" i="4"/>
  <c r="Z74" i="4"/>
  <c r="Y74" i="4"/>
  <c r="X74" i="4"/>
  <c r="AB73" i="4"/>
  <c r="AA73" i="4"/>
  <c r="Z73" i="4"/>
  <c r="Y73" i="4"/>
  <c r="X73" i="4"/>
  <c r="AB72" i="4"/>
  <c r="AA72" i="4"/>
  <c r="Z72" i="4"/>
  <c r="Y72" i="4"/>
  <c r="X72" i="4"/>
  <c r="AB71" i="4"/>
  <c r="AA71" i="4"/>
  <c r="Z71" i="4"/>
  <c r="Y71" i="4"/>
  <c r="X71" i="4"/>
  <c r="AB70" i="4"/>
  <c r="AA70" i="4"/>
  <c r="Z70" i="4"/>
  <c r="Y70" i="4"/>
  <c r="X70" i="4"/>
  <c r="AB69" i="4"/>
  <c r="AA69" i="4"/>
  <c r="Z69" i="4"/>
  <c r="Y69" i="4"/>
  <c r="X69" i="4"/>
  <c r="AB68" i="4"/>
  <c r="AA68" i="4"/>
  <c r="Z68" i="4"/>
  <c r="Y68" i="4"/>
  <c r="X68" i="4"/>
  <c r="AB67" i="4"/>
  <c r="AA67" i="4"/>
  <c r="Z67" i="4"/>
  <c r="Y67" i="4"/>
  <c r="X67" i="4"/>
  <c r="AB66" i="4"/>
  <c r="AA66" i="4"/>
  <c r="Z66" i="4"/>
  <c r="Y66" i="4"/>
  <c r="X66" i="4"/>
  <c r="AB65" i="4"/>
  <c r="AA65" i="4"/>
  <c r="Z65" i="4"/>
  <c r="Y65" i="4"/>
  <c r="AB61" i="4"/>
  <c r="AA61" i="4"/>
  <c r="Z61" i="4"/>
  <c r="Y61" i="4"/>
  <c r="AB60" i="4"/>
  <c r="AA60" i="4"/>
  <c r="Z60" i="4"/>
  <c r="Y60" i="4"/>
  <c r="AB59" i="4"/>
  <c r="AA59" i="4"/>
  <c r="Z59" i="4"/>
  <c r="Y59" i="4"/>
  <c r="AB58" i="4"/>
  <c r="AA58" i="4"/>
  <c r="Z58" i="4"/>
  <c r="Y58" i="4"/>
  <c r="AB57" i="4"/>
  <c r="AA57" i="4"/>
  <c r="Z57" i="4"/>
  <c r="Y57" i="4"/>
  <c r="AB56" i="4"/>
  <c r="AA56" i="4"/>
  <c r="Z56" i="4"/>
  <c r="Y56" i="4"/>
  <c r="AB55" i="4"/>
  <c r="AA55" i="4"/>
  <c r="Z55" i="4"/>
  <c r="Y55" i="4"/>
  <c r="AB54" i="4"/>
  <c r="AA54" i="4"/>
  <c r="Z54" i="4"/>
  <c r="Y54" i="4"/>
  <c r="AB53" i="4"/>
  <c r="AA53" i="4"/>
  <c r="Z53" i="4"/>
  <c r="Y53" i="4"/>
  <c r="AB52" i="4"/>
  <c r="AA52" i="4"/>
  <c r="Z52" i="4"/>
  <c r="Y52" i="4"/>
  <c r="X61" i="4"/>
  <c r="X60" i="4"/>
  <c r="X59" i="4"/>
  <c r="X58" i="4"/>
  <c r="X57" i="4"/>
  <c r="X56" i="4"/>
  <c r="X55" i="4"/>
  <c r="X54" i="4"/>
  <c r="X53" i="4"/>
  <c r="T6" i="4"/>
  <c r="AG6" i="4" l="1"/>
  <c r="AG5" i="4"/>
  <c r="X81" i="4"/>
  <c r="X79" i="4"/>
  <c r="X80" i="4"/>
  <c r="X82" i="4"/>
  <c r="X83" i="4"/>
  <c r="X84" i="4"/>
  <c r="X85" i="4"/>
  <c r="X78" i="4"/>
  <c r="X86" i="4"/>
  <c r="X87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AG4" i="4" l="1"/>
  <c r="D1" i="4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<sst xmlns="http://schemas.openxmlformats.org/spreadsheetml/2006/main" count="450" uniqueCount="180">
  <si>
    <t>名称（和）</t>
    <rPh sb="0" eb="2">
      <t>メイショウ</t>
    </rPh>
    <rPh sb="3" eb="4">
      <t>ワ</t>
    </rPh>
    <phoneticPr fontId="3"/>
  </si>
  <si>
    <t>名称（英）
snake</t>
    <rPh sb="0" eb="2">
      <t>メイショウ</t>
    </rPh>
    <rPh sb="3" eb="4">
      <t>エイ</t>
    </rPh>
    <phoneticPr fontId="3"/>
  </si>
  <si>
    <t>概要説明</t>
    <rPh sb="0" eb="2">
      <t>ガイヨウ</t>
    </rPh>
    <rPh sb="2" eb="4">
      <t>セツメイ</t>
    </rPh>
    <phoneticPr fontId="3"/>
  </si>
  <si>
    <t>データ型</t>
    <rPh sb="3" eb="4">
      <t>ガタ</t>
    </rPh>
    <phoneticPr fontId="3"/>
  </si>
  <si>
    <t>定価</t>
  </si>
  <si>
    <t>派生項目</t>
    <rPh sb="0" eb="2">
      <t>ハセイ</t>
    </rPh>
    <rPh sb="2" eb="4">
      <t>コウモク</t>
    </rPh>
    <phoneticPr fontId="3"/>
  </si>
  <si>
    <t>スキーマ</t>
    <phoneticPr fontId="3"/>
  </si>
  <si>
    <t>テーブル</t>
    <phoneticPr fontId="3"/>
  </si>
  <si>
    <t>TABLE</t>
    <phoneticPr fontId="2"/>
  </si>
  <si>
    <t>DEFAULT</t>
    <phoneticPr fontId="3"/>
  </si>
  <si>
    <t>NOT NULL</t>
    <phoneticPr fontId="3"/>
  </si>
  <si>
    <t>名称（英）</t>
    <rPh sb="0" eb="2">
      <t>メイショウ</t>
    </rPh>
    <rPh sb="3" eb="4">
      <t>エイ</t>
    </rPh>
    <phoneticPr fontId="3"/>
  </si>
  <si>
    <t>＃</t>
    <phoneticPr fontId="3"/>
  </si>
  <si>
    <t>INDEX</t>
    <phoneticPr fontId="2"/>
  </si>
  <si>
    <t>PK</t>
    <phoneticPr fontId="2"/>
  </si>
  <si>
    <t>一覧へ</t>
  </si>
  <si>
    <t>スキーマ名なし</t>
    <rPh sb="4" eb="5">
      <t>メイ</t>
    </rPh>
    <phoneticPr fontId="2"/>
  </si>
  <si>
    <t>テーブル名なし</t>
    <rPh sb="4" eb="5">
      <t>メイ</t>
    </rPh>
    <phoneticPr fontId="2"/>
  </si>
  <si>
    <t>BASE</t>
    <phoneticPr fontId="2"/>
  </si>
  <si>
    <t>項目存在</t>
    <rPh sb="0" eb="2">
      <t>コウモク</t>
    </rPh>
    <rPh sb="2" eb="4">
      <t>ソンザイ</t>
    </rPh>
    <phoneticPr fontId="2"/>
  </si>
  <si>
    <t>ダミー項目</t>
    <rPh sb="3" eb="5">
      <t>コウモク</t>
    </rPh>
    <phoneticPr fontId="2"/>
  </si>
  <si>
    <t>登録日</t>
  </si>
  <si>
    <t>コメント</t>
  </si>
  <si>
    <t>項目重複</t>
    <rPh sb="0" eb="4">
      <t>コウモクチョウフク</t>
    </rPh>
    <phoneticPr fontId="2"/>
  </si>
  <si>
    <t>区分値/真偽値NN</t>
    <rPh sb="0" eb="3">
      <t>クブンチ</t>
    </rPh>
    <rPh sb="4" eb="7">
      <t>シンギチ</t>
    </rPh>
    <phoneticPr fontId="2"/>
  </si>
  <si>
    <t>INDEX重複</t>
    <rPh sb="5" eb="7">
      <t>ジュウフク</t>
    </rPh>
    <phoneticPr fontId="2"/>
  </si>
  <si>
    <t>項目なし</t>
    <rPh sb="0" eb="2">
      <t>コウモク</t>
    </rPh>
    <phoneticPr fontId="2"/>
  </si>
  <si>
    <t>PKなし</t>
    <phoneticPr fontId="2"/>
  </si>
  <si>
    <t>商品No</t>
  </si>
  <si>
    <t>受注日</t>
  </si>
  <si>
    <t>数量</t>
  </si>
  <si>
    <t>受注No</t>
  </si>
  <si>
    <t>担当者名</t>
  </si>
  <si>
    <t>得意先ID</t>
  </si>
  <si>
    <t>N/A</t>
  </si>
  <si>
    <t>テーブル名（JP）</t>
    <rPh sb="4" eb="5">
      <t>メイ</t>
    </rPh>
    <phoneticPr fontId="3"/>
  </si>
  <si>
    <t>テーブル名</t>
    <rPh sb="4" eb="5">
      <t>メイ</t>
    </rPh>
    <phoneticPr fontId="2"/>
  </si>
  <si>
    <t>重複E</t>
    <rPh sb="0" eb="2">
      <t>チョウフク</t>
    </rPh>
    <phoneticPr fontId="2"/>
  </si>
  <si>
    <t>シート</t>
    <phoneticPr fontId="2"/>
  </si>
  <si>
    <t>テーブル名（EN）</t>
    <rPh sb="4" eb="5">
      <t>メイ</t>
    </rPh>
    <phoneticPr fontId="2"/>
  </si>
  <si>
    <t>シート</t>
    <phoneticPr fontId="3"/>
  </si>
  <si>
    <t>チェック制約</t>
    <rPh sb="4" eb="6">
      <t>セイヤク</t>
    </rPh>
    <phoneticPr fontId="3"/>
  </si>
  <si>
    <t>強制NOT NULL</t>
    <rPh sb="0" eb="2">
      <t>キョウセイ</t>
    </rPh>
    <phoneticPr fontId="2"/>
  </si>
  <si>
    <t>強制NN</t>
    <rPh sb="0" eb="2">
      <t>キョウセイ</t>
    </rPh>
    <phoneticPr fontId="3"/>
  </si>
  <si>
    <t>CHECK CONSTRAINT</t>
    <phoneticPr fontId="2"/>
  </si>
  <si>
    <t>強制NN</t>
    <rPh sb="0" eb="2">
      <t>キョウセイ</t>
    </rPh>
    <phoneticPr fontId="2"/>
  </si>
  <si>
    <t>FIELDS</t>
    <phoneticPr fontId="2"/>
  </si>
  <si>
    <t>TABLE CONSTRAINT</t>
    <phoneticPr fontId="2"/>
  </si>
  <si>
    <t>orders</t>
  </si>
  <si>
    <t>得意先</t>
  </si>
  <si>
    <t>受注</t>
  </si>
  <si>
    <t>primary Key</t>
    <phoneticPr fontId="2"/>
  </si>
  <si>
    <t>Unique</t>
    <phoneticPr fontId="2"/>
  </si>
  <si>
    <t>UNIQE</t>
    <phoneticPr fontId="2"/>
  </si>
  <si>
    <t>※ユニーク制約を設定すると、自動的にユニークIndexも作成されます。</t>
    <rPh sb="5" eb="7">
      <t>セイヤク</t>
    </rPh>
    <rPh sb="8" eb="10">
      <t>セッテイ</t>
    </rPh>
    <rPh sb="14" eb="17">
      <t>ジドウテキ</t>
    </rPh>
    <rPh sb="28" eb="30">
      <t>サクセイ</t>
    </rPh>
    <phoneticPr fontId="2"/>
  </si>
  <si>
    <t>取引先区分</t>
  </si>
  <si>
    <t>受注明細</t>
  </si>
  <si>
    <t>order_details</t>
  </si>
  <si>
    <t>派生元項目名</t>
    <rPh sb="2" eb="3">
      <t>モト</t>
    </rPh>
    <rPh sb="3" eb="5">
      <t>コウモク</t>
    </rPh>
    <rPh sb="5" eb="6">
      <t>メイ</t>
    </rPh>
    <phoneticPr fontId="3"/>
  </si>
  <si>
    <t>product_no</t>
  </si>
  <si>
    <t>varchar(10)</t>
  </si>
  <si>
    <t>(LENGTH(product_no) &gt;= 9)</t>
  </si>
  <si>
    <t>商品特定のユニークキー</t>
  </si>
  <si>
    <t>price</t>
  </si>
  <si>
    <t>integer</t>
  </si>
  <si>
    <t>(price &gt;= 0)</t>
  </si>
  <si>
    <t>円、希望小売価格</t>
  </si>
  <si>
    <t>UP</t>
  </si>
  <si>
    <t>up</t>
  </si>
  <si>
    <t>numeric</t>
  </si>
  <si>
    <t>(-1000 &lt;= up AND up &lt;= 1000)</t>
  </si>
  <si>
    <t>仕入れ先からの購入価格</t>
  </si>
  <si>
    <t>registration_date</t>
  </si>
  <si>
    <t>date</t>
  </si>
  <si>
    <t>商品区分</t>
  </si>
  <si>
    <t>product_kbn</t>
  </si>
  <si>
    <t>商品の状態を表す区分</t>
  </si>
  <si>
    <t>comment</t>
  </si>
  <si>
    <t>text</t>
  </si>
  <si>
    <t>(LENGTH(comment) &gt;= 10)</t>
  </si>
  <si>
    <t>更新可能</t>
  </si>
  <si>
    <t>can_update</t>
  </si>
  <si>
    <t>boolean</t>
  </si>
  <si>
    <t>更新可否</t>
  </si>
  <si>
    <t>部署</t>
  </si>
  <si>
    <t>department</t>
  </si>
  <si>
    <t>order_date</t>
  </si>
  <si>
    <t>quantity</t>
  </si>
  <si>
    <t>(0 &lt;= quantity AND quantity &lt;= 99999)</t>
  </si>
  <si>
    <t>received_order_no</t>
  </si>
  <si>
    <t>受注番号</t>
  </si>
  <si>
    <t>受注連番</t>
  </si>
  <si>
    <t>order_detail_no</t>
  </si>
  <si>
    <t>serial</t>
  </si>
  <si>
    <t>受注明細番号</t>
  </si>
  <si>
    <t>person_in_charge</t>
  </si>
  <si>
    <t>varchar(30)</t>
  </si>
  <si>
    <t>業務担当者</t>
  </si>
  <si>
    <t>ユーザーID</t>
  </si>
  <si>
    <t>user_id</t>
  </si>
  <si>
    <t>varchar(4)</t>
  </si>
  <si>
    <t>システム利用ユーザー</t>
  </si>
  <si>
    <t>商品名称</t>
  </si>
  <si>
    <t>product_name</t>
  </si>
  <si>
    <t>varchar(100)</t>
  </si>
  <si>
    <t>取扱商品名</t>
  </si>
  <si>
    <t>customer_id</t>
  </si>
  <si>
    <t>varchar(3)</t>
  </si>
  <si>
    <t>得意先のID</t>
  </si>
  <si>
    <t>customer_name</t>
  </si>
  <si>
    <t>得意先の名称</t>
  </si>
  <si>
    <t>稼働中</t>
  </si>
  <si>
    <t>is_working</t>
  </si>
  <si>
    <t>稼働状況</t>
  </si>
  <si>
    <t>利益率</t>
  </si>
  <si>
    <t>profit_rate</t>
  </si>
  <si>
    <t>(profit_rate &lt;= 10)</t>
  </si>
  <si>
    <t>帳票未表示</t>
  </si>
  <si>
    <t>exclude_report</t>
  </si>
  <si>
    <t>帳票などに出力しない場合にtrue</t>
  </si>
  <si>
    <t>発送時間</t>
  </si>
  <si>
    <t>shipping_time</t>
  </si>
  <si>
    <t>varchar(5)</t>
  </si>
  <si>
    <t>(shipping_time ~* '^([0-1]?[0-9]|2[0-3]):[0-5][0-9]$')</t>
  </si>
  <si>
    <t>出荷時間</t>
  </si>
  <si>
    <t>取引有無</t>
  </si>
  <si>
    <t>is_active_customer</t>
  </si>
  <si>
    <t>取引中かどうか</t>
  </si>
  <si>
    <t>customer_type</t>
  </si>
  <si>
    <t>取引先の区分</t>
  </si>
  <si>
    <t>承認日時</t>
  </si>
  <si>
    <t>approve_datetime</t>
  </si>
  <si>
    <t>timestamp</t>
  </si>
  <si>
    <t>承認した日時</t>
  </si>
  <si>
    <t>社員番号</t>
  </si>
  <si>
    <t>emploee_no</t>
  </si>
  <si>
    <t>ログID</t>
  </si>
  <si>
    <t>log_id</t>
  </si>
  <si>
    <t>uuid</t>
  </si>
  <si>
    <t>ログのID</t>
  </si>
  <si>
    <t>キャンペーン定価</t>
  </si>
  <si>
    <t>campane_price</t>
  </si>
  <si>
    <t>(campane_price &gt;= 0)</t>
  </si>
  <si>
    <t>キャンペーンの定価</t>
  </si>
  <si>
    <t>受注担当者ID</t>
  </si>
  <si>
    <t>order_pic</t>
  </si>
  <si>
    <t>受注担当者のユーザーID</t>
  </si>
  <si>
    <t>商品担当者ID</t>
  </si>
  <si>
    <t>product_pic</t>
  </si>
  <si>
    <t>商品管理者のユーザーID</t>
  </si>
  <si>
    <t>売上計上部署</t>
  </si>
  <si>
    <t>salese_department</t>
  </si>
  <si>
    <t>受注</t>
    <phoneticPr fontId="2"/>
  </si>
  <si>
    <t>received_order</t>
    <phoneticPr fontId="2"/>
  </si>
  <si>
    <t>customers</t>
  </si>
  <si>
    <t>得意先ID</t>
    <phoneticPr fontId="2"/>
  </si>
  <si>
    <t>current_timestamp</t>
  </si>
  <si>
    <t>スキーマ名（JP）</t>
    <rPh sb="4" eb="5">
      <t>メイ</t>
    </rPh>
    <phoneticPr fontId="2"/>
  </si>
  <si>
    <t>スキーマ名（EN）</t>
    <rPh sb="4" eb="5">
      <t>メイ</t>
    </rPh>
    <phoneticPr fontId="2"/>
  </si>
  <si>
    <t>TABLE-ERROR</t>
    <phoneticPr fontId="2"/>
  </si>
  <si>
    <t>EXIST-UNIQUE</t>
    <phoneticPr fontId="2"/>
  </si>
  <si>
    <t>PK-ERROR</t>
    <phoneticPr fontId="2"/>
  </si>
  <si>
    <t>UNIQUE-ERROR</t>
    <phoneticPr fontId="2"/>
  </si>
  <si>
    <t>制約間重複</t>
    <rPh sb="0" eb="2">
      <t>セイヤク</t>
    </rPh>
    <rPh sb="2" eb="3">
      <t>カン</t>
    </rPh>
    <rPh sb="3" eb="5">
      <t>チョウフク</t>
    </rPh>
    <phoneticPr fontId="2"/>
  </si>
  <si>
    <t>存在＋制約内重複</t>
    <rPh sb="0" eb="2">
      <t>ソンザイ</t>
    </rPh>
    <rPh sb="3" eb="5">
      <t>セイヤク</t>
    </rPh>
    <rPh sb="5" eb="6">
      <t>ナイ</t>
    </rPh>
    <rPh sb="6" eb="8">
      <t>チョウフク</t>
    </rPh>
    <phoneticPr fontId="2"/>
  </si>
  <si>
    <t>存在＋</t>
    <rPh sb="0" eb="2">
      <t>ソンザイ</t>
    </rPh>
    <phoneticPr fontId="2"/>
  </si>
  <si>
    <t>制約内重複</t>
  </si>
  <si>
    <t>エラー</t>
    <phoneticPr fontId="2"/>
  </si>
  <si>
    <t>受注No</t>
    <phoneticPr fontId="2"/>
  </si>
  <si>
    <t>マスタT</t>
    <phoneticPr fontId="3"/>
  </si>
  <si>
    <t>-</t>
  </si>
  <si>
    <t>○</t>
    <phoneticPr fontId="2"/>
  </si>
  <si>
    <t>-</t>
    <phoneticPr fontId="2"/>
  </si>
  <si>
    <t>(LENGTH(received_order_no) = 10)</t>
  </si>
  <si>
    <t>(LENGTH(user_id) = 4)</t>
  </si>
  <si>
    <t>(LENGTH(customer_id) = 3)</t>
  </si>
  <si>
    <t>(LENGTH(emploee_no) = 4)</t>
  </si>
  <si>
    <t>(LENGTH(order_pic) = 4)</t>
  </si>
  <si>
    <t>(LENGTH(product_pic) = 4)</t>
  </si>
  <si>
    <t>AAA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</si>
</sst>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&quot;○&quot;;;;"/>
    <numFmt numFmtId="177" formatCode="0_ "/>
    <numFmt numFmtId="178" formatCode="&quot;★エラーあり★&quot;;;;"/>
    <numFmt numFmtId="179" formatCode="&quot;シート作成&quot;;;;"/>
    <numFmt numFmtId="181" formatCode=";;"/>
    <numFmt numFmtId="182" formatCode="&quot;★エラーあり★&quot;;;&quot;OK&quot;;"/>
    <numFmt numFmtId="183" formatCode="&quot;NG&quot;;;&quot;OK&quot;;"/>
    <numFmt numFmtId="184" formatCode="&quot;エラー有無&quot;;;&quot;エラー有無&quot;;"/>
    <numFmt numFmtId="188" formatCode="&quot;(No: &quot;0&quot;)&quot;;;;"/>
  </numFmts>
  <fonts count="22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sz val="8"/>
      <color theme="0"/>
      <name val="Yu Gothic"/>
      <family val="3"/>
      <charset val="128"/>
      <scheme val="minor"/>
    </font>
    <font>
      <sz val="8"/>
      <color theme="1"/>
      <name val="游ゴシック"/>
      <family val="3"/>
      <charset val="128"/>
    </font>
    <font>
      <sz val="9"/>
      <color theme="1"/>
      <name val="Yu Gothic"/>
      <family val="2"/>
      <scheme val="minor"/>
    </font>
    <font>
      <sz val="9"/>
      <color theme="1"/>
      <name val="游ゴシック"/>
      <family val="3"/>
      <charset val="128"/>
    </font>
    <font>
      <b/>
      <sz val="12"/>
      <color theme="1"/>
      <name val="游ゴシック"/>
      <family val="3"/>
      <charset val="128"/>
    </font>
    <font>
      <u/>
      <sz val="11"/>
      <color theme="10"/>
      <name val="Yu Gothic"/>
      <family val="2"/>
      <scheme val="minor"/>
    </font>
    <font>
      <u/>
      <sz val="9"/>
      <color theme="10"/>
      <name val="游ゴシック"/>
      <family val="3"/>
      <charset val="128"/>
    </font>
    <font>
      <sz val="9"/>
      <color theme="1"/>
      <name val="Yu Gothic"/>
      <family val="3"/>
      <charset val="128"/>
      <scheme val="minor"/>
    </font>
    <font>
      <b/>
      <sz val="9"/>
      <color rgb="FF222222"/>
      <name val="メイリオ"/>
      <family val="3"/>
      <charset val="128"/>
    </font>
    <font>
      <sz val="8"/>
      <name val="Yu Gothic"/>
      <family val="3"/>
      <charset val="128"/>
      <scheme val="minor"/>
    </font>
    <font>
      <u/>
      <sz val="9"/>
      <color theme="10"/>
      <name val="Yu Gothic"/>
      <family val="2"/>
      <scheme val="minor"/>
    </font>
    <font>
      <b/>
      <sz val="10"/>
      <name val="游ゴシック"/>
      <family val="3"/>
      <charset val="128"/>
    </font>
    <font>
      <sz val="6"/>
      <color theme="1"/>
      <name val="游ゴシック"/>
      <family val="3"/>
      <charset val="128"/>
    </font>
    <font>
      <b/>
      <sz val="10"/>
      <color theme="1"/>
      <name val="游ゴシック"/>
      <family val="3"/>
      <charset val="128"/>
    </font>
    <font>
      <sz val="8"/>
      <color theme="8"/>
      <name val="游ゴシック"/>
      <family val="3"/>
      <charset val="128"/>
    </font>
    <font>
      <sz val="9"/>
      <color theme="8"/>
      <name val="Yu Gothic"/>
      <family val="3"/>
      <charset val="128"/>
      <scheme val="minor"/>
    </font>
    <font>
      <sz val="9"/>
      <color theme="8"/>
      <name val="游ゴシック"/>
      <family val="3"/>
      <charset val="128"/>
    </font>
    <font>
      <b/>
      <sz val="9"/>
      <color rgb="FFFF0000"/>
      <name val="游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FFFFD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FF"/>
        <bgColor indexed="64"/>
      </patternFill>
    </fill>
  </fills>
  <borders count="42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0"/>
      </bottom>
      <diagonal/>
    </border>
    <border>
      <left style="thin">
        <color rgb="FF305496"/>
      </left>
      <right style="thin">
        <color rgb="FF305496"/>
      </right>
      <top style="thin">
        <color theme="0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rgb="FF305496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8" tint="-0.24994659260841701"/>
      </bottom>
      <diagonal/>
    </border>
    <border>
      <left style="thin">
        <color theme="3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3"/>
      </left>
      <right style="thin">
        <color rgb="FF305496"/>
      </right>
      <top style="thin">
        <color rgb="FF305496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rgb="FF305496"/>
      </top>
      <bottom style="thin">
        <color theme="3"/>
      </bottom>
      <diagonal/>
    </border>
    <border>
      <left style="thin">
        <color theme="3"/>
      </left>
      <right style="thin">
        <color rgb="FF305496"/>
      </right>
      <top style="thin">
        <color theme="3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3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3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9" fillId="0" borderId="0" applyNumberFormat="0" applyFill="0" applyBorder="0" applyAlignment="0" applyProtection="0"/>
  </cellStyleXfs>
  <cellXfs count="96">
    <xf numFmtId="0" fontId="0" fillId="0" borderId="0" xfId="0"/>
    <xf numFmtId="0" fontId="5" fillId="0" borderId="0" xfId="0" applyFont="1"/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7" fillId="0" borderId="0" xfId="0" applyFont="1"/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8" fillId="0" borderId="0" xfId="0" applyFont="1"/>
    <xf numFmtId="0" fontId="7" fillId="2" borderId="8" xfId="0" applyFont="1" applyFill="1" applyBorder="1"/>
    <xf numFmtId="0" fontId="7" fillId="2" borderId="9" xfId="0" applyFont="1" applyFill="1" applyBorder="1"/>
    <xf numFmtId="0" fontId="7" fillId="2" borderId="10" xfId="0" applyFont="1" applyFill="1" applyBorder="1"/>
    <xf numFmtId="0" fontId="10" fillId="0" borderId="0" xfId="2" applyFont="1" applyAlignment="1">
      <alignment horizontal="right"/>
    </xf>
    <xf numFmtId="0" fontId="0" fillId="0" borderId="12" xfId="0" applyBorder="1"/>
    <xf numFmtId="0" fontId="11" fillId="0" borderId="11" xfId="0" applyFont="1" applyBorder="1"/>
    <xf numFmtId="0" fontId="0" fillId="0" borderId="13" xfId="0" applyBorder="1"/>
    <xf numFmtId="0" fontId="12" fillId="0" borderId="0" xfId="0" applyFont="1"/>
    <xf numFmtId="0" fontId="7" fillId="4" borderId="0" xfId="0" applyFont="1" applyFill="1"/>
    <xf numFmtId="0" fontId="7" fillId="2" borderId="5" xfId="0" applyFont="1" applyFill="1" applyBorder="1"/>
    <xf numFmtId="0" fontId="6" fillId="2" borderId="14" xfId="0" applyFont="1" applyFill="1" applyBorder="1"/>
    <xf numFmtId="0" fontId="6" fillId="0" borderId="14" xfId="0" applyFont="1" applyBorder="1"/>
    <xf numFmtId="0" fontId="6" fillId="2" borderId="15" xfId="0" applyFont="1" applyFill="1" applyBorder="1"/>
    <xf numFmtId="0" fontId="6" fillId="0" borderId="15" xfId="0" applyFont="1" applyBorder="1"/>
    <xf numFmtId="0" fontId="6" fillId="2" borderId="16" xfId="0" applyFont="1" applyFill="1" applyBorder="1"/>
    <xf numFmtId="0" fontId="6" fillId="0" borderId="16" xfId="0" applyFont="1" applyBorder="1"/>
    <xf numFmtId="0" fontId="13" fillId="4" borderId="0" xfId="0" applyFont="1" applyFill="1" applyAlignment="1">
      <alignment horizontal="center" vertical="center"/>
    </xf>
    <xf numFmtId="0" fontId="13" fillId="4" borderId="0" xfId="0" applyFont="1" applyFill="1"/>
    <xf numFmtId="179" fontId="6" fillId="2" borderId="14" xfId="0" applyNumberFormat="1" applyFont="1" applyFill="1" applyBorder="1" applyAlignment="1">
      <alignment horizontal="center"/>
    </xf>
    <xf numFmtId="179" fontId="6" fillId="2" borderId="15" xfId="0" applyNumberFormat="1" applyFont="1" applyFill="1" applyBorder="1" applyAlignment="1">
      <alignment horizontal="center"/>
    </xf>
    <xf numFmtId="179" fontId="6" fillId="2" borderId="16" xfId="0" applyNumberFormat="1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 vertical="center"/>
    </xf>
    <xf numFmtId="0" fontId="14" fillId="2" borderId="15" xfId="2" applyFont="1" applyFill="1" applyBorder="1"/>
    <xf numFmtId="0" fontId="5" fillId="2" borderId="8" xfId="0" applyFont="1" applyFill="1" applyBorder="1"/>
    <xf numFmtId="0" fontId="5" fillId="2" borderId="9" xfId="0" applyFont="1" applyFill="1" applyBorder="1"/>
    <xf numFmtId="0" fontId="5" fillId="2" borderId="10" xfId="0" applyFont="1" applyFill="1" applyBorder="1"/>
    <xf numFmtId="181" fontId="16" fillId="2" borderId="8" xfId="0" applyNumberFormat="1" applyFont="1" applyFill="1" applyBorder="1"/>
    <xf numFmtId="181" fontId="16" fillId="2" borderId="9" xfId="0" applyNumberFormat="1" applyFont="1" applyFill="1" applyBorder="1"/>
    <xf numFmtId="181" fontId="16" fillId="2" borderId="10" xfId="0" applyNumberFormat="1" applyFont="1" applyFill="1" applyBorder="1"/>
    <xf numFmtId="181" fontId="7" fillId="0" borderId="0" xfId="0" applyNumberFormat="1" applyFont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0" fontId="16" fillId="0" borderId="8" xfId="0" applyFont="1" applyBorder="1"/>
    <xf numFmtId="0" fontId="16" fillId="0" borderId="9" xfId="0" applyFont="1" applyBorder="1"/>
    <xf numFmtId="0" fontId="16" fillId="0" borderId="10" xfId="0" applyFont="1" applyBorder="1"/>
    <xf numFmtId="177" fontId="5" fillId="2" borderId="8" xfId="0" applyNumberFormat="1" applyFont="1" applyFill="1" applyBorder="1"/>
    <xf numFmtId="177" fontId="5" fillId="2" borderId="9" xfId="0" applyNumberFormat="1" applyFont="1" applyFill="1" applyBorder="1"/>
    <xf numFmtId="177" fontId="5" fillId="2" borderId="10" xfId="0" applyNumberFormat="1" applyFont="1" applyFill="1" applyBorder="1"/>
    <xf numFmtId="176" fontId="5" fillId="0" borderId="8" xfId="0" applyNumberFormat="1" applyFont="1" applyBorder="1" applyAlignment="1">
      <alignment horizontal="center"/>
    </xf>
    <xf numFmtId="176" fontId="5" fillId="0" borderId="9" xfId="0" applyNumberFormat="1" applyFont="1" applyBorder="1" applyAlignment="1">
      <alignment horizontal="center"/>
    </xf>
    <xf numFmtId="176" fontId="5" fillId="0" borderId="10" xfId="0" applyNumberFormat="1" applyFont="1" applyBorder="1" applyAlignment="1">
      <alignment horizontal="center"/>
    </xf>
    <xf numFmtId="0" fontId="17" fillId="0" borderId="0" xfId="0" applyFont="1"/>
    <xf numFmtId="178" fontId="0" fillId="0" borderId="0" xfId="0" applyNumberFormat="1"/>
    <xf numFmtId="182" fontId="18" fillId="0" borderId="0" xfId="0" applyNumberFormat="1" applyFont="1" applyAlignment="1">
      <alignment horizontal="center"/>
    </xf>
    <xf numFmtId="0" fontId="4" fillId="3" borderId="17" xfId="0" applyFont="1" applyFill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 wrapText="1"/>
    </xf>
    <xf numFmtId="0" fontId="4" fillId="3" borderId="19" xfId="0" applyFont="1" applyFill="1" applyBorder="1" applyAlignment="1">
      <alignment horizontal="center" vertical="center" wrapText="1"/>
    </xf>
    <xf numFmtId="0" fontId="7" fillId="5" borderId="0" xfId="0" applyFont="1" applyFill="1"/>
    <xf numFmtId="0" fontId="4" fillId="3" borderId="20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 wrapText="1"/>
    </xf>
    <xf numFmtId="0" fontId="4" fillId="3" borderId="22" xfId="0" applyFont="1" applyFill="1" applyBorder="1" applyAlignment="1">
      <alignment horizontal="center" vertical="center" wrapText="1"/>
    </xf>
    <xf numFmtId="0" fontId="20" fillId="0" borderId="0" xfId="0" applyFont="1"/>
    <xf numFmtId="0" fontId="6" fillId="2" borderId="24" xfId="0" applyFont="1" applyFill="1" applyBorder="1"/>
    <xf numFmtId="0" fontId="11" fillId="2" borderId="23" xfId="0" applyFont="1" applyFill="1" applyBorder="1"/>
    <xf numFmtId="176" fontId="6" fillId="2" borderId="24" xfId="0" applyNumberFormat="1" applyFont="1" applyFill="1" applyBorder="1" applyAlignment="1">
      <alignment horizontal="center"/>
    </xf>
    <xf numFmtId="176" fontId="11" fillId="2" borderId="23" xfId="0" applyNumberFormat="1" applyFont="1" applyFill="1" applyBorder="1" applyAlignment="1">
      <alignment horizontal="center"/>
    </xf>
    <xf numFmtId="0" fontId="0" fillId="0" borderId="25" xfId="0" applyBorder="1"/>
    <xf numFmtId="0" fontId="21" fillId="0" borderId="0" xfId="0" applyFont="1"/>
    <xf numFmtId="0" fontId="7" fillId="6" borderId="0" xfId="0" applyFont="1" applyFill="1"/>
    <xf numFmtId="177" fontId="7" fillId="2" borderId="26" xfId="0" applyNumberFormat="1" applyFont="1" applyFill="1" applyBorder="1" applyAlignment="1">
      <alignment horizontal="center"/>
    </xf>
    <xf numFmtId="0" fontId="5" fillId="0" borderId="27" xfId="0" applyFont="1" applyBorder="1"/>
    <xf numFmtId="0" fontId="5" fillId="0" borderId="28" xfId="0" applyFont="1" applyBorder="1"/>
    <xf numFmtId="0" fontId="5" fillId="0" borderId="29" xfId="0" applyFont="1" applyBorder="1"/>
    <xf numFmtId="177" fontId="7" fillId="2" borderId="30" xfId="0" applyNumberFormat="1" applyFont="1" applyFill="1" applyBorder="1" applyAlignment="1">
      <alignment horizontal="center"/>
    </xf>
    <xf numFmtId="0" fontId="5" fillId="0" borderId="31" xfId="0" applyFont="1" applyBorder="1"/>
    <xf numFmtId="0" fontId="5" fillId="0" borderId="32" xfId="0" applyFont="1" applyBorder="1"/>
    <xf numFmtId="0" fontId="5" fillId="0" borderId="33" xfId="0" applyFont="1" applyBorder="1"/>
    <xf numFmtId="177" fontId="7" fillId="2" borderId="34" xfId="0" applyNumberFormat="1" applyFont="1" applyFill="1" applyBorder="1" applyAlignment="1">
      <alignment horizontal="center"/>
    </xf>
    <xf numFmtId="0" fontId="5" fillId="0" borderId="35" xfId="0" applyFont="1" applyBorder="1"/>
    <xf numFmtId="0" fontId="5" fillId="0" borderId="36" xfId="0" applyFont="1" applyBorder="1"/>
    <xf numFmtId="0" fontId="5" fillId="0" borderId="37" xfId="0" applyFont="1" applyBorder="1"/>
    <xf numFmtId="177" fontId="7" fillId="2" borderId="38" xfId="0" applyNumberFormat="1" applyFont="1" applyFill="1" applyBorder="1" applyAlignment="1">
      <alignment horizontal="center"/>
    </xf>
    <xf numFmtId="0" fontId="5" fillId="0" borderId="39" xfId="0" applyFont="1" applyBorder="1"/>
    <xf numFmtId="0" fontId="5" fillId="0" borderId="40" xfId="0" applyFont="1" applyBorder="1"/>
    <xf numFmtId="0" fontId="5" fillId="0" borderId="41" xfId="0" applyFont="1" applyBorder="1"/>
    <xf numFmtId="0" fontId="7" fillId="7" borderId="0" xfId="0" applyFont="1" applyFill="1"/>
    <xf numFmtId="0" fontId="0" fillId="8" borderId="0" xfId="0" applyFill="1"/>
    <xf numFmtId="0" fontId="4" fillId="3" borderId="5" xfId="0" applyFont="1" applyFill="1" applyBorder="1" applyAlignment="1">
      <alignment horizontal="center" vertical="center"/>
    </xf>
    <xf numFmtId="0" fontId="7" fillId="0" borderId="5" xfId="0" applyFont="1" applyBorder="1" applyAlignment="1">
      <alignment horizontal="center"/>
    </xf>
    <xf numFmtId="183" fontId="19" fillId="2" borderId="14" xfId="0" applyNumberFormat="1" applyFont="1" applyFill="1" applyBorder="1" applyAlignment="1">
      <alignment horizontal="center"/>
    </xf>
    <xf numFmtId="183" fontId="19" fillId="2" borderId="15" xfId="0" applyNumberFormat="1" applyFont="1" applyFill="1" applyBorder="1" applyAlignment="1">
      <alignment horizontal="center"/>
    </xf>
    <xf numFmtId="183" fontId="19" fillId="2" borderId="16" xfId="0" applyNumberFormat="1" applyFont="1" applyFill="1" applyBorder="1" applyAlignment="1">
      <alignment horizontal="center"/>
    </xf>
    <xf numFmtId="184" fontId="4" fillId="3" borderId="4" xfId="0" applyNumberFormat="1" applyFont="1" applyFill="1" applyBorder="1" applyAlignment="1">
      <alignment horizontal="center" vertical="center" wrapText="1"/>
    </xf>
    <xf numFmtId="188" fontId="15" fillId="0" borderId="0" xfId="0" applyNumberFormat="1" applyFont="1" applyAlignment="1">
      <alignment horizontal="center"/>
    </xf>
  </cellXfs>
  <cellStyles count="3">
    <cellStyle name="ハイパーリンク" xfId="2" builtinId="8"/>
    <cellStyle name="標準" xfId="0" builtinId="0"/>
    <cellStyle name="標準 2" xfId="1" xr:uid="{AB8354C3-FBC3-4B61-81B6-495C75A0B25A}"/>
  </cellStyles>
  <dxfs count="57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</dxfs>
  <tableStyles count="0" defaultTableStyle="TableStyleMedium2" defaultPivotStyle="PivotStyleLight16"/>
  <colors>
    <mruColors>
      <color rgb="FFFFCCFF"/>
      <color rgb="FFFFFFD5"/>
      <color rgb="FF305496"/>
      <color rgb="FF4472C4"/>
      <color rgb="FF447277"/>
      <color rgb="FF2F75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99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B489D-86C6-41FE-97BA-42B5B2EC4953}">
  <sheetPr codeName="elements"/>
  <dimension ref="A1:I236"/>
  <sheetViews>
    <sheetView showGridLines="0" tabSelected="1" workbookViewId="0">
      <pane ySplit="1" topLeftCell="A2" activePane="bottomLeft" state="frozen"/>
      <selection pane="bottomLeft" activeCell="E11" sqref="E11"/>
    </sheetView>
  </sheetViews>
  <sheetFormatPr defaultRowHeight="13"/>
  <cols>
    <col min="1" max="2" width="20.83203125" style="1" customWidth="1"/>
    <col min="3" max="3" width="10.33203125" style="1" customWidth="1"/>
    <col min="4" max="4" width="34.83203125" style="1" customWidth="1"/>
    <col min="5" max="5" width="7.25" style="1" customWidth="1"/>
    <col min="6" max="6" width="29" style="1" customWidth="1"/>
    <col min="7" max="7" width="6.5" style="1" bestFit="1" customWidth="1"/>
    <col min="8" max="8" width="20.83203125" style="1" customWidth="1"/>
    <col min="9" max="16384" width="8.6640625" style="1"/>
  </cols>
  <sheetData>
    <row r="1" spans="1:9" ht="26">
      <c r="A1" s="2" t="s">
        <v>0</v>
      </c>
      <c r="B1" s="3" t="s">
        <v>1</v>
      </c>
      <c r="C1" s="4" t="s">
        <v>3</v>
      </c>
      <c r="D1" s="3" t="s">
        <v>41</v>
      </c>
      <c r="E1" s="3" t="s">
        <v>42</v>
      </c>
      <c r="F1" s="4" t="s">
        <v>2</v>
      </c>
      <c r="G1" s="5" t="s">
        <v>5</v>
      </c>
      <c r="H1" s="5" t="s">
        <v>58</v>
      </c>
    </row>
    <row r="2" spans="1:9" ht="18">
      <c r="A2" s="64" t="s">
        <v>28</v>
      </c>
      <c r="B2" s="64" t="s">
        <v>59</v>
      </c>
      <c r="C2" s="64" t="s">
        <v>60</v>
      </c>
      <c r="D2" s="64" t="s">
        <v>61</v>
      </c>
      <c r="E2" s="64" t="b">
        <v>0</v>
      </c>
      <c r="F2" s="64" t="s">
        <v>62</v>
      </c>
      <c r="G2" s="66">
        <v>0</v>
      </c>
      <c r="H2" s="64" t="s">
        <v>28</v>
      </c>
      <c r="I2"/>
    </row>
    <row r="3" spans="1:9" ht="18">
      <c r="A3" s="64" t="s">
        <v>4</v>
      </c>
      <c r="B3" s="64" t="s">
        <v>63</v>
      </c>
      <c r="C3" s="64" t="s">
        <v>64</v>
      </c>
      <c r="D3" s="64" t="s">
        <v>65</v>
      </c>
      <c r="E3" s="64" t="b">
        <v>0</v>
      </c>
      <c r="F3" s="64" t="s">
        <v>66</v>
      </c>
      <c r="G3" s="66">
        <v>0</v>
      </c>
      <c r="H3" s="64" t="s">
        <v>4</v>
      </c>
      <c r="I3"/>
    </row>
    <row r="4" spans="1:9" ht="18">
      <c r="A4" s="64" t="s">
        <v>67</v>
      </c>
      <c r="B4" s="64" t="s">
        <v>68</v>
      </c>
      <c r="C4" s="64" t="s">
        <v>69</v>
      </c>
      <c r="D4" s="64" t="s">
        <v>70</v>
      </c>
      <c r="E4" s="64" t="b">
        <v>0</v>
      </c>
      <c r="F4" s="64" t="s">
        <v>71</v>
      </c>
      <c r="G4" s="66">
        <v>0</v>
      </c>
      <c r="H4" s="64" t="s">
        <v>67</v>
      </c>
      <c r="I4"/>
    </row>
    <row r="5" spans="1:9" ht="18">
      <c r="A5" s="64" t="s">
        <v>21</v>
      </c>
      <c r="B5" s="64" t="s">
        <v>72</v>
      </c>
      <c r="C5" s="64" t="s">
        <v>73</v>
      </c>
      <c r="D5" s="64"/>
      <c r="E5" s="64" t="b">
        <v>0</v>
      </c>
      <c r="F5" s="64" t="s">
        <v>21</v>
      </c>
      <c r="G5" s="66">
        <v>0</v>
      </c>
      <c r="H5" s="64" t="s">
        <v>21</v>
      </c>
      <c r="I5"/>
    </row>
    <row r="6" spans="1:9" ht="18">
      <c r="A6" s="64" t="s">
        <v>74</v>
      </c>
      <c r="B6" s="64" t="s">
        <v>75</v>
      </c>
      <c r="C6" s="64" t="s">
        <v>75</v>
      </c>
      <c r="D6" s="64"/>
      <c r="E6" s="64" t="b">
        <v>1</v>
      </c>
      <c r="F6" s="64" t="s">
        <v>76</v>
      </c>
      <c r="G6" s="66">
        <v>0</v>
      </c>
      <c r="H6" s="64" t="s">
        <v>74</v>
      </c>
      <c r="I6"/>
    </row>
    <row r="7" spans="1:9" ht="18">
      <c r="A7" s="64" t="s">
        <v>22</v>
      </c>
      <c r="B7" s="64" t="s">
        <v>77</v>
      </c>
      <c r="C7" s="64" t="s">
        <v>78</v>
      </c>
      <c r="D7" s="64" t="s">
        <v>79</v>
      </c>
      <c r="E7" s="64" t="b">
        <v>0</v>
      </c>
      <c r="F7" s="64" t="s">
        <v>22</v>
      </c>
      <c r="G7" s="66">
        <v>0</v>
      </c>
      <c r="H7" s="64" t="s">
        <v>22</v>
      </c>
      <c r="I7"/>
    </row>
    <row r="8" spans="1:9" ht="18">
      <c r="A8" s="64" t="s">
        <v>80</v>
      </c>
      <c r="B8" s="64" t="s">
        <v>81</v>
      </c>
      <c r="C8" s="64" t="s">
        <v>82</v>
      </c>
      <c r="D8" s="64"/>
      <c r="E8" s="64" t="b">
        <v>1</v>
      </c>
      <c r="F8" s="64" t="s">
        <v>83</v>
      </c>
      <c r="G8" s="66">
        <v>0</v>
      </c>
      <c r="H8" s="64" t="s">
        <v>80</v>
      </c>
      <c r="I8"/>
    </row>
    <row r="9" spans="1:9" ht="18">
      <c r="A9" s="64" t="s">
        <v>84</v>
      </c>
      <c r="B9" s="64" t="s">
        <v>85</v>
      </c>
      <c r="C9" s="64" t="s">
        <v>85</v>
      </c>
      <c r="D9" s="64"/>
      <c r="E9" s="64" t="b">
        <v>1</v>
      </c>
      <c r="F9" s="64" t="s">
        <v>84</v>
      </c>
      <c r="G9" s="66">
        <v>0</v>
      </c>
      <c r="H9" s="64" t="s">
        <v>84</v>
      </c>
      <c r="I9"/>
    </row>
    <row r="10" spans="1:9" ht="18">
      <c r="A10" s="64" t="s">
        <v>29</v>
      </c>
      <c r="B10" s="64" t="s">
        <v>86</v>
      </c>
      <c r="C10" s="64" t="s">
        <v>73</v>
      </c>
      <c r="D10" s="64"/>
      <c r="E10" s="64" t="b">
        <v>0</v>
      </c>
      <c r="F10" s="64" t="s">
        <v>29</v>
      </c>
      <c r="G10" s="66">
        <v>0</v>
      </c>
      <c r="H10" s="64" t="s">
        <v>29</v>
      </c>
      <c r="I10"/>
    </row>
    <row r="11" spans="1:9" ht="18">
      <c r="A11" s="64" t="s">
        <v>30</v>
      </c>
      <c r="B11" s="64" t="s">
        <v>87</v>
      </c>
      <c r="C11" s="64" t="s">
        <v>64</v>
      </c>
      <c r="D11" s="64" t="s">
        <v>88</v>
      </c>
      <c r="E11" s="64" t="b">
        <v>0</v>
      </c>
      <c r="F11" s="64" t="s">
        <v>30</v>
      </c>
      <c r="G11" s="66">
        <v>0</v>
      </c>
      <c r="H11" s="64" t="s">
        <v>30</v>
      </c>
      <c r="I11"/>
    </row>
    <row r="12" spans="1:9" ht="18">
      <c r="A12" s="64" t="s">
        <v>31</v>
      </c>
      <c r="B12" s="64" t="s">
        <v>89</v>
      </c>
      <c r="C12" s="64" t="s">
        <v>60</v>
      </c>
      <c r="D12" s="64" t="s">
        <v>173</v>
      </c>
      <c r="E12" s="64" t="b">
        <v>0</v>
      </c>
      <c r="F12" s="64" t="s">
        <v>90</v>
      </c>
      <c r="G12" s="66">
        <v>0</v>
      </c>
      <c r="H12" s="64" t="s">
        <v>31</v>
      </c>
      <c r="I12"/>
    </row>
    <row r="13" spans="1:9" ht="18">
      <c r="A13" s="64" t="s">
        <v>91</v>
      </c>
      <c r="B13" s="64" t="s">
        <v>92</v>
      </c>
      <c r="C13" s="64" t="s">
        <v>93</v>
      </c>
      <c r="D13" s="64"/>
      <c r="E13" s="64" t="b">
        <v>0</v>
      </c>
      <c r="F13" s="64" t="s">
        <v>94</v>
      </c>
      <c r="G13" s="66">
        <v>0</v>
      </c>
      <c r="H13" s="64" t="s">
        <v>91</v>
      </c>
      <c r="I13"/>
    </row>
    <row r="14" spans="1:9" ht="18">
      <c r="A14" s="64" t="s">
        <v>32</v>
      </c>
      <c r="B14" s="64" t="s">
        <v>95</v>
      </c>
      <c r="C14" s="64" t="s">
        <v>96</v>
      </c>
      <c r="D14" s="64"/>
      <c r="E14" s="64" t="b">
        <v>0</v>
      </c>
      <c r="F14" s="64" t="s">
        <v>97</v>
      </c>
      <c r="G14" s="66">
        <v>0</v>
      </c>
      <c r="H14" s="64" t="s">
        <v>32</v>
      </c>
      <c r="I14"/>
    </row>
    <row r="15" spans="1:9" ht="18">
      <c r="A15" s="64" t="s">
        <v>98</v>
      </c>
      <c r="B15" s="64" t="s">
        <v>99</v>
      </c>
      <c r="C15" s="64" t="s">
        <v>100</v>
      </c>
      <c r="D15" s="64" t="s">
        <v>174</v>
      </c>
      <c r="E15" s="64" t="b">
        <v>0</v>
      </c>
      <c r="F15" s="64" t="s">
        <v>101</v>
      </c>
      <c r="G15" s="66">
        <v>0</v>
      </c>
      <c r="H15" s="64" t="s">
        <v>98</v>
      </c>
      <c r="I15"/>
    </row>
    <row r="16" spans="1:9" ht="18">
      <c r="A16" s="64" t="s">
        <v>102</v>
      </c>
      <c r="B16" s="64" t="s">
        <v>103</v>
      </c>
      <c r="C16" s="64" t="s">
        <v>104</v>
      </c>
      <c r="D16" s="64"/>
      <c r="E16" s="64" t="b">
        <v>0</v>
      </c>
      <c r="F16" s="64" t="s">
        <v>105</v>
      </c>
      <c r="G16" s="66">
        <v>0</v>
      </c>
      <c r="H16" s="64" t="s">
        <v>102</v>
      </c>
      <c r="I16"/>
    </row>
    <row r="17" spans="1:9" ht="18">
      <c r="A17" s="64" t="s">
        <v>33</v>
      </c>
      <c r="B17" s="64" t="s">
        <v>106</v>
      </c>
      <c r="C17" s="64" t="s">
        <v>107</v>
      </c>
      <c r="D17" s="64" t="s">
        <v>175</v>
      </c>
      <c r="E17" s="64" t="b">
        <v>0</v>
      </c>
      <c r="F17" s="64" t="s">
        <v>108</v>
      </c>
      <c r="G17" s="66">
        <v>0</v>
      </c>
      <c r="H17" s="64" t="s">
        <v>33</v>
      </c>
      <c r="I17"/>
    </row>
    <row r="18" spans="1:9" ht="18">
      <c r="A18" s="64" t="s">
        <v>49</v>
      </c>
      <c r="B18" s="64" t="s">
        <v>109</v>
      </c>
      <c r="C18" s="64" t="s">
        <v>104</v>
      </c>
      <c r="D18" s="64"/>
      <c r="E18" s="64" t="b">
        <v>0</v>
      </c>
      <c r="F18" s="64" t="s">
        <v>110</v>
      </c>
      <c r="G18" s="66">
        <v>0</v>
      </c>
      <c r="H18" s="64" t="s">
        <v>49</v>
      </c>
      <c r="I18"/>
    </row>
    <row r="19" spans="1:9" ht="18">
      <c r="A19" s="64" t="s">
        <v>111</v>
      </c>
      <c r="B19" s="64" t="s">
        <v>112</v>
      </c>
      <c r="C19" s="64" t="s">
        <v>82</v>
      </c>
      <c r="D19" s="64"/>
      <c r="E19" s="64" t="b">
        <v>1</v>
      </c>
      <c r="F19" s="64" t="s">
        <v>113</v>
      </c>
      <c r="G19" s="66">
        <v>0</v>
      </c>
      <c r="H19" s="64" t="s">
        <v>111</v>
      </c>
      <c r="I19"/>
    </row>
    <row r="20" spans="1:9" ht="18">
      <c r="A20" s="64" t="s">
        <v>114</v>
      </c>
      <c r="B20" s="64" t="s">
        <v>115</v>
      </c>
      <c r="C20" s="64" t="s">
        <v>69</v>
      </c>
      <c r="D20" s="64" t="s">
        <v>116</v>
      </c>
      <c r="E20" s="64" t="b">
        <v>0</v>
      </c>
      <c r="F20" s="64" t="s">
        <v>114</v>
      </c>
      <c r="G20" s="66">
        <v>0</v>
      </c>
      <c r="H20" s="64" t="s">
        <v>114</v>
      </c>
      <c r="I20"/>
    </row>
    <row r="21" spans="1:9" ht="18">
      <c r="A21" s="64" t="s">
        <v>117</v>
      </c>
      <c r="B21" s="64" t="s">
        <v>118</v>
      </c>
      <c r="C21" s="64" t="s">
        <v>82</v>
      </c>
      <c r="D21" s="64"/>
      <c r="E21" s="64" t="b">
        <v>1</v>
      </c>
      <c r="F21" s="64" t="s">
        <v>119</v>
      </c>
      <c r="G21" s="66">
        <v>0</v>
      </c>
      <c r="H21" s="64" t="s">
        <v>117</v>
      </c>
      <c r="I21"/>
    </row>
    <row r="22" spans="1:9" ht="18">
      <c r="A22" s="64" t="s">
        <v>120</v>
      </c>
      <c r="B22" s="64" t="s">
        <v>121</v>
      </c>
      <c r="C22" s="64" t="s">
        <v>122</v>
      </c>
      <c r="D22" s="64" t="s">
        <v>123</v>
      </c>
      <c r="E22" s="64" t="b">
        <v>0</v>
      </c>
      <c r="F22" s="64" t="s">
        <v>124</v>
      </c>
      <c r="G22" s="66">
        <v>0</v>
      </c>
      <c r="H22" s="64" t="s">
        <v>120</v>
      </c>
      <c r="I22"/>
    </row>
    <row r="23" spans="1:9" ht="18">
      <c r="A23" s="64" t="s">
        <v>125</v>
      </c>
      <c r="B23" s="64" t="s">
        <v>126</v>
      </c>
      <c r="C23" s="64" t="s">
        <v>82</v>
      </c>
      <c r="D23" s="64"/>
      <c r="E23" s="64" t="b">
        <v>1</v>
      </c>
      <c r="F23" s="64" t="s">
        <v>127</v>
      </c>
      <c r="G23" s="66">
        <v>0</v>
      </c>
      <c r="H23" s="64" t="s">
        <v>125</v>
      </c>
      <c r="I23"/>
    </row>
    <row r="24" spans="1:9" ht="18">
      <c r="A24" s="64" t="s">
        <v>55</v>
      </c>
      <c r="B24" s="64" t="s">
        <v>128</v>
      </c>
      <c r="C24" s="64" t="s">
        <v>128</v>
      </c>
      <c r="D24" s="64"/>
      <c r="E24" s="64" t="b">
        <v>1</v>
      </c>
      <c r="F24" s="64" t="s">
        <v>129</v>
      </c>
      <c r="G24" s="66">
        <v>0</v>
      </c>
      <c r="H24" s="64" t="s">
        <v>55</v>
      </c>
      <c r="I24"/>
    </row>
    <row r="25" spans="1:9" ht="18">
      <c r="A25" s="64" t="s">
        <v>130</v>
      </c>
      <c r="B25" s="64" t="s">
        <v>131</v>
      </c>
      <c r="C25" s="64" t="s">
        <v>132</v>
      </c>
      <c r="D25" s="64"/>
      <c r="E25" s="64" t="b">
        <v>0</v>
      </c>
      <c r="F25" s="64" t="s">
        <v>133</v>
      </c>
      <c r="G25" s="66">
        <v>0</v>
      </c>
      <c r="H25" s="64" t="s">
        <v>130</v>
      </c>
      <c r="I25"/>
    </row>
    <row r="26" spans="1:9" ht="18">
      <c r="A26" s="64" t="s">
        <v>134</v>
      </c>
      <c r="B26" s="64" t="s">
        <v>135</v>
      </c>
      <c r="C26" s="64" t="s">
        <v>100</v>
      </c>
      <c r="D26" s="64" t="s">
        <v>176</v>
      </c>
      <c r="E26" s="64" t="b">
        <v>0</v>
      </c>
      <c r="F26" s="64" t="s">
        <v>134</v>
      </c>
      <c r="G26" s="66">
        <v>0</v>
      </c>
      <c r="H26" s="64" t="s">
        <v>134</v>
      </c>
      <c r="I26"/>
    </row>
    <row r="27" spans="1:9" ht="18">
      <c r="A27" s="64" t="s">
        <v>136</v>
      </c>
      <c r="B27" s="64" t="s">
        <v>137</v>
      </c>
      <c r="C27" s="64" t="s">
        <v>138</v>
      </c>
      <c r="D27" s="64"/>
      <c r="E27" s="64" t="b">
        <v>0</v>
      </c>
      <c r="F27" s="64" t="s">
        <v>139</v>
      </c>
      <c r="G27" s="66">
        <v>0</v>
      </c>
      <c r="H27" s="64" t="s">
        <v>136</v>
      </c>
      <c r="I27"/>
    </row>
    <row r="28" spans="1:9" ht="18">
      <c r="A28" s="64" t="s">
        <v>140</v>
      </c>
      <c r="B28" s="64" t="s">
        <v>141</v>
      </c>
      <c r="C28" s="64" t="s">
        <v>64</v>
      </c>
      <c r="D28" s="64" t="s">
        <v>142</v>
      </c>
      <c r="E28" s="64" t="b">
        <v>0</v>
      </c>
      <c r="F28" s="64" t="s">
        <v>143</v>
      </c>
      <c r="G28" s="66">
        <v>1</v>
      </c>
      <c r="H28" s="64" t="s">
        <v>4</v>
      </c>
      <c r="I28"/>
    </row>
    <row r="29" spans="1:9" ht="18">
      <c r="A29" s="64" t="s">
        <v>144</v>
      </c>
      <c r="B29" s="64" t="s">
        <v>145</v>
      </c>
      <c r="C29" s="64" t="s">
        <v>100</v>
      </c>
      <c r="D29" s="64" t="s">
        <v>177</v>
      </c>
      <c r="E29" s="64" t="b">
        <v>0</v>
      </c>
      <c r="F29" s="64" t="s">
        <v>146</v>
      </c>
      <c r="G29" s="66">
        <v>1</v>
      </c>
      <c r="H29" s="64" t="s">
        <v>98</v>
      </c>
      <c r="I29"/>
    </row>
    <row r="30" spans="1:9" ht="18">
      <c r="A30" s="64" t="s">
        <v>147</v>
      </c>
      <c r="B30" s="64" t="s">
        <v>148</v>
      </c>
      <c r="C30" s="64" t="s">
        <v>100</v>
      </c>
      <c r="D30" s="64" t="s">
        <v>178</v>
      </c>
      <c r="E30" s="64" t="b">
        <v>0</v>
      </c>
      <c r="F30" s="64" t="s">
        <v>149</v>
      </c>
      <c r="G30" s="66">
        <v>1</v>
      </c>
      <c r="H30" s="64" t="s">
        <v>98</v>
      </c>
      <c r="I30"/>
    </row>
    <row r="31" spans="1:9" ht="18">
      <c r="A31" s="65" t="s">
        <v>150</v>
      </c>
      <c r="B31" s="65" t="s">
        <v>151</v>
      </c>
      <c r="C31" s="65" t="s">
        <v>85</v>
      </c>
      <c r="D31" s="65"/>
      <c r="E31" s="65" t="b">
        <v>1</v>
      </c>
      <c r="F31" s="65" t="s">
        <v>150</v>
      </c>
      <c r="G31" s="67">
        <v>1</v>
      </c>
      <c r="H31" s="65" t="s">
        <v>84</v>
      </c>
      <c r="I31"/>
    </row>
    <row r="32" spans="1:9" ht="18">
      <c r="A32"/>
      <c r="B32"/>
      <c r="C32"/>
      <c r="D32"/>
      <c r="E32"/>
      <c r="F32"/>
      <c r="G32"/>
      <c r="H32"/>
      <c r="I32"/>
    </row>
    <row r="33" spans="1:9" ht="18">
      <c r="A33"/>
      <c r="B33"/>
      <c r="C33"/>
      <c r="D33"/>
      <c r="E33"/>
      <c r="F33"/>
      <c r="G33"/>
      <c r="H33"/>
      <c r="I33"/>
    </row>
    <row r="34" spans="1:9" ht="18">
      <c r="A34"/>
      <c r="B34"/>
      <c r="C34"/>
      <c r="D34"/>
      <c r="E34"/>
      <c r="F34"/>
      <c r="G34"/>
      <c r="H34"/>
      <c r="I34"/>
    </row>
    <row r="35" spans="1:9" ht="18">
      <c r="A35"/>
      <c r="B35"/>
      <c r="C35"/>
      <c r="D35"/>
      <c r="E35"/>
      <c r="F35"/>
      <c r="G35"/>
      <c r="H35"/>
      <c r="I35"/>
    </row>
    <row r="36" spans="1:9" ht="18">
      <c r="A36"/>
      <c r="B36"/>
      <c r="C36"/>
      <c r="D36"/>
      <c r="E36"/>
      <c r="F36"/>
      <c r="G36"/>
      <c r="H36"/>
      <c r="I36"/>
    </row>
    <row r="37" spans="1:9" ht="18">
      <c r="A37"/>
      <c r="B37"/>
      <c r="C37"/>
      <c r="D37"/>
      <c r="E37"/>
      <c r="F37"/>
      <c r="G37"/>
      <c r="H37"/>
      <c r="I37"/>
    </row>
    <row r="38" spans="1:9" ht="18">
      <c r="A38"/>
      <c r="B38"/>
      <c r="C38"/>
      <c r="D38"/>
      <c r="E38"/>
      <c r="F38"/>
      <c r="G38"/>
      <c r="H38"/>
      <c r="I38"/>
    </row>
    <row r="39" spans="1:9" ht="18">
      <c r="A39"/>
      <c r="B39"/>
      <c r="C39"/>
      <c r="D39"/>
      <c r="E39"/>
      <c r="F39"/>
      <c r="G39"/>
      <c r="H39"/>
      <c r="I39"/>
    </row>
    <row r="40" spans="1:9" ht="18">
      <c r="A40"/>
      <c r="B40"/>
      <c r="C40"/>
      <c r="D40"/>
      <c r="E40"/>
      <c r="F40"/>
      <c r="G40"/>
      <c r="H40"/>
      <c r="I40"/>
    </row>
    <row r="41" spans="1:9" ht="18">
      <c r="A41"/>
      <c r="B41"/>
      <c r="C41"/>
      <c r="D41"/>
      <c r="E41"/>
      <c r="F41"/>
      <c r="G41"/>
      <c r="H41"/>
      <c r="I41"/>
    </row>
    <row r="42" spans="1:9" ht="18">
      <c r="A42"/>
      <c r="B42"/>
      <c r="C42"/>
      <c r="D42"/>
      <c r="E42"/>
      <c r="F42"/>
      <c r="G42"/>
      <c r="H42"/>
      <c r="I42"/>
    </row>
    <row r="43" spans="1:9" ht="18">
      <c r="A43"/>
      <c r="B43"/>
      <c r="C43"/>
      <c r="D43"/>
      <c r="E43"/>
      <c r="F43"/>
      <c r="G43"/>
      <c r="H43"/>
      <c r="I43"/>
    </row>
    <row r="44" spans="1:9" ht="18">
      <c r="A44"/>
      <c r="B44"/>
      <c r="C44"/>
      <c r="D44"/>
      <c r="E44"/>
      <c r="F44"/>
      <c r="G44"/>
      <c r="H44"/>
      <c r="I44"/>
    </row>
    <row r="45" spans="1:9" ht="18">
      <c r="A45"/>
      <c r="B45"/>
      <c r="C45"/>
      <c r="D45"/>
      <c r="E45"/>
      <c r="F45"/>
      <c r="G45"/>
      <c r="H45"/>
      <c r="I45"/>
    </row>
    <row r="46" spans="1:9" ht="18">
      <c r="A46"/>
      <c r="B46"/>
      <c r="C46"/>
      <c r="D46"/>
      <c r="E46"/>
      <c r="F46"/>
      <c r="G46"/>
      <c r="H46"/>
      <c r="I46"/>
    </row>
    <row r="47" spans="1:9" ht="18">
      <c r="A47"/>
      <c r="B47"/>
      <c r="C47"/>
      <c r="D47"/>
      <c r="E47"/>
      <c r="F47"/>
      <c r="G47"/>
      <c r="H47"/>
      <c r="I47"/>
    </row>
    <row r="48" spans="1:9" ht="18">
      <c r="A48"/>
      <c r="B48"/>
      <c r="C48"/>
      <c r="D48"/>
      <c r="E48"/>
      <c r="F48"/>
      <c r="G48"/>
      <c r="H48"/>
      <c r="I48"/>
    </row>
    <row r="49" spans="1:9" ht="18">
      <c r="A49"/>
      <c r="B49"/>
      <c r="C49"/>
      <c r="D49"/>
      <c r="E49"/>
      <c r="F49"/>
      <c r="G49"/>
      <c r="H49"/>
      <c r="I49"/>
    </row>
    <row r="50" spans="1:9" ht="18">
      <c r="A50"/>
      <c r="B50"/>
      <c r="C50"/>
      <c r="D50"/>
      <c r="E50"/>
      <c r="F50"/>
      <c r="G50"/>
      <c r="H50"/>
      <c r="I50"/>
    </row>
    <row r="51" spans="1:9" ht="18">
      <c r="A51"/>
      <c r="B51"/>
      <c r="C51"/>
      <c r="D51"/>
      <c r="E51"/>
      <c r="F51"/>
      <c r="G51"/>
      <c r="H51"/>
      <c r="I51"/>
    </row>
    <row r="52" spans="1:9" ht="18">
      <c r="A52"/>
      <c r="B52"/>
      <c r="C52"/>
      <c r="D52"/>
      <c r="E52"/>
      <c r="F52"/>
      <c r="G52"/>
      <c r="H52"/>
      <c r="I52"/>
    </row>
    <row r="53" spans="1:9" ht="18">
      <c r="A53"/>
      <c r="B53"/>
      <c r="C53"/>
      <c r="D53"/>
      <c r="E53"/>
      <c r="F53"/>
      <c r="G53"/>
      <c r="H53"/>
      <c r="I53"/>
    </row>
    <row r="54" spans="1:9" ht="18">
      <c r="A54"/>
      <c r="B54"/>
      <c r="C54"/>
      <c r="D54"/>
      <c r="E54"/>
      <c r="F54"/>
      <c r="G54"/>
      <c r="H54"/>
      <c r="I54"/>
    </row>
    <row r="55" spans="1:9" ht="18">
      <c r="A55"/>
      <c r="B55"/>
      <c r="C55"/>
      <c r="D55"/>
      <c r="E55"/>
      <c r="F55"/>
      <c r="G55"/>
      <c r="H55"/>
      <c r="I55"/>
    </row>
    <row r="56" spans="1:9" ht="18">
      <c r="A56"/>
      <c r="B56"/>
      <c r="C56"/>
      <c r="D56"/>
      <c r="E56"/>
      <c r="F56"/>
      <c r="G56"/>
      <c r="H56"/>
      <c r="I56"/>
    </row>
    <row r="57" spans="1:9" ht="18">
      <c r="A57"/>
      <c r="B57"/>
      <c r="C57"/>
      <c r="D57"/>
      <c r="E57"/>
      <c r="F57"/>
      <c r="G57"/>
      <c r="H57"/>
      <c r="I57"/>
    </row>
    <row r="58" spans="1:9" ht="18">
      <c r="A58"/>
      <c r="B58"/>
      <c r="C58"/>
      <c r="D58"/>
      <c r="E58"/>
      <c r="F58"/>
      <c r="G58"/>
      <c r="H58"/>
      <c r="I58"/>
    </row>
    <row r="59" spans="1:9" ht="18">
      <c r="A59"/>
      <c r="B59"/>
      <c r="C59"/>
      <c r="D59"/>
      <c r="E59"/>
      <c r="F59"/>
      <c r="G59"/>
      <c r="H59"/>
      <c r="I59"/>
    </row>
    <row r="60" spans="1:9" ht="18">
      <c r="A60"/>
      <c r="B60"/>
      <c r="C60"/>
      <c r="D60"/>
      <c r="E60"/>
      <c r="F60"/>
      <c r="G60"/>
      <c r="H60"/>
      <c r="I60"/>
    </row>
    <row r="61" spans="1:9" ht="18">
      <c r="A61"/>
      <c r="B61"/>
      <c r="C61"/>
      <c r="D61"/>
      <c r="E61"/>
      <c r="F61"/>
      <c r="G61"/>
      <c r="H61"/>
      <c r="I61"/>
    </row>
    <row r="62" spans="1:9" ht="18">
      <c r="A62"/>
      <c r="B62"/>
      <c r="C62"/>
      <c r="D62"/>
      <c r="E62"/>
      <c r="F62"/>
      <c r="G62"/>
      <c r="H62"/>
      <c r="I62"/>
    </row>
    <row r="63" spans="1:9" ht="18">
      <c r="A63"/>
      <c r="B63"/>
      <c r="C63"/>
      <c r="D63"/>
      <c r="E63"/>
      <c r="F63"/>
      <c r="G63"/>
      <c r="H63"/>
      <c r="I63"/>
    </row>
    <row r="64" spans="1:9" ht="18">
      <c r="A64"/>
      <c r="B64"/>
      <c r="C64"/>
      <c r="D64"/>
      <c r="E64"/>
      <c r="F64"/>
      <c r="G64"/>
      <c r="H64"/>
      <c r="I64"/>
    </row>
    <row r="65" spans="1:9" ht="18">
      <c r="A65"/>
      <c r="B65"/>
      <c r="C65"/>
      <c r="D65"/>
      <c r="E65"/>
      <c r="F65"/>
      <c r="G65"/>
      <c r="H65"/>
      <c r="I65"/>
    </row>
    <row r="66" spans="1:9" ht="18">
      <c r="A66"/>
      <c r="B66"/>
      <c r="C66"/>
      <c r="D66"/>
      <c r="E66"/>
      <c r="F66"/>
      <c r="G66"/>
      <c r="H66"/>
      <c r="I66"/>
    </row>
    <row r="67" spans="1:9" ht="18">
      <c r="A67"/>
      <c r="B67"/>
      <c r="C67"/>
      <c r="D67"/>
      <c r="E67"/>
      <c r="F67"/>
      <c r="G67"/>
      <c r="H67"/>
      <c r="I67"/>
    </row>
    <row r="68" spans="1:9" ht="18">
      <c r="A68"/>
      <c r="B68"/>
      <c r="C68"/>
      <c r="D68"/>
      <c r="E68"/>
      <c r="F68"/>
      <c r="G68"/>
      <c r="H68"/>
      <c r="I68"/>
    </row>
    <row r="69" spans="1:9" ht="18">
      <c r="A69"/>
      <c r="B69"/>
      <c r="C69"/>
      <c r="D69"/>
      <c r="E69"/>
      <c r="F69"/>
      <c r="G69"/>
      <c r="H69"/>
      <c r="I69"/>
    </row>
    <row r="70" spans="1:9" ht="18">
      <c r="A70"/>
      <c r="B70"/>
      <c r="C70"/>
      <c r="D70"/>
      <c r="E70"/>
      <c r="F70"/>
      <c r="G70"/>
      <c r="H70"/>
      <c r="I70"/>
    </row>
    <row r="71" spans="1:9" ht="18">
      <c r="A71"/>
      <c r="B71"/>
      <c r="C71"/>
      <c r="D71"/>
      <c r="E71"/>
      <c r="F71"/>
      <c r="G71"/>
      <c r="H71"/>
      <c r="I71"/>
    </row>
    <row r="72" spans="1:9" ht="18">
      <c r="A72"/>
      <c r="B72"/>
      <c r="C72"/>
      <c r="D72"/>
      <c r="E72"/>
      <c r="F72"/>
      <c r="G72"/>
      <c r="H72"/>
      <c r="I72"/>
    </row>
    <row r="73" spans="1:9" ht="18">
      <c r="A73"/>
      <c r="B73"/>
      <c r="C73"/>
      <c r="D73"/>
      <c r="E73"/>
      <c r="F73"/>
      <c r="G73"/>
      <c r="H73"/>
      <c r="I73"/>
    </row>
    <row r="74" spans="1:9" ht="18">
      <c r="A74"/>
      <c r="B74"/>
      <c r="C74"/>
      <c r="D74"/>
      <c r="E74"/>
      <c r="F74"/>
      <c r="G74"/>
      <c r="H74"/>
      <c r="I74"/>
    </row>
    <row r="75" spans="1:9" ht="18">
      <c r="A75"/>
      <c r="B75"/>
      <c r="C75"/>
      <c r="D75"/>
      <c r="E75"/>
      <c r="F75"/>
      <c r="G75"/>
      <c r="H75"/>
      <c r="I75"/>
    </row>
    <row r="76" spans="1:9" ht="18">
      <c r="A76"/>
      <c r="B76"/>
      <c r="C76"/>
      <c r="D76"/>
      <c r="E76"/>
      <c r="F76"/>
      <c r="G76"/>
      <c r="H76"/>
      <c r="I76"/>
    </row>
    <row r="77" spans="1:9" ht="18">
      <c r="A77"/>
      <c r="B77"/>
      <c r="C77"/>
      <c r="D77"/>
      <c r="E77"/>
      <c r="F77"/>
      <c r="G77"/>
      <c r="H77"/>
      <c r="I77"/>
    </row>
    <row r="78" spans="1:9" ht="18">
      <c r="A78"/>
      <c r="B78"/>
      <c r="C78"/>
      <c r="D78"/>
      <c r="E78"/>
      <c r="F78"/>
      <c r="G78"/>
      <c r="H78"/>
      <c r="I78"/>
    </row>
    <row r="79" spans="1:9" ht="18">
      <c r="A79"/>
      <c r="B79"/>
      <c r="C79"/>
      <c r="D79"/>
      <c r="E79"/>
      <c r="F79"/>
      <c r="G79"/>
      <c r="H79"/>
      <c r="I79"/>
    </row>
    <row r="80" spans="1:9" ht="18">
      <c r="A80"/>
      <c r="B80"/>
      <c r="C80"/>
      <c r="D80"/>
      <c r="E80"/>
      <c r="F80"/>
      <c r="G80"/>
      <c r="H80"/>
      <c r="I80"/>
    </row>
    <row r="81" spans="1:9" ht="18">
      <c r="A81"/>
      <c r="B81"/>
      <c r="C81"/>
      <c r="D81"/>
      <c r="E81"/>
      <c r="F81"/>
      <c r="G81"/>
      <c r="H81"/>
      <c r="I81"/>
    </row>
    <row r="82" spans="1:9" ht="18">
      <c r="A82"/>
      <c r="B82"/>
      <c r="C82"/>
      <c r="D82"/>
      <c r="E82"/>
      <c r="F82"/>
      <c r="G82"/>
      <c r="H82"/>
      <c r="I82"/>
    </row>
    <row r="83" spans="1:9" ht="18">
      <c r="A83"/>
      <c r="B83"/>
      <c r="C83"/>
      <c r="D83"/>
      <c r="E83"/>
      <c r="F83"/>
      <c r="G83"/>
      <c r="H83"/>
      <c r="I83"/>
    </row>
    <row r="84" spans="1:9" ht="18">
      <c r="A84"/>
      <c r="B84"/>
      <c r="C84"/>
      <c r="D84"/>
      <c r="E84"/>
      <c r="F84"/>
      <c r="G84"/>
      <c r="H84"/>
      <c r="I84"/>
    </row>
    <row r="85" spans="1:9" ht="18">
      <c r="A85"/>
      <c r="B85"/>
      <c r="C85"/>
      <c r="D85"/>
      <c r="E85"/>
      <c r="F85"/>
      <c r="G85"/>
      <c r="H85"/>
      <c r="I85"/>
    </row>
    <row r="86" spans="1:9" ht="18">
      <c r="A86"/>
      <c r="B86"/>
      <c r="C86"/>
      <c r="D86"/>
      <c r="E86"/>
      <c r="F86"/>
      <c r="G86"/>
      <c r="H86"/>
      <c r="I86"/>
    </row>
    <row r="87" spans="1:9" ht="18">
      <c r="A87"/>
      <c r="B87"/>
      <c r="C87"/>
      <c r="D87"/>
      <c r="E87"/>
      <c r="F87"/>
      <c r="G87"/>
      <c r="H87"/>
      <c r="I87"/>
    </row>
    <row r="88" spans="1:9" ht="18">
      <c r="A88"/>
      <c r="B88"/>
      <c r="C88"/>
      <c r="D88"/>
      <c r="E88"/>
      <c r="F88"/>
      <c r="G88"/>
      <c r="H88"/>
      <c r="I88"/>
    </row>
    <row r="89" spans="1:9" ht="18">
      <c r="A89"/>
      <c r="B89"/>
      <c r="C89"/>
      <c r="D89"/>
      <c r="E89"/>
      <c r="F89"/>
      <c r="G89"/>
      <c r="H89"/>
      <c r="I89"/>
    </row>
    <row r="90" spans="1:9" ht="18">
      <c r="A90"/>
      <c r="B90"/>
      <c r="C90"/>
      <c r="D90"/>
      <c r="E90"/>
      <c r="F90"/>
      <c r="G90"/>
      <c r="H90"/>
      <c r="I90"/>
    </row>
    <row r="91" spans="1:9" ht="18">
      <c r="A91"/>
      <c r="B91"/>
      <c r="C91"/>
      <c r="D91"/>
      <c r="E91"/>
      <c r="F91"/>
      <c r="G91"/>
      <c r="H91"/>
      <c r="I91"/>
    </row>
    <row r="92" spans="1:9" ht="18">
      <c r="A92"/>
      <c r="B92"/>
      <c r="C92"/>
      <c r="D92"/>
      <c r="E92"/>
      <c r="F92"/>
      <c r="G92"/>
      <c r="H92"/>
      <c r="I92"/>
    </row>
    <row r="93" spans="1:9" ht="18">
      <c r="A93"/>
      <c r="B93"/>
      <c r="C93"/>
      <c r="D93"/>
      <c r="E93"/>
      <c r="F93"/>
      <c r="G93"/>
      <c r="H93"/>
      <c r="I93"/>
    </row>
    <row r="94" spans="1:9" ht="18">
      <c r="A94"/>
      <c r="B94"/>
      <c r="C94"/>
      <c r="D94"/>
      <c r="E94"/>
      <c r="F94"/>
      <c r="G94"/>
      <c r="H94"/>
      <c r="I94"/>
    </row>
    <row r="95" spans="1:9" ht="18">
      <c r="A95"/>
      <c r="B95"/>
      <c r="C95"/>
      <c r="D95"/>
      <c r="E95"/>
      <c r="F95"/>
      <c r="G95"/>
      <c r="H95"/>
      <c r="I95"/>
    </row>
    <row r="96" spans="1:9" ht="18">
      <c r="A96"/>
      <c r="B96"/>
      <c r="C96"/>
      <c r="D96"/>
      <c r="E96"/>
      <c r="F96"/>
      <c r="G96"/>
      <c r="H96"/>
      <c r="I96"/>
    </row>
    <row r="97" spans="1:9" ht="18">
      <c r="A97"/>
      <c r="B97"/>
      <c r="C97"/>
      <c r="D97"/>
      <c r="E97"/>
      <c r="F97"/>
      <c r="G97"/>
      <c r="H97"/>
      <c r="I97"/>
    </row>
    <row r="98" spans="1:9" ht="18">
      <c r="A98"/>
      <c r="B98"/>
      <c r="C98"/>
      <c r="D98"/>
      <c r="E98"/>
      <c r="F98"/>
      <c r="G98"/>
      <c r="H98"/>
      <c r="I98"/>
    </row>
    <row r="99" spans="1:9" ht="18">
      <c r="A99"/>
      <c r="B99"/>
      <c r="C99"/>
      <c r="D99"/>
      <c r="E99"/>
      <c r="F99"/>
      <c r="G99"/>
      <c r="H99"/>
      <c r="I99"/>
    </row>
    <row r="100" spans="1:9" ht="18">
      <c r="A100"/>
      <c r="B100"/>
      <c r="C100"/>
      <c r="D100"/>
      <c r="E100"/>
      <c r="F100"/>
      <c r="G100"/>
      <c r="H100"/>
      <c r="I100"/>
    </row>
    <row r="101" spans="1:9" ht="18">
      <c r="A101"/>
      <c r="B101"/>
      <c r="C101"/>
      <c r="D101"/>
      <c r="E101"/>
      <c r="F101"/>
      <c r="G101"/>
      <c r="H101"/>
      <c r="I101"/>
    </row>
    <row r="102" spans="1:9" ht="18">
      <c r="A102"/>
      <c r="B102"/>
      <c r="C102"/>
      <c r="D102"/>
      <c r="E102"/>
      <c r="F102"/>
      <c r="G102"/>
      <c r="H102"/>
      <c r="I102"/>
    </row>
    <row r="103" spans="1:9" ht="18">
      <c r="A103"/>
      <c r="B103"/>
      <c r="C103"/>
      <c r="D103"/>
      <c r="E103"/>
      <c r="F103"/>
      <c r="G103"/>
      <c r="H103"/>
      <c r="I103"/>
    </row>
    <row r="104" spans="1:9" ht="18">
      <c r="A104"/>
      <c r="B104"/>
      <c r="C104"/>
      <c r="D104"/>
      <c r="E104"/>
      <c r="F104"/>
      <c r="G104"/>
      <c r="H104"/>
      <c r="I104"/>
    </row>
    <row r="105" spans="1:9" ht="18">
      <c r="A105"/>
      <c r="B105"/>
      <c r="C105"/>
      <c r="D105"/>
      <c r="E105"/>
      <c r="F105"/>
      <c r="G105"/>
      <c r="H105"/>
      <c r="I105"/>
    </row>
    <row r="106" spans="1:9" ht="18">
      <c r="A106"/>
      <c r="B106"/>
      <c r="C106"/>
      <c r="D106"/>
      <c r="E106"/>
      <c r="F106"/>
      <c r="G106"/>
      <c r="H106"/>
      <c r="I106"/>
    </row>
    <row r="107" spans="1:9" ht="18">
      <c r="A107"/>
      <c r="B107"/>
      <c r="C107"/>
      <c r="D107"/>
      <c r="E107"/>
      <c r="F107"/>
      <c r="G107"/>
      <c r="H107"/>
      <c r="I107"/>
    </row>
    <row r="108" spans="1:9" ht="18">
      <c r="A108"/>
      <c r="B108"/>
      <c r="C108"/>
      <c r="D108"/>
      <c r="E108"/>
      <c r="F108"/>
      <c r="G108"/>
      <c r="H108"/>
      <c r="I108"/>
    </row>
    <row r="109" spans="1:9" ht="18">
      <c r="A109"/>
      <c r="B109"/>
      <c r="C109"/>
      <c r="D109"/>
      <c r="E109"/>
      <c r="F109"/>
      <c r="G109"/>
      <c r="H109"/>
      <c r="I109"/>
    </row>
    <row r="110" spans="1:9" ht="18">
      <c r="A110"/>
      <c r="B110"/>
      <c r="C110"/>
      <c r="D110"/>
      <c r="E110"/>
      <c r="F110"/>
      <c r="G110"/>
      <c r="H110"/>
      <c r="I110"/>
    </row>
    <row r="111" spans="1:9" ht="18">
      <c r="A111"/>
      <c r="B111"/>
      <c r="C111"/>
      <c r="D111"/>
      <c r="E111"/>
      <c r="F111"/>
      <c r="G111"/>
      <c r="H111"/>
      <c r="I111"/>
    </row>
    <row r="112" spans="1:9" ht="18">
      <c r="A112"/>
      <c r="B112"/>
      <c r="C112"/>
      <c r="D112"/>
      <c r="E112"/>
      <c r="F112"/>
      <c r="G112"/>
      <c r="H112"/>
      <c r="I112"/>
    </row>
    <row r="113" spans="1:9" ht="18">
      <c r="A113"/>
      <c r="B113"/>
      <c r="C113"/>
      <c r="D113"/>
      <c r="E113"/>
      <c r="F113"/>
      <c r="G113"/>
      <c r="H113"/>
      <c r="I113"/>
    </row>
    <row r="114" spans="1:9" ht="18">
      <c r="A114"/>
      <c r="B114"/>
      <c r="C114"/>
      <c r="D114"/>
      <c r="E114"/>
      <c r="F114"/>
      <c r="G114"/>
      <c r="H114"/>
      <c r="I114"/>
    </row>
    <row r="115" spans="1:9" ht="18">
      <c r="A115"/>
      <c r="B115"/>
      <c r="C115"/>
      <c r="D115"/>
      <c r="E115"/>
      <c r="F115"/>
      <c r="G115"/>
      <c r="H115"/>
      <c r="I115"/>
    </row>
    <row r="116" spans="1:9" ht="18">
      <c r="A116"/>
      <c r="B116"/>
      <c r="C116"/>
      <c r="D116"/>
      <c r="E116"/>
      <c r="F116"/>
      <c r="G116"/>
      <c r="H116"/>
      <c r="I116"/>
    </row>
    <row r="117" spans="1:9" ht="18">
      <c r="A117"/>
      <c r="B117"/>
      <c r="C117"/>
      <c r="D117"/>
      <c r="E117"/>
      <c r="F117"/>
      <c r="G117"/>
      <c r="H117"/>
      <c r="I117"/>
    </row>
    <row r="118" spans="1:9" ht="18">
      <c r="A118"/>
      <c r="B118"/>
      <c r="C118"/>
      <c r="D118"/>
      <c r="E118"/>
      <c r="F118"/>
      <c r="G118"/>
      <c r="H118"/>
      <c r="I118"/>
    </row>
    <row r="119" spans="1:9" ht="18">
      <c r="A119"/>
      <c r="B119"/>
      <c r="C119"/>
      <c r="D119"/>
      <c r="E119"/>
      <c r="F119"/>
      <c r="G119"/>
      <c r="H119"/>
      <c r="I119"/>
    </row>
    <row r="120" spans="1:9" ht="18">
      <c r="A120"/>
      <c r="B120"/>
      <c r="C120"/>
      <c r="D120"/>
      <c r="E120"/>
      <c r="F120"/>
      <c r="G120"/>
      <c r="H120"/>
      <c r="I120"/>
    </row>
    <row r="121" spans="1:9" ht="18">
      <c r="A121"/>
      <c r="B121"/>
      <c r="C121"/>
      <c r="D121"/>
      <c r="E121"/>
      <c r="F121"/>
      <c r="G121"/>
      <c r="H121"/>
      <c r="I121"/>
    </row>
    <row r="122" spans="1:9" ht="18">
      <c r="A122"/>
      <c r="B122"/>
      <c r="C122"/>
      <c r="D122"/>
      <c r="E122"/>
      <c r="F122"/>
      <c r="G122"/>
      <c r="H122"/>
      <c r="I122"/>
    </row>
    <row r="123" spans="1:9" ht="18">
      <c r="A123"/>
      <c r="B123"/>
      <c r="C123"/>
      <c r="D123"/>
      <c r="E123"/>
      <c r="F123"/>
      <c r="G123"/>
      <c r="H123"/>
      <c r="I123"/>
    </row>
    <row r="124" spans="1:9" ht="18">
      <c r="A124"/>
      <c r="B124"/>
      <c r="C124"/>
      <c r="D124"/>
      <c r="E124"/>
      <c r="F124"/>
      <c r="G124"/>
      <c r="H124"/>
      <c r="I124"/>
    </row>
    <row r="125" spans="1:9" ht="18">
      <c r="A125"/>
      <c r="B125"/>
      <c r="C125"/>
      <c r="D125"/>
      <c r="E125"/>
      <c r="F125"/>
      <c r="G125"/>
      <c r="H125"/>
      <c r="I125"/>
    </row>
    <row r="126" spans="1:9" ht="18">
      <c r="A126"/>
      <c r="B126"/>
      <c r="C126"/>
      <c r="D126"/>
      <c r="E126"/>
      <c r="F126"/>
      <c r="G126"/>
      <c r="H126"/>
      <c r="I126"/>
    </row>
    <row r="127" spans="1:9" ht="18">
      <c r="A127"/>
      <c r="B127"/>
      <c r="C127"/>
      <c r="D127"/>
      <c r="E127"/>
      <c r="F127"/>
      <c r="G127"/>
      <c r="H127"/>
      <c r="I127"/>
    </row>
    <row r="128" spans="1:9" ht="18">
      <c r="A128"/>
      <c r="B128"/>
      <c r="C128"/>
      <c r="D128"/>
      <c r="E128"/>
      <c r="F128"/>
      <c r="G128"/>
      <c r="H128"/>
      <c r="I128"/>
    </row>
    <row r="129" spans="1:9" ht="18">
      <c r="A129"/>
      <c r="B129"/>
      <c r="C129"/>
      <c r="D129"/>
      <c r="E129"/>
      <c r="F129"/>
      <c r="G129"/>
      <c r="H129"/>
      <c r="I129"/>
    </row>
    <row r="130" spans="1:9" ht="18">
      <c r="A130"/>
      <c r="B130"/>
      <c r="C130"/>
      <c r="D130"/>
      <c r="E130"/>
      <c r="F130"/>
      <c r="G130"/>
      <c r="H130"/>
      <c r="I130"/>
    </row>
    <row r="131" spans="1:9" ht="18">
      <c r="A131"/>
      <c r="B131"/>
      <c r="C131"/>
      <c r="D131"/>
      <c r="E131"/>
      <c r="F131"/>
      <c r="G131"/>
      <c r="H131"/>
      <c r="I131"/>
    </row>
    <row r="132" spans="1:9" ht="18">
      <c r="A132"/>
      <c r="B132"/>
      <c r="C132"/>
      <c r="D132"/>
      <c r="E132"/>
      <c r="F132"/>
      <c r="G132"/>
      <c r="H132"/>
      <c r="I132"/>
    </row>
    <row r="133" spans="1:9" ht="18">
      <c r="A133"/>
      <c r="B133"/>
      <c r="C133"/>
      <c r="D133"/>
      <c r="E133"/>
      <c r="F133"/>
      <c r="G133"/>
      <c r="H133"/>
      <c r="I133"/>
    </row>
    <row r="134" spans="1:9" ht="18">
      <c r="A134"/>
      <c r="B134"/>
      <c r="C134"/>
      <c r="D134"/>
      <c r="E134"/>
      <c r="F134"/>
      <c r="G134"/>
      <c r="H134"/>
      <c r="I134"/>
    </row>
    <row r="135" spans="1:9" ht="18">
      <c r="A135"/>
      <c r="B135"/>
      <c r="C135"/>
      <c r="D135"/>
      <c r="E135"/>
      <c r="F135"/>
      <c r="G135"/>
      <c r="H135"/>
      <c r="I135"/>
    </row>
    <row r="136" spans="1:9" ht="18">
      <c r="A136"/>
      <c r="B136"/>
      <c r="C136"/>
      <c r="D136"/>
      <c r="E136"/>
      <c r="F136"/>
      <c r="G136"/>
      <c r="H136"/>
      <c r="I136"/>
    </row>
    <row r="137" spans="1:9" ht="18">
      <c r="A137"/>
      <c r="B137"/>
      <c r="C137"/>
      <c r="D137"/>
      <c r="E137"/>
      <c r="F137"/>
      <c r="G137"/>
      <c r="H137"/>
      <c r="I137"/>
    </row>
    <row r="138" spans="1:9" ht="18">
      <c r="A138"/>
      <c r="B138"/>
      <c r="C138"/>
      <c r="D138"/>
      <c r="E138"/>
      <c r="F138"/>
      <c r="G138"/>
      <c r="H138"/>
      <c r="I138"/>
    </row>
    <row r="139" spans="1:9" ht="18">
      <c r="A139"/>
      <c r="B139"/>
      <c r="C139"/>
      <c r="D139"/>
      <c r="E139"/>
      <c r="F139"/>
      <c r="G139"/>
      <c r="H139"/>
      <c r="I139"/>
    </row>
    <row r="140" spans="1:9" ht="18">
      <c r="A140"/>
      <c r="B140"/>
      <c r="C140"/>
      <c r="D140"/>
      <c r="E140"/>
      <c r="F140"/>
      <c r="G140"/>
      <c r="H140"/>
      <c r="I140"/>
    </row>
    <row r="141" spans="1:9" ht="18">
      <c r="A141"/>
      <c r="B141"/>
      <c r="C141"/>
      <c r="D141"/>
      <c r="E141"/>
      <c r="F141"/>
      <c r="G141"/>
      <c r="H141"/>
      <c r="I141"/>
    </row>
    <row r="142" spans="1:9" ht="18">
      <c r="A142"/>
      <c r="B142"/>
      <c r="C142"/>
      <c r="D142"/>
      <c r="E142"/>
      <c r="F142"/>
      <c r="G142"/>
      <c r="H142"/>
      <c r="I142"/>
    </row>
    <row r="143" spans="1:9" ht="18">
      <c r="A143"/>
      <c r="B143"/>
      <c r="C143"/>
      <c r="D143"/>
      <c r="E143"/>
      <c r="F143"/>
      <c r="G143"/>
      <c r="H143"/>
      <c r="I143"/>
    </row>
    <row r="144" spans="1:9" ht="18">
      <c r="A144"/>
      <c r="B144"/>
      <c r="C144"/>
      <c r="D144"/>
      <c r="E144"/>
      <c r="F144"/>
      <c r="G144"/>
      <c r="H144"/>
      <c r="I144"/>
    </row>
    <row r="145" spans="1:9" ht="18">
      <c r="A145"/>
      <c r="B145"/>
      <c r="C145"/>
      <c r="D145"/>
      <c r="E145"/>
      <c r="F145"/>
      <c r="G145"/>
      <c r="H145"/>
      <c r="I145"/>
    </row>
    <row r="146" spans="1:9" ht="18">
      <c r="A146"/>
      <c r="B146"/>
      <c r="C146"/>
      <c r="D146"/>
      <c r="E146"/>
      <c r="F146"/>
      <c r="G146"/>
      <c r="H146"/>
      <c r="I146"/>
    </row>
    <row r="147" spans="1:9" ht="18">
      <c r="A147"/>
      <c r="B147"/>
      <c r="C147"/>
      <c r="D147"/>
      <c r="E147"/>
      <c r="F147"/>
      <c r="G147"/>
      <c r="H147"/>
      <c r="I147"/>
    </row>
    <row r="148" spans="1:9" ht="18">
      <c r="A148"/>
      <c r="B148"/>
      <c r="C148"/>
      <c r="D148"/>
      <c r="E148"/>
      <c r="F148"/>
      <c r="G148"/>
      <c r="H148"/>
      <c r="I148"/>
    </row>
    <row r="149" spans="1:9" ht="18">
      <c r="A149"/>
      <c r="B149"/>
      <c r="C149"/>
      <c r="D149"/>
      <c r="E149"/>
      <c r="F149"/>
      <c r="G149"/>
      <c r="H149"/>
      <c r="I149"/>
    </row>
    <row r="150" spans="1:9" ht="18">
      <c r="A150"/>
      <c r="B150"/>
      <c r="C150"/>
      <c r="D150"/>
      <c r="E150"/>
      <c r="F150"/>
      <c r="G150"/>
      <c r="H150"/>
      <c r="I150"/>
    </row>
    <row r="151" spans="1:9" ht="18">
      <c r="A151"/>
      <c r="B151"/>
      <c r="C151"/>
      <c r="D151"/>
      <c r="E151"/>
      <c r="F151"/>
      <c r="G151"/>
      <c r="H151"/>
      <c r="I151"/>
    </row>
    <row r="152" spans="1:9" ht="18">
      <c r="A152"/>
      <c r="B152"/>
      <c r="C152"/>
      <c r="D152"/>
      <c r="E152"/>
      <c r="F152"/>
      <c r="G152"/>
      <c r="H152"/>
      <c r="I152"/>
    </row>
    <row r="153" spans="1:9" ht="18">
      <c r="A153"/>
      <c r="B153"/>
      <c r="C153"/>
      <c r="D153"/>
      <c r="E153"/>
      <c r="F153"/>
      <c r="G153"/>
      <c r="H153"/>
      <c r="I153"/>
    </row>
    <row r="154" spans="1:9" ht="18">
      <c r="A154"/>
      <c r="B154"/>
      <c r="C154"/>
      <c r="D154"/>
      <c r="E154"/>
      <c r="F154"/>
      <c r="G154"/>
      <c r="H154"/>
      <c r="I154"/>
    </row>
    <row r="155" spans="1:9" ht="18">
      <c r="A155"/>
      <c r="B155"/>
      <c r="C155"/>
      <c r="D155"/>
      <c r="E155"/>
      <c r="F155"/>
      <c r="G155"/>
      <c r="H155"/>
      <c r="I155"/>
    </row>
    <row r="156" spans="1:9" ht="18">
      <c r="A156"/>
      <c r="B156"/>
      <c r="C156"/>
      <c r="D156"/>
      <c r="E156"/>
      <c r="F156"/>
      <c r="G156"/>
      <c r="H156"/>
      <c r="I156"/>
    </row>
    <row r="157" spans="1:9" ht="18">
      <c r="A157"/>
      <c r="B157"/>
      <c r="C157"/>
      <c r="D157"/>
      <c r="E157"/>
      <c r="F157"/>
      <c r="G157"/>
      <c r="H157"/>
      <c r="I157"/>
    </row>
    <row r="158" spans="1:9" ht="18">
      <c r="A158"/>
      <c r="B158"/>
      <c r="C158"/>
      <c r="D158"/>
      <c r="E158"/>
      <c r="F158"/>
      <c r="G158"/>
      <c r="H158"/>
      <c r="I158"/>
    </row>
    <row r="159" spans="1:9" ht="18">
      <c r="A159"/>
      <c r="B159"/>
      <c r="C159"/>
      <c r="D159"/>
      <c r="E159"/>
      <c r="F159"/>
      <c r="G159"/>
      <c r="H159"/>
      <c r="I159"/>
    </row>
    <row r="160" spans="1:9" ht="18">
      <c r="A160"/>
      <c r="B160"/>
      <c r="C160"/>
      <c r="D160"/>
      <c r="E160"/>
      <c r="F160"/>
      <c r="G160"/>
      <c r="H160"/>
      <c r="I160"/>
    </row>
    <row r="161" spans="1:9" ht="18">
      <c r="A161"/>
      <c r="B161"/>
      <c r="C161"/>
      <c r="D161"/>
      <c r="E161"/>
      <c r="F161"/>
      <c r="G161"/>
      <c r="H161"/>
      <c r="I161"/>
    </row>
    <row r="162" spans="1:9" ht="18">
      <c r="A162"/>
      <c r="B162"/>
      <c r="C162"/>
      <c r="D162"/>
      <c r="E162"/>
      <c r="F162"/>
      <c r="G162"/>
      <c r="H162"/>
      <c r="I162"/>
    </row>
    <row r="163" spans="1:9" ht="18">
      <c r="A163"/>
      <c r="B163"/>
      <c r="C163"/>
      <c r="D163"/>
      <c r="E163"/>
      <c r="F163"/>
      <c r="G163"/>
      <c r="H163"/>
      <c r="I163"/>
    </row>
    <row r="164" spans="1:9" ht="18">
      <c r="A164"/>
      <c r="B164"/>
      <c r="C164"/>
      <c r="D164"/>
      <c r="E164"/>
      <c r="F164"/>
      <c r="G164"/>
      <c r="H164"/>
      <c r="I164"/>
    </row>
    <row r="165" spans="1:9" ht="18">
      <c r="A165"/>
      <c r="B165"/>
      <c r="C165"/>
      <c r="D165"/>
      <c r="E165"/>
      <c r="F165"/>
      <c r="G165"/>
      <c r="H165"/>
      <c r="I165"/>
    </row>
    <row r="166" spans="1:9" ht="18">
      <c r="A166"/>
      <c r="B166"/>
      <c r="C166"/>
      <c r="D166"/>
      <c r="E166"/>
      <c r="F166"/>
      <c r="G166"/>
      <c r="H166"/>
      <c r="I166"/>
    </row>
    <row r="167" spans="1:9" ht="18">
      <c r="A167"/>
      <c r="B167"/>
      <c r="C167"/>
      <c r="D167"/>
      <c r="E167"/>
      <c r="F167"/>
      <c r="G167"/>
      <c r="H167"/>
      <c r="I167"/>
    </row>
    <row r="168" spans="1:9" ht="18">
      <c r="A168"/>
      <c r="B168"/>
      <c r="C168"/>
      <c r="D168"/>
      <c r="E168"/>
      <c r="F168"/>
      <c r="G168"/>
      <c r="H168"/>
      <c r="I168"/>
    </row>
    <row r="169" spans="1:9" ht="18">
      <c r="A169"/>
      <c r="B169"/>
      <c r="C169"/>
      <c r="D169"/>
      <c r="E169"/>
      <c r="F169"/>
      <c r="G169"/>
      <c r="H169"/>
      <c r="I169"/>
    </row>
    <row r="170" spans="1:9" ht="18">
      <c r="A170"/>
      <c r="B170"/>
      <c r="C170"/>
      <c r="D170"/>
      <c r="E170"/>
      <c r="F170"/>
      <c r="G170"/>
      <c r="H170"/>
      <c r="I170"/>
    </row>
    <row r="171" spans="1:9" ht="18">
      <c r="A171"/>
      <c r="B171"/>
      <c r="C171"/>
      <c r="D171"/>
      <c r="E171"/>
      <c r="F171"/>
      <c r="G171"/>
      <c r="H171"/>
      <c r="I171"/>
    </row>
    <row r="172" spans="1:9" ht="18">
      <c r="A172"/>
      <c r="B172"/>
      <c r="C172"/>
      <c r="D172"/>
      <c r="E172"/>
      <c r="F172"/>
      <c r="G172"/>
      <c r="H172"/>
      <c r="I172"/>
    </row>
    <row r="173" spans="1:9" ht="18">
      <c r="A173"/>
      <c r="B173"/>
      <c r="C173"/>
      <c r="D173"/>
      <c r="E173"/>
      <c r="F173"/>
      <c r="G173"/>
      <c r="H173"/>
      <c r="I173"/>
    </row>
    <row r="174" spans="1:9" ht="18">
      <c r="A174"/>
      <c r="B174"/>
      <c r="C174"/>
      <c r="D174"/>
      <c r="E174"/>
      <c r="F174"/>
      <c r="G174"/>
      <c r="H174"/>
      <c r="I174"/>
    </row>
    <row r="175" spans="1:9" ht="18">
      <c r="A175"/>
      <c r="B175"/>
      <c r="C175"/>
      <c r="D175"/>
      <c r="E175"/>
      <c r="F175"/>
      <c r="G175"/>
      <c r="H175"/>
      <c r="I175"/>
    </row>
    <row r="176" spans="1:9" ht="18">
      <c r="A176"/>
      <c r="B176"/>
      <c r="C176"/>
      <c r="D176"/>
      <c r="E176"/>
      <c r="F176"/>
      <c r="G176"/>
      <c r="H176"/>
      <c r="I176"/>
    </row>
    <row r="177" spans="1:9" ht="18">
      <c r="A177"/>
      <c r="B177"/>
      <c r="C177"/>
      <c r="D177"/>
      <c r="E177"/>
      <c r="F177"/>
      <c r="G177"/>
      <c r="H177"/>
      <c r="I177"/>
    </row>
    <row r="178" spans="1:9" ht="18">
      <c r="A178"/>
      <c r="B178"/>
      <c r="C178"/>
      <c r="D178"/>
      <c r="E178"/>
      <c r="F178"/>
      <c r="G178"/>
      <c r="H178"/>
      <c r="I178"/>
    </row>
    <row r="179" spans="1:9" ht="18">
      <c r="A179"/>
      <c r="B179"/>
      <c r="C179"/>
      <c r="D179"/>
      <c r="E179"/>
      <c r="F179"/>
      <c r="G179"/>
      <c r="H179"/>
      <c r="I179"/>
    </row>
    <row r="180" spans="1:9" ht="18">
      <c r="A180"/>
      <c r="B180"/>
      <c r="C180"/>
      <c r="D180"/>
      <c r="E180"/>
      <c r="F180"/>
      <c r="G180"/>
      <c r="H180"/>
      <c r="I180"/>
    </row>
    <row r="181" spans="1:9" ht="18">
      <c r="A181"/>
      <c r="B181"/>
      <c r="C181"/>
      <c r="D181"/>
      <c r="E181"/>
      <c r="F181"/>
      <c r="G181"/>
      <c r="H181"/>
      <c r="I181"/>
    </row>
    <row r="182" spans="1:9" ht="18">
      <c r="A182"/>
      <c r="B182"/>
      <c r="C182"/>
      <c r="D182"/>
      <c r="E182"/>
      <c r="F182"/>
      <c r="G182"/>
      <c r="H182"/>
      <c r="I182"/>
    </row>
    <row r="183" spans="1:9" ht="18">
      <c r="A183"/>
      <c r="B183"/>
      <c r="C183"/>
      <c r="D183"/>
      <c r="E183"/>
      <c r="F183"/>
      <c r="G183"/>
      <c r="H183"/>
      <c r="I183"/>
    </row>
    <row r="184" spans="1:9" ht="18">
      <c r="A184"/>
      <c r="B184"/>
      <c r="C184"/>
      <c r="D184"/>
      <c r="E184"/>
      <c r="F184"/>
      <c r="G184"/>
      <c r="H184"/>
      <c r="I184"/>
    </row>
    <row r="185" spans="1:9" ht="18">
      <c r="A185"/>
      <c r="B185"/>
      <c r="C185"/>
      <c r="D185"/>
      <c r="E185"/>
      <c r="F185"/>
      <c r="G185"/>
      <c r="H185"/>
      <c r="I185"/>
    </row>
    <row r="186" spans="1:9" ht="18">
      <c r="A186"/>
      <c r="B186"/>
      <c r="C186"/>
      <c r="D186"/>
      <c r="E186"/>
      <c r="F186"/>
      <c r="G186"/>
      <c r="H186"/>
      <c r="I186"/>
    </row>
    <row r="187" spans="1:9" ht="18">
      <c r="A187"/>
      <c r="B187"/>
      <c r="C187"/>
      <c r="D187"/>
      <c r="E187"/>
      <c r="F187"/>
      <c r="G187"/>
      <c r="H187"/>
      <c r="I187"/>
    </row>
    <row r="188" spans="1:9" ht="18">
      <c r="A188"/>
      <c r="B188"/>
      <c r="C188"/>
      <c r="D188"/>
      <c r="E188"/>
      <c r="F188"/>
      <c r="G188"/>
      <c r="H188"/>
      <c r="I188"/>
    </row>
    <row r="189" spans="1:9" ht="18">
      <c r="A189"/>
      <c r="B189"/>
      <c r="C189"/>
      <c r="D189"/>
      <c r="E189"/>
      <c r="F189"/>
      <c r="G189"/>
      <c r="H189"/>
      <c r="I189"/>
    </row>
    <row r="190" spans="1:9" ht="18">
      <c r="A190"/>
      <c r="B190"/>
      <c r="C190"/>
      <c r="D190"/>
      <c r="E190"/>
      <c r="F190"/>
      <c r="G190"/>
      <c r="H190"/>
      <c r="I190"/>
    </row>
    <row r="191" spans="1:9" ht="18">
      <c r="A191"/>
      <c r="B191"/>
      <c r="C191"/>
      <c r="D191"/>
      <c r="E191"/>
      <c r="F191"/>
      <c r="G191"/>
      <c r="H191"/>
      <c r="I191"/>
    </row>
    <row r="192" spans="1:9" ht="18">
      <c r="A192"/>
      <c r="B192"/>
      <c r="C192"/>
      <c r="D192"/>
      <c r="E192"/>
      <c r="F192"/>
      <c r="G192"/>
      <c r="H192"/>
      <c r="I192"/>
    </row>
    <row r="193" spans="1:9" ht="18">
      <c r="A193"/>
      <c r="B193"/>
      <c r="C193"/>
      <c r="D193"/>
      <c r="E193"/>
      <c r="F193"/>
      <c r="G193"/>
      <c r="H193"/>
      <c r="I193"/>
    </row>
    <row r="194" spans="1:9" ht="18">
      <c r="A194"/>
      <c r="B194"/>
      <c r="C194"/>
      <c r="D194"/>
      <c r="E194"/>
      <c r="F194"/>
      <c r="G194"/>
      <c r="H194"/>
      <c r="I194"/>
    </row>
    <row r="195" spans="1:9" ht="18">
      <c r="A195"/>
      <c r="B195"/>
      <c r="C195"/>
      <c r="D195"/>
      <c r="E195"/>
      <c r="F195"/>
      <c r="G195"/>
      <c r="H195"/>
      <c r="I195"/>
    </row>
    <row r="196" spans="1:9" ht="18">
      <c r="A196"/>
      <c r="B196"/>
      <c r="C196"/>
      <c r="D196"/>
      <c r="E196"/>
      <c r="F196"/>
      <c r="G196"/>
      <c r="H196"/>
      <c r="I196"/>
    </row>
    <row r="197" spans="1:9" ht="18">
      <c r="A197"/>
      <c r="B197"/>
      <c r="C197"/>
      <c r="D197"/>
      <c r="E197"/>
      <c r="F197"/>
      <c r="G197"/>
      <c r="H197"/>
      <c r="I197"/>
    </row>
    <row r="198" spans="1:9" ht="18">
      <c r="A198"/>
      <c r="B198"/>
      <c r="C198"/>
      <c r="D198"/>
      <c r="E198"/>
      <c r="F198"/>
      <c r="G198"/>
      <c r="H198"/>
      <c r="I198"/>
    </row>
    <row r="199" spans="1:9" ht="18">
      <c r="A199"/>
      <c r="B199"/>
      <c r="C199"/>
      <c r="D199"/>
      <c r="E199"/>
      <c r="F199"/>
      <c r="G199"/>
      <c r="H199"/>
      <c r="I199"/>
    </row>
    <row r="200" spans="1:9" ht="18">
      <c r="A200"/>
      <c r="B200"/>
      <c r="C200"/>
      <c r="D200"/>
      <c r="E200"/>
      <c r="F200"/>
      <c r="G200"/>
      <c r="H200"/>
      <c r="I200"/>
    </row>
    <row r="201" spans="1:9" ht="18">
      <c r="A201"/>
      <c r="B201"/>
      <c r="C201"/>
      <c r="D201"/>
      <c r="E201"/>
      <c r="F201"/>
      <c r="G201"/>
      <c r="H201"/>
      <c r="I201"/>
    </row>
    <row r="202" spans="1:9" ht="18">
      <c r="A202"/>
      <c r="B202"/>
      <c r="C202"/>
      <c r="D202"/>
      <c r="E202"/>
      <c r="F202"/>
      <c r="G202"/>
      <c r="H202"/>
      <c r="I202"/>
    </row>
    <row r="203" spans="1:9" ht="18">
      <c r="A203"/>
      <c r="B203"/>
      <c r="C203"/>
      <c r="D203"/>
      <c r="E203"/>
      <c r="F203"/>
      <c r="G203"/>
      <c r="H203"/>
      <c r="I203"/>
    </row>
    <row r="204" spans="1:9" ht="18">
      <c r="A204"/>
      <c r="B204"/>
      <c r="C204"/>
      <c r="D204"/>
      <c r="E204"/>
      <c r="F204"/>
      <c r="G204"/>
      <c r="H204"/>
      <c r="I204"/>
    </row>
    <row r="205" spans="1:9" ht="18">
      <c r="A205"/>
      <c r="B205"/>
      <c r="C205"/>
      <c r="D205"/>
      <c r="E205"/>
      <c r="F205"/>
      <c r="G205"/>
      <c r="H205"/>
      <c r="I205"/>
    </row>
    <row r="206" spans="1:9" ht="18">
      <c r="A206"/>
      <c r="B206"/>
      <c r="C206"/>
      <c r="D206"/>
      <c r="E206"/>
      <c r="F206"/>
      <c r="G206"/>
      <c r="H206"/>
      <c r="I206"/>
    </row>
    <row r="207" spans="1:9" ht="18">
      <c r="A207"/>
      <c r="B207"/>
      <c r="C207"/>
      <c r="D207"/>
      <c r="E207"/>
      <c r="F207"/>
      <c r="G207"/>
      <c r="H207"/>
      <c r="I207"/>
    </row>
    <row r="208" spans="1:9" ht="18">
      <c r="A208"/>
      <c r="B208"/>
      <c r="C208"/>
      <c r="D208"/>
      <c r="E208"/>
      <c r="F208"/>
      <c r="G208"/>
      <c r="H208"/>
      <c r="I208"/>
    </row>
    <row r="209" spans="1:9" ht="18">
      <c r="A209"/>
      <c r="B209"/>
      <c r="C209"/>
      <c r="D209"/>
      <c r="E209"/>
      <c r="F209"/>
      <c r="G209"/>
      <c r="H209"/>
      <c r="I209"/>
    </row>
    <row r="210" spans="1:9" ht="18">
      <c r="A210"/>
      <c r="B210"/>
      <c r="C210"/>
      <c r="D210"/>
      <c r="E210"/>
      <c r="F210"/>
      <c r="G210"/>
      <c r="H210"/>
      <c r="I210"/>
    </row>
    <row r="211" spans="1:9" ht="18">
      <c r="A211"/>
      <c r="B211"/>
      <c r="C211"/>
      <c r="D211"/>
      <c r="E211"/>
      <c r="F211"/>
      <c r="G211"/>
      <c r="H211"/>
      <c r="I211"/>
    </row>
    <row r="212" spans="1:9" ht="18">
      <c r="A212"/>
      <c r="B212"/>
      <c r="C212"/>
      <c r="D212"/>
      <c r="E212"/>
      <c r="F212"/>
      <c r="G212"/>
      <c r="H212"/>
      <c r="I212"/>
    </row>
    <row r="213" spans="1:9" ht="18">
      <c r="A213"/>
      <c r="B213"/>
      <c r="C213"/>
      <c r="D213"/>
      <c r="E213"/>
      <c r="F213"/>
      <c r="G213"/>
      <c r="H213"/>
      <c r="I213"/>
    </row>
    <row r="214" spans="1:9" ht="18">
      <c r="A214"/>
      <c r="B214"/>
      <c r="C214"/>
      <c r="D214"/>
      <c r="E214"/>
      <c r="F214"/>
      <c r="G214"/>
      <c r="H214"/>
      <c r="I214"/>
    </row>
    <row r="215" spans="1:9" ht="18">
      <c r="A215"/>
      <c r="B215"/>
      <c r="C215"/>
      <c r="D215"/>
      <c r="E215"/>
      <c r="F215"/>
      <c r="G215"/>
      <c r="H215"/>
      <c r="I215"/>
    </row>
    <row r="216" spans="1:9" ht="18">
      <c r="A216"/>
      <c r="B216"/>
      <c r="C216"/>
      <c r="D216"/>
      <c r="E216"/>
      <c r="F216"/>
      <c r="G216"/>
      <c r="H216"/>
      <c r="I216"/>
    </row>
    <row r="217" spans="1:9" ht="18">
      <c r="A217"/>
      <c r="B217"/>
      <c r="C217"/>
      <c r="D217"/>
      <c r="E217"/>
      <c r="F217"/>
      <c r="G217"/>
      <c r="H217"/>
      <c r="I217"/>
    </row>
    <row r="218" spans="1:9" ht="18">
      <c r="A218"/>
      <c r="B218"/>
      <c r="C218"/>
      <c r="D218"/>
      <c r="E218"/>
      <c r="F218"/>
      <c r="G218"/>
      <c r="H218"/>
      <c r="I218"/>
    </row>
    <row r="219" spans="1:9" ht="18">
      <c r="A219"/>
      <c r="B219"/>
      <c r="C219"/>
      <c r="D219"/>
      <c r="E219"/>
      <c r="F219"/>
      <c r="G219"/>
      <c r="H219"/>
      <c r="I219"/>
    </row>
    <row r="220" spans="1:9" ht="18">
      <c r="A220"/>
      <c r="B220"/>
      <c r="C220"/>
      <c r="D220"/>
      <c r="E220"/>
      <c r="F220"/>
      <c r="G220"/>
      <c r="H220"/>
      <c r="I220"/>
    </row>
    <row r="221" spans="1:9" ht="18">
      <c r="A221"/>
      <c r="B221"/>
      <c r="C221"/>
      <c r="D221"/>
      <c r="E221"/>
      <c r="F221"/>
      <c r="G221"/>
      <c r="H221"/>
      <c r="I221"/>
    </row>
    <row r="222" spans="1:9" ht="18">
      <c r="A222"/>
      <c r="B222"/>
      <c r="C222"/>
      <c r="D222"/>
      <c r="E222"/>
      <c r="F222"/>
      <c r="G222"/>
      <c r="H222"/>
      <c r="I222"/>
    </row>
    <row r="223" spans="1:9" ht="18">
      <c r="A223"/>
      <c r="B223"/>
      <c r="C223"/>
      <c r="D223"/>
      <c r="E223"/>
      <c r="F223"/>
      <c r="G223"/>
      <c r="H223"/>
      <c r="I223"/>
    </row>
    <row r="224" spans="1:9" ht="18">
      <c r="A224"/>
      <c r="B224"/>
      <c r="C224"/>
      <c r="D224"/>
      <c r="E224"/>
      <c r="F224"/>
      <c r="G224"/>
      <c r="H224"/>
      <c r="I224"/>
    </row>
    <row r="225" spans="1:9" ht="18">
      <c r="A225"/>
      <c r="B225"/>
      <c r="C225"/>
      <c r="D225"/>
      <c r="E225"/>
      <c r="F225"/>
      <c r="G225"/>
      <c r="H225"/>
      <c r="I225"/>
    </row>
    <row r="226" spans="1:9" ht="18">
      <c r="A226"/>
      <c r="B226"/>
      <c r="C226"/>
      <c r="D226"/>
      <c r="E226"/>
      <c r="F226"/>
      <c r="G226"/>
      <c r="H226"/>
      <c r="I226"/>
    </row>
    <row r="227" spans="1:9" ht="18">
      <c r="A227"/>
      <c r="B227"/>
      <c r="C227"/>
      <c r="D227"/>
      <c r="E227"/>
      <c r="F227"/>
      <c r="G227"/>
      <c r="H227"/>
      <c r="I227"/>
    </row>
    <row r="228" spans="1:9" ht="18">
      <c r="A228"/>
      <c r="B228"/>
      <c r="C228"/>
      <c r="D228"/>
      <c r="E228"/>
      <c r="F228"/>
      <c r="G228"/>
      <c r="H228"/>
      <c r="I228"/>
    </row>
    <row r="229" spans="1:9" ht="18">
      <c r="A229"/>
      <c r="B229"/>
      <c r="C229"/>
      <c r="D229"/>
      <c r="E229"/>
      <c r="F229"/>
      <c r="G229"/>
      <c r="H229"/>
      <c r="I229"/>
    </row>
    <row r="230" spans="1:9" ht="18">
      <c r="A230"/>
      <c r="B230"/>
      <c r="C230"/>
      <c r="D230"/>
      <c r="E230"/>
      <c r="F230"/>
      <c r="G230"/>
      <c r="H230"/>
      <c r="I230"/>
    </row>
    <row r="231" spans="1:9" ht="18">
      <c r="A231"/>
      <c r="B231"/>
      <c r="C231"/>
      <c r="D231"/>
      <c r="E231"/>
      <c r="F231"/>
      <c r="G231"/>
      <c r="H231"/>
      <c r="I231"/>
    </row>
    <row r="232" spans="1:9" ht="18">
      <c r="A232"/>
      <c r="B232"/>
      <c r="C232"/>
      <c r="D232"/>
      <c r="E232"/>
      <c r="F232"/>
      <c r="G232"/>
      <c r="H232"/>
      <c r="I232"/>
    </row>
    <row r="233" spans="1:9" ht="18">
      <c r="A233"/>
      <c r="B233"/>
      <c r="C233"/>
      <c r="D233"/>
      <c r="E233"/>
      <c r="F233"/>
      <c r="G233"/>
      <c r="H233"/>
      <c r="I233"/>
    </row>
    <row r="234" spans="1:9" ht="18">
      <c r="A234"/>
      <c r="B234"/>
      <c r="C234"/>
      <c r="D234"/>
      <c r="E234"/>
      <c r="F234"/>
      <c r="G234"/>
      <c r="H234"/>
      <c r="I234"/>
    </row>
    <row r="235" spans="1:9" ht="18">
      <c r="A235"/>
      <c r="B235"/>
      <c r="C235"/>
      <c r="D235"/>
      <c r="E235"/>
      <c r="F235"/>
      <c r="G235"/>
      <c r="H235"/>
      <c r="I235"/>
    </row>
    <row r="236" spans="1:9" ht="18">
      <c r="A236"/>
      <c r="B236"/>
      <c r="C236"/>
      <c r="D236"/>
      <c r="E236"/>
      <c r="F236"/>
      <c r="G236"/>
      <c r="H236"/>
      <c r="I236"/>
    </row>
  </sheetData>
  <phoneticPr fontId="2"/>
  <dataValidations count="2">
    <dataValidation imeMode="off" allowBlank="1" showInputMessage="1" showErrorMessage="1" sqref="C1" xr:uid="{0D94F6C1-2E33-4194-8779-14982C4AB622}"/>
    <dataValidation imeMode="on" allowBlank="1" showInputMessage="1" showErrorMessage="1" sqref="F1 A1" xr:uid="{A66CFEAB-0DBB-4B38-9C11-BD43A5A81294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dex_sht"/>
  <dimension ref="A1:J101"/>
  <sheetViews>
    <sheetView showGridLines="0" workbookViewId="0">
      <pane ySplit="1" topLeftCell="A2" activePane="bottomLeft" state="frozen"/>
      <selection pane="bottomLeft" activeCell="G7" sqref="G7"/>
    </sheetView>
  </sheetViews>
  <sheetFormatPr defaultRowHeight="18"/>
  <cols>
    <col min="1" max="1" width="4.1640625" bestFit="1" customWidth="1"/>
    <col min="3" max="3" width="14.4140625" customWidth="1"/>
    <col min="4" max="5" width="31.33203125" customWidth="1"/>
    <col min="6" max="6" width="11.83203125" bestFit="1" customWidth="1"/>
    <col min="8" max="10" width="8.6640625" style="28" hidden="1" customWidth="1"/>
    <col min="11" max="11" width="8.6640625" customWidth="1"/>
  </cols>
  <sheetData>
    <row r="1" spans="1:10">
      <c r="A1" s="2" t="s">
        <v>12</v>
      </c>
      <c r="B1" s="4"/>
      <c r="C1" s="4" t="s">
        <v>40</v>
      </c>
      <c r="D1" s="4" t="s">
        <v>35</v>
      </c>
      <c r="E1" s="32" t="s">
        <v>39</v>
      </c>
      <c r="F1" s="94">
        <f ca="1">SUM($F$2:$F$101)</f>
        <v>0</v>
      </c>
      <c r="H1" s="27" t="s">
        <v>38</v>
      </c>
      <c r="I1" s="27" t="s">
        <v>36</v>
      </c>
      <c r="J1" s="27" t="s">
        <v>37</v>
      </c>
    </row>
    <row r="2" spans="1:10">
      <c r="A2" s="21">
        <f>ROW()-1</f>
        <v>1</v>
      </c>
      <c r="B2" s="29">
        <f ca="1">IF(AND(I2,NOT(J2),NOT(H2)),1,0)</f>
        <v>0</v>
      </c>
      <c r="C2" s="33" t="s">
        <v>49</v>
      </c>
      <c r="D2" s="22" t="s">
        <v>49</v>
      </c>
      <c r="E2" s="22" t="s">
        <v>154</v>
      </c>
      <c r="F2" s="91">
        <f ca="1">得意先!ERRORS</f>
        <v>0</v>
      </c>
      <c r="G2" s="54"/>
      <c r="H2" s="28" t="b">
        <f>NOT(C2="")</f>
        <v>1</v>
      </c>
      <c r="I2" s="28" t="b">
        <f>AND(D2&lt;&gt;"",E2&lt;&gt;"")</f>
        <v>1</v>
      </c>
      <c r="J2" s="28" t="b" cm="1">
        <f t="array" aca="1" ref="J2" ca="1">OR(COUNTIF(DATA_AREA_JP,D2)&gt;1,COUNTIF(DATA_AREA_EN,E2)&gt;1)</f>
        <v>0</v>
      </c>
    </row>
    <row r="3" spans="1:10">
      <c r="A3" s="23">
        <f t="shared" ref="A3:A66" si="0">ROW()-1</f>
        <v>2</v>
      </c>
      <c r="B3" s="30">
        <f t="shared" ref="B3:B66" ca="1" si="1">IF(AND(I3,NOT(J3),NOT(H3)),1,0)</f>
        <v>0</v>
      </c>
      <c r="C3" s="33" t="s">
        <v>50</v>
      </c>
      <c r="D3" s="24" t="s">
        <v>50</v>
      </c>
      <c r="E3" s="24" t="s">
        <v>48</v>
      </c>
      <c r="F3" s="92">
        <f ca="1">受注!ERRORS</f>
        <v>0</v>
      </c>
      <c r="G3" s="54"/>
      <c r="H3" s="28" t="b">
        <f t="shared" ref="H3:H66" si="2">NOT(C3="")</f>
        <v>1</v>
      </c>
      <c r="I3" s="28" t="b">
        <f t="shared" ref="I3:I66" si="3">AND(D3&lt;&gt;"",E3&lt;&gt;"")</f>
        <v>1</v>
      </c>
      <c r="J3" s="28" t="b" cm="1">
        <f t="array" aca="1" ref="J3" ca="1">OR(COUNTIF(DATA_AREA_JP,D3)&gt;1,COUNTIF(DATA_AREA_EN,E3)&gt;1)</f>
        <v>0</v>
      </c>
    </row>
    <row r="4" spans="1:10">
      <c r="A4" s="23">
        <f t="shared" si="0"/>
        <v>3</v>
      </c>
      <c r="B4" s="30">
        <f ca="1">IF(AND(I4,NOT(J4),NOT(H4)),1,0)</f>
        <v>0</v>
      </c>
      <c r="C4" s="33" t="s">
        <v>56</v>
      </c>
      <c r="D4" s="24" t="s">
        <v>56</v>
      </c>
      <c r="E4" s="24" t="s">
        <v>57</v>
      </c>
      <c r="F4" s="92">
        <f ca="1">受注明細!ERRORS</f>
        <v>0</v>
      </c>
      <c r="H4" s="28" t="b">
        <f t="shared" si="2"/>
        <v>1</v>
      </c>
      <c r="I4" s="28" t="b">
        <f t="shared" si="3"/>
        <v>1</v>
      </c>
      <c r="J4" s="28" t="b" cm="1">
        <f t="array" aca="1" ref="J4" ca="1">OR(COUNTIF(DATA_AREA_JP,D4)&gt;1,COUNTIF(DATA_AREA_EN,E4)&gt;1)</f>
        <v>0</v>
      </c>
    </row>
    <row r="5" spans="1:10">
      <c r="A5" s="23">
        <f t="shared" si="0"/>
        <v>4</v>
      </c>
      <c r="B5" s="30">
        <f ca="1">IF(AND(I5,NOT(J5),NOT(H5)),1,0)</f>
        <v>0</v>
      </c>
      <c r="C5" s="33"/>
      <c r="D5" s="24"/>
      <c r="E5" s="24"/>
      <c r="F5" s="92"/>
      <c r="H5" s="28" t="b">
        <f t="shared" si="2"/>
        <v>0</v>
      </c>
      <c r="I5" s="28" t="b">
        <f t="shared" si="3"/>
        <v>0</v>
      </c>
      <c r="J5" s="28" t="b" cm="1">
        <f t="array" aca="1" ref="J5" ca="1">OR(COUNTIF(DATA_AREA_JP,D5)&gt;1,COUNTIF(DATA_AREA_EN,E5)&gt;1)</f>
        <v>0</v>
      </c>
    </row>
    <row r="6" spans="1:10">
      <c r="A6" s="23">
        <f t="shared" si="0"/>
        <v>5</v>
      </c>
      <c r="B6" s="30">
        <f t="shared" ca="1" si="1"/>
        <v>0</v>
      </c>
      <c r="C6" s="23"/>
      <c r="D6" s="24"/>
      <c r="E6" s="24"/>
      <c r="F6" s="92"/>
      <c r="H6" s="28" t="b">
        <f t="shared" si="2"/>
        <v>0</v>
      </c>
      <c r="I6" s="28" t="b">
        <f t="shared" si="3"/>
        <v>0</v>
      </c>
      <c r="J6" s="28" t="b" cm="1">
        <f t="array" aca="1" ref="J6" ca="1">OR(COUNTIF(DATA_AREA_JP,D6)&gt;1,COUNTIF(DATA_AREA_EN,E6)&gt;1)</f>
        <v>0</v>
      </c>
    </row>
    <row r="7" spans="1:10">
      <c r="A7" s="23">
        <f t="shared" si="0"/>
        <v>6</v>
      </c>
      <c r="B7" s="30">
        <f t="shared" ca="1" si="1"/>
        <v>0</v>
      </c>
      <c r="C7" s="23"/>
      <c r="D7" s="24"/>
      <c r="E7" s="24"/>
      <c r="F7" s="92"/>
      <c r="H7" s="28" t="b">
        <f t="shared" si="2"/>
        <v>0</v>
      </c>
      <c r="I7" s="28" t="b">
        <f t="shared" si="3"/>
        <v>0</v>
      </c>
      <c r="J7" s="28" t="b" cm="1">
        <f t="array" aca="1" ref="J7" ca="1">OR(COUNTIF(DATA_AREA_JP,D7)&gt;1,COUNTIF(DATA_AREA_EN,E7)&gt;1)</f>
        <v>0</v>
      </c>
    </row>
    <row r="8" spans="1:10">
      <c r="A8" s="23">
        <f t="shared" si="0"/>
        <v>7</v>
      </c>
      <c r="B8" s="30">
        <f t="shared" ca="1" si="1"/>
        <v>0</v>
      </c>
      <c r="C8" s="23"/>
      <c r="D8" s="24"/>
      <c r="E8" s="24"/>
      <c r="F8" s="92"/>
      <c r="H8" s="28" t="b">
        <f t="shared" si="2"/>
        <v>0</v>
      </c>
      <c r="I8" s="28" t="b">
        <f t="shared" si="3"/>
        <v>0</v>
      </c>
      <c r="J8" s="28" t="b" cm="1">
        <f t="array" aca="1" ref="J8" ca="1">OR(COUNTIF(DATA_AREA_JP,D8)&gt;1,COUNTIF(DATA_AREA_EN,E8)&gt;1)</f>
        <v>0</v>
      </c>
    </row>
    <row r="9" spans="1:10">
      <c r="A9" s="23">
        <f t="shared" si="0"/>
        <v>8</v>
      </c>
      <c r="B9" s="30">
        <f t="shared" ca="1" si="1"/>
        <v>0</v>
      </c>
      <c r="C9" s="23"/>
      <c r="D9" s="24"/>
      <c r="E9" s="24"/>
      <c r="F9" s="92"/>
      <c r="H9" s="28" t="b">
        <f t="shared" si="2"/>
        <v>0</v>
      </c>
      <c r="I9" s="28" t="b">
        <f t="shared" si="3"/>
        <v>0</v>
      </c>
      <c r="J9" s="28" t="b" cm="1">
        <f t="array" aca="1" ref="J9" ca="1">OR(COUNTIF(DATA_AREA_JP,D9)&gt;1,COUNTIF(DATA_AREA_EN,E9)&gt;1)</f>
        <v>0</v>
      </c>
    </row>
    <row r="10" spans="1:10">
      <c r="A10" s="23">
        <f t="shared" si="0"/>
        <v>9</v>
      </c>
      <c r="B10" s="30">
        <f t="shared" ca="1" si="1"/>
        <v>0</v>
      </c>
      <c r="C10" s="23"/>
      <c r="D10" s="24"/>
      <c r="E10" s="24"/>
      <c r="F10" s="92"/>
      <c r="H10" s="28" t="b">
        <f t="shared" si="2"/>
        <v>0</v>
      </c>
      <c r="I10" s="28" t="b">
        <f t="shared" si="3"/>
        <v>0</v>
      </c>
      <c r="J10" s="28" t="b" cm="1">
        <f t="array" aca="1" ref="J10" ca="1">OR(COUNTIF(DATA_AREA_JP,D10)&gt;1,COUNTIF(DATA_AREA_EN,E10)&gt;1)</f>
        <v>0</v>
      </c>
    </row>
    <row r="11" spans="1:10">
      <c r="A11" s="23">
        <f t="shared" si="0"/>
        <v>10</v>
      </c>
      <c r="B11" s="30">
        <f t="shared" ca="1" si="1"/>
        <v>0</v>
      </c>
      <c r="C11" s="23"/>
      <c r="D11" s="24"/>
      <c r="E11" s="24"/>
      <c r="F11" s="92"/>
      <c r="H11" s="28" t="b">
        <f t="shared" si="2"/>
        <v>0</v>
      </c>
      <c r="I11" s="28" t="b">
        <f t="shared" si="3"/>
        <v>0</v>
      </c>
      <c r="J11" s="28" t="b" cm="1">
        <f t="array" aca="1" ref="J11" ca="1">OR(COUNTIF(DATA_AREA_JP,D11)&gt;1,COUNTIF(DATA_AREA_EN,E11)&gt;1)</f>
        <v>0</v>
      </c>
    </row>
    <row r="12" spans="1:10">
      <c r="A12" s="23">
        <f t="shared" si="0"/>
        <v>11</v>
      </c>
      <c r="B12" s="30">
        <f t="shared" ca="1" si="1"/>
        <v>0</v>
      </c>
      <c r="C12" s="23"/>
      <c r="D12" s="24"/>
      <c r="E12" s="24"/>
      <c r="F12" s="92"/>
      <c r="H12" s="28" t="b">
        <f t="shared" si="2"/>
        <v>0</v>
      </c>
      <c r="I12" s="28" t="b">
        <f t="shared" si="3"/>
        <v>0</v>
      </c>
      <c r="J12" s="28" t="b" cm="1">
        <f t="array" aca="1" ref="J12" ca="1">OR(COUNTIF(DATA_AREA_JP,D12)&gt;1,COUNTIF(DATA_AREA_EN,E12)&gt;1)</f>
        <v>0</v>
      </c>
    </row>
    <row r="13" spans="1:10">
      <c r="A13" s="23">
        <f t="shared" si="0"/>
        <v>12</v>
      </c>
      <c r="B13" s="30">
        <f t="shared" ca="1" si="1"/>
        <v>0</v>
      </c>
      <c r="C13" s="23"/>
      <c r="D13" s="24"/>
      <c r="E13" s="24"/>
      <c r="F13" s="92"/>
      <c r="H13" s="28" t="b">
        <f t="shared" si="2"/>
        <v>0</v>
      </c>
      <c r="I13" s="28" t="b">
        <f t="shared" si="3"/>
        <v>0</v>
      </c>
      <c r="J13" s="28" t="b" cm="1">
        <f t="array" aca="1" ref="J13" ca="1">OR(COUNTIF(DATA_AREA_JP,D13)&gt;1,COUNTIF(DATA_AREA_EN,E13)&gt;1)</f>
        <v>0</v>
      </c>
    </row>
    <row r="14" spans="1:10">
      <c r="A14" s="23">
        <f t="shared" si="0"/>
        <v>13</v>
      </c>
      <c r="B14" s="30">
        <f t="shared" ca="1" si="1"/>
        <v>0</v>
      </c>
      <c r="C14" s="23"/>
      <c r="D14" s="24"/>
      <c r="E14" s="24"/>
      <c r="F14" s="92"/>
      <c r="H14" s="28" t="b">
        <f t="shared" si="2"/>
        <v>0</v>
      </c>
      <c r="I14" s="28" t="b">
        <f t="shared" si="3"/>
        <v>0</v>
      </c>
      <c r="J14" s="28" t="b" cm="1">
        <f t="array" aca="1" ref="J14" ca="1">OR(COUNTIF(DATA_AREA_JP,D14)&gt;1,COUNTIF(DATA_AREA_EN,E14)&gt;1)</f>
        <v>0</v>
      </c>
    </row>
    <row r="15" spans="1:10">
      <c r="A15" s="23">
        <f t="shared" si="0"/>
        <v>14</v>
      </c>
      <c r="B15" s="30">
        <f t="shared" ca="1" si="1"/>
        <v>0</v>
      </c>
      <c r="C15" s="23"/>
      <c r="D15" s="24"/>
      <c r="E15" s="24"/>
      <c r="F15" s="92"/>
      <c r="H15" s="28" t="b">
        <f t="shared" si="2"/>
        <v>0</v>
      </c>
      <c r="I15" s="28" t="b">
        <f t="shared" si="3"/>
        <v>0</v>
      </c>
      <c r="J15" s="28" t="b" cm="1">
        <f t="array" aca="1" ref="J15" ca="1">OR(COUNTIF(DATA_AREA_JP,D15)&gt;1,COUNTIF(DATA_AREA_EN,E15)&gt;1)</f>
        <v>0</v>
      </c>
    </row>
    <row r="16" spans="1:10">
      <c r="A16" s="23">
        <f t="shared" si="0"/>
        <v>15</v>
      </c>
      <c r="B16" s="30">
        <f t="shared" ca="1" si="1"/>
        <v>0</v>
      </c>
      <c r="C16" s="23"/>
      <c r="D16" s="24"/>
      <c r="E16" s="24"/>
      <c r="F16" s="92"/>
      <c r="H16" s="28" t="b">
        <f t="shared" si="2"/>
        <v>0</v>
      </c>
      <c r="I16" s="28" t="b">
        <f t="shared" si="3"/>
        <v>0</v>
      </c>
      <c r="J16" s="28" t="b" cm="1">
        <f t="array" aca="1" ref="J16" ca="1">OR(COUNTIF(DATA_AREA_JP,D16)&gt;1,COUNTIF(DATA_AREA_EN,E16)&gt;1)</f>
        <v>0</v>
      </c>
    </row>
    <row r="17" spans="1:10">
      <c r="A17" s="23">
        <f t="shared" si="0"/>
        <v>16</v>
      </c>
      <c r="B17" s="30">
        <f t="shared" ca="1" si="1"/>
        <v>0</v>
      </c>
      <c r="C17" s="23"/>
      <c r="D17" s="24"/>
      <c r="E17" s="24"/>
      <c r="F17" s="92"/>
      <c r="H17" s="28" t="b">
        <f t="shared" si="2"/>
        <v>0</v>
      </c>
      <c r="I17" s="28" t="b">
        <f t="shared" si="3"/>
        <v>0</v>
      </c>
      <c r="J17" s="28" t="b" cm="1">
        <f t="array" aca="1" ref="J17" ca="1">OR(COUNTIF(DATA_AREA_JP,D17)&gt;1,COUNTIF(DATA_AREA_EN,E17)&gt;1)</f>
        <v>0</v>
      </c>
    </row>
    <row r="18" spans="1:10">
      <c r="A18" s="23">
        <f t="shared" si="0"/>
        <v>17</v>
      </c>
      <c r="B18" s="30">
        <f t="shared" ca="1" si="1"/>
        <v>0</v>
      </c>
      <c r="C18" s="33"/>
      <c r="D18" s="24"/>
      <c r="E18" s="24"/>
      <c r="F18" s="92"/>
      <c r="H18" s="28" t="b">
        <f t="shared" si="2"/>
        <v>0</v>
      </c>
      <c r="I18" s="28" t="b">
        <f t="shared" si="3"/>
        <v>0</v>
      </c>
      <c r="J18" s="28" t="b" cm="1">
        <f t="array" aca="1" ref="J18" ca="1">OR(COUNTIF(DATA_AREA_JP,D18)&gt;1,COUNTIF(DATA_AREA_EN,E18)&gt;1)</f>
        <v>0</v>
      </c>
    </row>
    <row r="19" spans="1:10">
      <c r="A19" s="23">
        <f t="shared" si="0"/>
        <v>18</v>
      </c>
      <c r="B19" s="30">
        <f t="shared" ca="1" si="1"/>
        <v>0</v>
      </c>
      <c r="C19" s="23"/>
      <c r="D19" s="24"/>
      <c r="E19" s="24"/>
      <c r="F19" s="92"/>
      <c r="H19" s="28" t="b">
        <f t="shared" si="2"/>
        <v>0</v>
      </c>
      <c r="I19" s="28" t="b">
        <f t="shared" si="3"/>
        <v>0</v>
      </c>
      <c r="J19" s="28" t="b" cm="1">
        <f t="array" aca="1" ref="J19" ca="1">OR(COUNTIF(DATA_AREA_JP,D19)&gt;1,COUNTIF(DATA_AREA_EN,E19)&gt;1)</f>
        <v>0</v>
      </c>
    </row>
    <row r="20" spans="1:10">
      <c r="A20" s="23">
        <f t="shared" si="0"/>
        <v>19</v>
      </c>
      <c r="B20" s="30">
        <f t="shared" ca="1" si="1"/>
        <v>0</v>
      </c>
      <c r="C20" s="23"/>
      <c r="D20" s="24"/>
      <c r="E20" s="24"/>
      <c r="F20" s="92"/>
      <c r="H20" s="28" t="b">
        <f t="shared" si="2"/>
        <v>0</v>
      </c>
      <c r="I20" s="28" t="b">
        <f t="shared" si="3"/>
        <v>0</v>
      </c>
      <c r="J20" s="28" t="b" cm="1">
        <f t="array" aca="1" ref="J20" ca="1">OR(COUNTIF(DATA_AREA_JP,D20)&gt;1,COUNTIF(DATA_AREA_EN,E20)&gt;1)</f>
        <v>0</v>
      </c>
    </row>
    <row r="21" spans="1:10">
      <c r="A21" s="23">
        <f t="shared" si="0"/>
        <v>20</v>
      </c>
      <c r="B21" s="30">
        <f t="shared" ca="1" si="1"/>
        <v>0</v>
      </c>
      <c r="C21" s="23"/>
      <c r="D21" s="24"/>
      <c r="E21" s="24"/>
      <c r="F21" s="92"/>
      <c r="H21" s="28" t="b">
        <f t="shared" si="2"/>
        <v>0</v>
      </c>
      <c r="I21" s="28" t="b">
        <f t="shared" si="3"/>
        <v>0</v>
      </c>
      <c r="J21" s="28" t="b" cm="1">
        <f t="array" aca="1" ref="J21" ca="1">OR(COUNTIF(DATA_AREA_JP,D21)&gt;1,COUNTIF(DATA_AREA_EN,E21)&gt;1)</f>
        <v>0</v>
      </c>
    </row>
    <row r="22" spans="1:10">
      <c r="A22" s="23">
        <f t="shared" si="0"/>
        <v>21</v>
      </c>
      <c r="B22" s="30">
        <f t="shared" ca="1" si="1"/>
        <v>0</v>
      </c>
      <c r="C22" s="23"/>
      <c r="D22" s="24"/>
      <c r="E22" s="24"/>
      <c r="F22" s="92"/>
      <c r="H22" s="28" t="b">
        <f t="shared" si="2"/>
        <v>0</v>
      </c>
      <c r="I22" s="28" t="b">
        <f t="shared" si="3"/>
        <v>0</v>
      </c>
      <c r="J22" s="28" t="b" cm="1">
        <f t="array" aca="1" ref="J22" ca="1">OR(COUNTIF(DATA_AREA_JP,D22)&gt;1,COUNTIF(DATA_AREA_EN,E22)&gt;1)</f>
        <v>0</v>
      </c>
    </row>
    <row r="23" spans="1:10">
      <c r="A23" s="23">
        <f t="shared" si="0"/>
        <v>22</v>
      </c>
      <c r="B23" s="30">
        <f t="shared" ca="1" si="1"/>
        <v>0</v>
      </c>
      <c r="C23" s="23"/>
      <c r="D23" s="24"/>
      <c r="E23" s="24"/>
      <c r="F23" s="92"/>
      <c r="H23" s="28" t="b">
        <f t="shared" si="2"/>
        <v>0</v>
      </c>
      <c r="I23" s="28" t="b">
        <f t="shared" si="3"/>
        <v>0</v>
      </c>
      <c r="J23" s="28" t="b" cm="1">
        <f t="array" aca="1" ref="J23" ca="1">OR(COUNTIF(DATA_AREA_JP,D23)&gt;1,COUNTIF(DATA_AREA_EN,E23)&gt;1)</f>
        <v>0</v>
      </c>
    </row>
    <row r="24" spans="1:10">
      <c r="A24" s="23">
        <f t="shared" si="0"/>
        <v>23</v>
      </c>
      <c r="B24" s="30">
        <f t="shared" ca="1" si="1"/>
        <v>0</v>
      </c>
      <c r="C24" s="23"/>
      <c r="D24" s="24"/>
      <c r="E24" s="24"/>
      <c r="F24" s="92"/>
      <c r="H24" s="28" t="b">
        <f t="shared" si="2"/>
        <v>0</v>
      </c>
      <c r="I24" s="28" t="b">
        <f t="shared" si="3"/>
        <v>0</v>
      </c>
      <c r="J24" s="28" t="b" cm="1">
        <f t="array" aca="1" ref="J24" ca="1">OR(COUNTIF(DATA_AREA_JP,D24)&gt;1,COUNTIF(DATA_AREA_EN,E24)&gt;1)</f>
        <v>0</v>
      </c>
    </row>
    <row r="25" spans="1:10">
      <c r="A25" s="23">
        <f t="shared" si="0"/>
        <v>24</v>
      </c>
      <c r="B25" s="30">
        <f t="shared" ca="1" si="1"/>
        <v>0</v>
      </c>
      <c r="C25" s="23"/>
      <c r="D25" s="24"/>
      <c r="E25" s="24"/>
      <c r="F25" s="92"/>
      <c r="H25" s="28" t="b">
        <f t="shared" si="2"/>
        <v>0</v>
      </c>
      <c r="I25" s="28" t="b">
        <f t="shared" si="3"/>
        <v>0</v>
      </c>
      <c r="J25" s="28" t="b" cm="1">
        <f t="array" aca="1" ref="J25" ca="1">OR(COUNTIF(DATA_AREA_JP,D25)&gt;1,COUNTIF(DATA_AREA_EN,E25)&gt;1)</f>
        <v>0</v>
      </c>
    </row>
    <row r="26" spans="1:10">
      <c r="A26" s="23">
        <f t="shared" si="0"/>
        <v>25</v>
      </c>
      <c r="B26" s="30">
        <f t="shared" ca="1" si="1"/>
        <v>0</v>
      </c>
      <c r="C26" s="23"/>
      <c r="D26" s="24"/>
      <c r="E26" s="24"/>
      <c r="F26" s="92"/>
      <c r="H26" s="28" t="b">
        <f t="shared" si="2"/>
        <v>0</v>
      </c>
      <c r="I26" s="28" t="b">
        <f t="shared" si="3"/>
        <v>0</v>
      </c>
      <c r="J26" s="28" t="b" cm="1">
        <f t="array" aca="1" ref="J26" ca="1">OR(COUNTIF(DATA_AREA_JP,D26)&gt;1,COUNTIF(DATA_AREA_EN,E26)&gt;1)</f>
        <v>0</v>
      </c>
    </row>
    <row r="27" spans="1:10">
      <c r="A27" s="23">
        <f t="shared" si="0"/>
        <v>26</v>
      </c>
      <c r="B27" s="30">
        <f t="shared" ca="1" si="1"/>
        <v>0</v>
      </c>
      <c r="C27" s="23"/>
      <c r="D27" s="24"/>
      <c r="E27" s="24"/>
      <c r="F27" s="92"/>
      <c r="H27" s="28" t="b">
        <f t="shared" si="2"/>
        <v>0</v>
      </c>
      <c r="I27" s="28" t="b">
        <f t="shared" si="3"/>
        <v>0</v>
      </c>
      <c r="J27" s="28" t="b" cm="1">
        <f t="array" aca="1" ref="J27" ca="1">OR(COUNTIF(DATA_AREA_JP,D27)&gt;1,COUNTIF(DATA_AREA_EN,E27)&gt;1)</f>
        <v>0</v>
      </c>
    </row>
    <row r="28" spans="1:10">
      <c r="A28" s="23">
        <f t="shared" si="0"/>
        <v>27</v>
      </c>
      <c r="B28" s="30">
        <f t="shared" ca="1" si="1"/>
        <v>0</v>
      </c>
      <c r="C28" s="23"/>
      <c r="D28" s="24"/>
      <c r="E28" s="24"/>
      <c r="F28" s="92"/>
      <c r="H28" s="28" t="b">
        <f t="shared" si="2"/>
        <v>0</v>
      </c>
      <c r="I28" s="28" t="b">
        <f t="shared" si="3"/>
        <v>0</v>
      </c>
      <c r="J28" s="28" t="b" cm="1">
        <f t="array" aca="1" ref="J28" ca="1">OR(COUNTIF(DATA_AREA_JP,D28)&gt;1,COUNTIF(DATA_AREA_EN,E28)&gt;1)</f>
        <v>0</v>
      </c>
    </row>
    <row r="29" spans="1:10">
      <c r="A29" s="23">
        <f t="shared" si="0"/>
        <v>28</v>
      </c>
      <c r="B29" s="30">
        <f t="shared" ca="1" si="1"/>
        <v>0</v>
      </c>
      <c r="C29" s="23"/>
      <c r="D29" s="24"/>
      <c r="E29" s="24"/>
      <c r="F29" s="92"/>
      <c r="H29" s="28" t="b">
        <f t="shared" si="2"/>
        <v>0</v>
      </c>
      <c r="I29" s="28" t="b">
        <f t="shared" si="3"/>
        <v>0</v>
      </c>
      <c r="J29" s="28" t="b" cm="1">
        <f t="array" aca="1" ref="J29" ca="1">OR(COUNTIF(DATA_AREA_JP,D29)&gt;1,COUNTIF(DATA_AREA_EN,E29)&gt;1)</f>
        <v>0</v>
      </c>
    </row>
    <row r="30" spans="1:10">
      <c r="A30" s="23">
        <f t="shared" si="0"/>
        <v>29</v>
      </c>
      <c r="B30" s="30">
        <f t="shared" ca="1" si="1"/>
        <v>0</v>
      </c>
      <c r="C30" s="23"/>
      <c r="D30" s="24"/>
      <c r="E30" s="24"/>
      <c r="F30" s="92"/>
      <c r="H30" s="28" t="b">
        <f t="shared" si="2"/>
        <v>0</v>
      </c>
      <c r="I30" s="28" t="b">
        <f t="shared" si="3"/>
        <v>0</v>
      </c>
      <c r="J30" s="28" t="b" cm="1">
        <f t="array" aca="1" ref="J30" ca="1">OR(COUNTIF(DATA_AREA_JP,D30)&gt;1,COUNTIF(DATA_AREA_EN,E30)&gt;1)</f>
        <v>0</v>
      </c>
    </row>
    <row r="31" spans="1:10">
      <c r="A31" s="23">
        <f t="shared" si="0"/>
        <v>30</v>
      </c>
      <c r="B31" s="30">
        <f t="shared" ca="1" si="1"/>
        <v>0</v>
      </c>
      <c r="C31" s="23"/>
      <c r="D31" s="24"/>
      <c r="E31" s="24"/>
      <c r="F31" s="92"/>
      <c r="H31" s="28" t="b">
        <f t="shared" si="2"/>
        <v>0</v>
      </c>
      <c r="I31" s="28" t="b">
        <f t="shared" si="3"/>
        <v>0</v>
      </c>
      <c r="J31" s="28" t="b" cm="1">
        <f t="array" aca="1" ref="J31" ca="1">OR(COUNTIF(DATA_AREA_JP,D31)&gt;1,COUNTIF(DATA_AREA_EN,E31)&gt;1)</f>
        <v>0</v>
      </c>
    </row>
    <row r="32" spans="1:10">
      <c r="A32" s="23">
        <f t="shared" si="0"/>
        <v>31</v>
      </c>
      <c r="B32" s="30">
        <f t="shared" ca="1" si="1"/>
        <v>0</v>
      </c>
      <c r="C32" s="23"/>
      <c r="D32" s="24"/>
      <c r="E32" s="24"/>
      <c r="F32" s="92"/>
      <c r="H32" s="28" t="b">
        <f t="shared" si="2"/>
        <v>0</v>
      </c>
      <c r="I32" s="28" t="b">
        <f t="shared" si="3"/>
        <v>0</v>
      </c>
      <c r="J32" s="28" t="b" cm="1">
        <f t="array" aca="1" ref="J32" ca="1">OR(COUNTIF(DATA_AREA_JP,D32)&gt;1,COUNTIF(DATA_AREA_EN,E32)&gt;1)</f>
        <v>0</v>
      </c>
    </row>
    <row r="33" spans="1:10">
      <c r="A33" s="23">
        <f t="shared" si="0"/>
        <v>32</v>
      </c>
      <c r="B33" s="30">
        <f t="shared" ca="1" si="1"/>
        <v>0</v>
      </c>
      <c r="C33" s="23"/>
      <c r="D33" s="24"/>
      <c r="E33" s="24"/>
      <c r="F33" s="92"/>
      <c r="H33" s="28" t="b">
        <f t="shared" si="2"/>
        <v>0</v>
      </c>
      <c r="I33" s="28" t="b">
        <f t="shared" si="3"/>
        <v>0</v>
      </c>
      <c r="J33" s="28" t="b" cm="1">
        <f t="array" aca="1" ref="J33" ca="1">OR(COUNTIF(DATA_AREA_JP,D33)&gt;1,COUNTIF(DATA_AREA_EN,E33)&gt;1)</f>
        <v>0</v>
      </c>
    </row>
    <row r="34" spans="1:10">
      <c r="A34" s="23">
        <f t="shared" si="0"/>
        <v>33</v>
      </c>
      <c r="B34" s="30">
        <f t="shared" ca="1" si="1"/>
        <v>0</v>
      </c>
      <c r="C34" s="23"/>
      <c r="D34" s="24"/>
      <c r="E34" s="24"/>
      <c r="F34" s="92"/>
      <c r="H34" s="28" t="b">
        <f t="shared" si="2"/>
        <v>0</v>
      </c>
      <c r="I34" s="28" t="b">
        <f t="shared" si="3"/>
        <v>0</v>
      </c>
      <c r="J34" s="28" t="b" cm="1">
        <f t="array" aca="1" ref="J34" ca="1">OR(COUNTIF(DATA_AREA_JP,D34)&gt;1,COUNTIF(DATA_AREA_EN,E34)&gt;1)</f>
        <v>0</v>
      </c>
    </row>
    <row r="35" spans="1:10">
      <c r="A35" s="23">
        <f t="shared" si="0"/>
        <v>34</v>
      </c>
      <c r="B35" s="30">
        <f t="shared" ca="1" si="1"/>
        <v>0</v>
      </c>
      <c r="C35" s="23"/>
      <c r="D35" s="24"/>
      <c r="E35" s="24"/>
      <c r="F35" s="92"/>
      <c r="H35" s="28" t="b">
        <f t="shared" si="2"/>
        <v>0</v>
      </c>
      <c r="I35" s="28" t="b">
        <f t="shared" si="3"/>
        <v>0</v>
      </c>
      <c r="J35" s="28" t="b" cm="1">
        <f t="array" aca="1" ref="J35" ca="1">OR(COUNTIF(DATA_AREA_JP,D35)&gt;1,COUNTIF(DATA_AREA_EN,E35)&gt;1)</f>
        <v>0</v>
      </c>
    </row>
    <row r="36" spans="1:10">
      <c r="A36" s="23">
        <f t="shared" si="0"/>
        <v>35</v>
      </c>
      <c r="B36" s="30">
        <f t="shared" ca="1" si="1"/>
        <v>0</v>
      </c>
      <c r="C36" s="23"/>
      <c r="D36" s="24"/>
      <c r="E36" s="24"/>
      <c r="F36" s="92"/>
      <c r="H36" s="28" t="b">
        <f t="shared" si="2"/>
        <v>0</v>
      </c>
      <c r="I36" s="28" t="b">
        <f t="shared" si="3"/>
        <v>0</v>
      </c>
      <c r="J36" s="28" t="b" cm="1">
        <f t="array" aca="1" ref="J36" ca="1">OR(COUNTIF(DATA_AREA_JP,D36)&gt;1,COUNTIF(DATA_AREA_EN,E36)&gt;1)</f>
        <v>0</v>
      </c>
    </row>
    <row r="37" spans="1:10">
      <c r="A37" s="23">
        <f t="shared" si="0"/>
        <v>36</v>
      </c>
      <c r="B37" s="30">
        <f t="shared" ca="1" si="1"/>
        <v>0</v>
      </c>
      <c r="C37" s="23"/>
      <c r="D37" s="24"/>
      <c r="E37" s="24"/>
      <c r="F37" s="92"/>
      <c r="H37" s="28" t="b">
        <f t="shared" si="2"/>
        <v>0</v>
      </c>
      <c r="I37" s="28" t="b">
        <f t="shared" si="3"/>
        <v>0</v>
      </c>
      <c r="J37" s="28" t="b" cm="1">
        <f t="array" aca="1" ref="J37" ca="1">OR(COUNTIF(DATA_AREA_JP,D37)&gt;1,COUNTIF(DATA_AREA_EN,E37)&gt;1)</f>
        <v>0</v>
      </c>
    </row>
    <row r="38" spans="1:10">
      <c r="A38" s="23">
        <f t="shared" si="0"/>
        <v>37</v>
      </c>
      <c r="B38" s="30">
        <f t="shared" ca="1" si="1"/>
        <v>0</v>
      </c>
      <c r="C38" s="23"/>
      <c r="D38" s="24"/>
      <c r="E38" s="24"/>
      <c r="F38" s="92"/>
      <c r="H38" s="28" t="b">
        <f t="shared" si="2"/>
        <v>0</v>
      </c>
      <c r="I38" s="28" t="b">
        <f t="shared" si="3"/>
        <v>0</v>
      </c>
      <c r="J38" s="28" t="b" cm="1">
        <f t="array" aca="1" ref="J38" ca="1">OR(COUNTIF(DATA_AREA_JP,D38)&gt;1,COUNTIF(DATA_AREA_EN,E38)&gt;1)</f>
        <v>0</v>
      </c>
    </row>
    <row r="39" spans="1:10">
      <c r="A39" s="23">
        <f t="shared" si="0"/>
        <v>38</v>
      </c>
      <c r="B39" s="30">
        <f t="shared" ca="1" si="1"/>
        <v>0</v>
      </c>
      <c r="C39" s="23"/>
      <c r="D39" s="24"/>
      <c r="E39" s="24"/>
      <c r="F39" s="92"/>
      <c r="H39" s="28" t="b">
        <f t="shared" si="2"/>
        <v>0</v>
      </c>
      <c r="I39" s="28" t="b">
        <f t="shared" si="3"/>
        <v>0</v>
      </c>
      <c r="J39" s="28" t="b" cm="1">
        <f t="array" aca="1" ref="J39" ca="1">OR(COUNTIF(DATA_AREA_JP,D39)&gt;1,COUNTIF(DATA_AREA_EN,E39)&gt;1)</f>
        <v>0</v>
      </c>
    </row>
    <row r="40" spans="1:10">
      <c r="A40" s="23">
        <f t="shared" si="0"/>
        <v>39</v>
      </c>
      <c r="B40" s="30">
        <f t="shared" ca="1" si="1"/>
        <v>0</v>
      </c>
      <c r="C40" s="23"/>
      <c r="D40" s="24"/>
      <c r="E40" s="24"/>
      <c r="F40" s="92"/>
      <c r="H40" s="28" t="b">
        <f t="shared" si="2"/>
        <v>0</v>
      </c>
      <c r="I40" s="28" t="b">
        <f t="shared" si="3"/>
        <v>0</v>
      </c>
      <c r="J40" s="28" t="b" cm="1">
        <f t="array" aca="1" ref="J40" ca="1">OR(COUNTIF(DATA_AREA_JP,D40)&gt;1,COUNTIF(DATA_AREA_EN,E40)&gt;1)</f>
        <v>0</v>
      </c>
    </row>
    <row r="41" spans="1:10">
      <c r="A41" s="23">
        <f t="shared" si="0"/>
        <v>40</v>
      </c>
      <c r="B41" s="30">
        <f t="shared" ca="1" si="1"/>
        <v>0</v>
      </c>
      <c r="C41" s="23"/>
      <c r="D41" s="24"/>
      <c r="E41" s="24"/>
      <c r="F41" s="92"/>
      <c r="H41" s="28" t="b">
        <f t="shared" si="2"/>
        <v>0</v>
      </c>
      <c r="I41" s="28" t="b">
        <f t="shared" si="3"/>
        <v>0</v>
      </c>
      <c r="J41" s="28" t="b" cm="1">
        <f t="array" aca="1" ref="J41" ca="1">OR(COUNTIF(DATA_AREA_JP,D41)&gt;1,COUNTIF(DATA_AREA_EN,E41)&gt;1)</f>
        <v>0</v>
      </c>
    </row>
    <row r="42" spans="1:10">
      <c r="A42" s="23">
        <f t="shared" si="0"/>
        <v>41</v>
      </c>
      <c r="B42" s="30">
        <f t="shared" ca="1" si="1"/>
        <v>0</v>
      </c>
      <c r="C42" s="23"/>
      <c r="D42" s="24"/>
      <c r="E42" s="24"/>
      <c r="F42" s="92"/>
      <c r="H42" s="28" t="b">
        <f t="shared" si="2"/>
        <v>0</v>
      </c>
      <c r="I42" s="28" t="b">
        <f t="shared" si="3"/>
        <v>0</v>
      </c>
      <c r="J42" s="28" t="b" cm="1">
        <f t="array" aca="1" ref="J42" ca="1">OR(COUNTIF(DATA_AREA_JP,D42)&gt;1,COUNTIF(DATA_AREA_EN,E42)&gt;1)</f>
        <v>0</v>
      </c>
    </row>
    <row r="43" spans="1:10">
      <c r="A43" s="23">
        <f t="shared" si="0"/>
        <v>42</v>
      </c>
      <c r="B43" s="30">
        <f t="shared" ca="1" si="1"/>
        <v>0</v>
      </c>
      <c r="C43" s="23"/>
      <c r="D43" s="24"/>
      <c r="E43" s="24"/>
      <c r="F43" s="92"/>
      <c r="H43" s="28" t="b">
        <f t="shared" si="2"/>
        <v>0</v>
      </c>
      <c r="I43" s="28" t="b">
        <f t="shared" si="3"/>
        <v>0</v>
      </c>
      <c r="J43" s="28" t="b" cm="1">
        <f t="array" aca="1" ref="J43" ca="1">OR(COUNTIF(DATA_AREA_JP,D43)&gt;1,COUNTIF(DATA_AREA_EN,E43)&gt;1)</f>
        <v>0</v>
      </c>
    </row>
    <row r="44" spans="1:10">
      <c r="A44" s="23">
        <f t="shared" si="0"/>
        <v>43</v>
      </c>
      <c r="B44" s="30">
        <f t="shared" ca="1" si="1"/>
        <v>0</v>
      </c>
      <c r="C44" s="23"/>
      <c r="D44" s="24"/>
      <c r="E44" s="24"/>
      <c r="F44" s="92"/>
      <c r="H44" s="28" t="b">
        <f t="shared" si="2"/>
        <v>0</v>
      </c>
      <c r="I44" s="28" t="b">
        <f t="shared" si="3"/>
        <v>0</v>
      </c>
      <c r="J44" s="28" t="b" cm="1">
        <f t="array" aca="1" ref="J44" ca="1">OR(COUNTIF(DATA_AREA_JP,D44)&gt;1,COUNTIF(DATA_AREA_EN,E44)&gt;1)</f>
        <v>0</v>
      </c>
    </row>
    <row r="45" spans="1:10">
      <c r="A45" s="23">
        <f t="shared" si="0"/>
        <v>44</v>
      </c>
      <c r="B45" s="30">
        <f t="shared" ca="1" si="1"/>
        <v>0</v>
      </c>
      <c r="C45" s="23"/>
      <c r="D45" s="24"/>
      <c r="E45" s="24"/>
      <c r="F45" s="92"/>
      <c r="H45" s="28" t="b">
        <f t="shared" si="2"/>
        <v>0</v>
      </c>
      <c r="I45" s="28" t="b">
        <f t="shared" si="3"/>
        <v>0</v>
      </c>
      <c r="J45" s="28" t="b" cm="1">
        <f t="array" aca="1" ref="J45" ca="1">OR(COUNTIF(DATA_AREA_JP,D45)&gt;1,COUNTIF(DATA_AREA_EN,E45)&gt;1)</f>
        <v>0</v>
      </c>
    </row>
    <row r="46" spans="1:10">
      <c r="A46" s="23">
        <f t="shared" si="0"/>
        <v>45</v>
      </c>
      <c r="B46" s="30">
        <f t="shared" ca="1" si="1"/>
        <v>0</v>
      </c>
      <c r="C46" s="23"/>
      <c r="D46" s="24"/>
      <c r="E46" s="24"/>
      <c r="F46" s="92"/>
      <c r="H46" s="28" t="b">
        <f t="shared" si="2"/>
        <v>0</v>
      </c>
      <c r="I46" s="28" t="b">
        <f t="shared" si="3"/>
        <v>0</v>
      </c>
      <c r="J46" s="28" t="b" cm="1">
        <f t="array" aca="1" ref="J46" ca="1">OR(COUNTIF(DATA_AREA_JP,D46)&gt;1,COUNTIF(DATA_AREA_EN,E46)&gt;1)</f>
        <v>0</v>
      </c>
    </row>
    <row r="47" spans="1:10">
      <c r="A47" s="23">
        <f t="shared" si="0"/>
        <v>46</v>
      </c>
      <c r="B47" s="30">
        <f t="shared" ca="1" si="1"/>
        <v>0</v>
      </c>
      <c r="C47" s="23"/>
      <c r="D47" s="24"/>
      <c r="E47" s="24"/>
      <c r="F47" s="92"/>
      <c r="H47" s="28" t="b">
        <f t="shared" si="2"/>
        <v>0</v>
      </c>
      <c r="I47" s="28" t="b">
        <f t="shared" si="3"/>
        <v>0</v>
      </c>
      <c r="J47" s="28" t="b" cm="1">
        <f t="array" aca="1" ref="J47" ca="1">OR(COUNTIF(DATA_AREA_JP,D47)&gt;1,COUNTIF(DATA_AREA_EN,E47)&gt;1)</f>
        <v>0</v>
      </c>
    </row>
    <row r="48" spans="1:10">
      <c r="A48" s="23">
        <f t="shared" si="0"/>
        <v>47</v>
      </c>
      <c r="B48" s="30">
        <f t="shared" ca="1" si="1"/>
        <v>0</v>
      </c>
      <c r="C48" s="23"/>
      <c r="D48" s="24"/>
      <c r="E48" s="24"/>
      <c r="F48" s="92"/>
      <c r="H48" s="28" t="b">
        <f t="shared" si="2"/>
        <v>0</v>
      </c>
      <c r="I48" s="28" t="b">
        <f t="shared" si="3"/>
        <v>0</v>
      </c>
      <c r="J48" s="28" t="b" cm="1">
        <f t="array" aca="1" ref="J48" ca="1">OR(COUNTIF(DATA_AREA_JP,D48)&gt;1,COUNTIF(DATA_AREA_EN,E48)&gt;1)</f>
        <v>0</v>
      </c>
    </row>
    <row r="49" spans="1:10">
      <c r="A49" s="23">
        <f t="shared" si="0"/>
        <v>48</v>
      </c>
      <c r="B49" s="30">
        <f t="shared" ca="1" si="1"/>
        <v>0</v>
      </c>
      <c r="C49" s="23"/>
      <c r="D49" s="24"/>
      <c r="E49" s="24"/>
      <c r="F49" s="92"/>
      <c r="H49" s="28" t="b">
        <f t="shared" si="2"/>
        <v>0</v>
      </c>
      <c r="I49" s="28" t="b">
        <f t="shared" si="3"/>
        <v>0</v>
      </c>
      <c r="J49" s="28" t="b" cm="1">
        <f t="array" aca="1" ref="J49" ca="1">OR(COUNTIF(DATA_AREA_JP,D49)&gt;1,COUNTIF(DATA_AREA_EN,E49)&gt;1)</f>
        <v>0</v>
      </c>
    </row>
    <row r="50" spans="1:10">
      <c r="A50" s="23">
        <f t="shared" si="0"/>
        <v>49</v>
      </c>
      <c r="B50" s="30">
        <f t="shared" ca="1" si="1"/>
        <v>0</v>
      </c>
      <c r="C50" s="23"/>
      <c r="D50" s="24"/>
      <c r="E50" s="24"/>
      <c r="F50" s="92"/>
      <c r="H50" s="28" t="b">
        <f t="shared" si="2"/>
        <v>0</v>
      </c>
      <c r="I50" s="28" t="b">
        <f t="shared" si="3"/>
        <v>0</v>
      </c>
      <c r="J50" s="28" t="b" cm="1">
        <f t="array" aca="1" ref="J50" ca="1">OR(COUNTIF(DATA_AREA_JP,D50)&gt;1,COUNTIF(DATA_AREA_EN,E50)&gt;1)</f>
        <v>0</v>
      </c>
    </row>
    <row r="51" spans="1:10">
      <c r="A51" s="23">
        <f t="shared" si="0"/>
        <v>50</v>
      </c>
      <c r="B51" s="30">
        <f t="shared" ca="1" si="1"/>
        <v>0</v>
      </c>
      <c r="C51" s="23"/>
      <c r="D51" s="24"/>
      <c r="E51" s="24"/>
      <c r="F51" s="92"/>
      <c r="H51" s="28" t="b">
        <f t="shared" si="2"/>
        <v>0</v>
      </c>
      <c r="I51" s="28" t="b">
        <f t="shared" si="3"/>
        <v>0</v>
      </c>
      <c r="J51" s="28" t="b" cm="1">
        <f t="array" aca="1" ref="J51" ca="1">OR(COUNTIF(DATA_AREA_JP,D51)&gt;1,COUNTIF(DATA_AREA_EN,E51)&gt;1)</f>
        <v>0</v>
      </c>
    </row>
    <row r="52" spans="1:10">
      <c r="A52" s="23">
        <f t="shared" si="0"/>
        <v>51</v>
      </c>
      <c r="B52" s="30">
        <f t="shared" ca="1" si="1"/>
        <v>0</v>
      </c>
      <c r="C52" s="23"/>
      <c r="D52" s="24"/>
      <c r="E52" s="24"/>
      <c r="F52" s="92"/>
      <c r="H52" s="28" t="b">
        <f t="shared" si="2"/>
        <v>0</v>
      </c>
      <c r="I52" s="28" t="b">
        <f t="shared" si="3"/>
        <v>0</v>
      </c>
      <c r="J52" s="28" t="b" cm="1">
        <f t="array" aca="1" ref="J52" ca="1">OR(COUNTIF(DATA_AREA_JP,D52)&gt;1,COUNTIF(DATA_AREA_EN,E52)&gt;1)</f>
        <v>0</v>
      </c>
    </row>
    <row r="53" spans="1:10">
      <c r="A53" s="23">
        <f t="shared" si="0"/>
        <v>52</v>
      </c>
      <c r="B53" s="30">
        <f t="shared" ca="1" si="1"/>
        <v>0</v>
      </c>
      <c r="C53" s="23"/>
      <c r="D53" s="24"/>
      <c r="E53" s="24"/>
      <c r="F53" s="92"/>
      <c r="H53" s="28" t="b">
        <f t="shared" si="2"/>
        <v>0</v>
      </c>
      <c r="I53" s="28" t="b">
        <f t="shared" si="3"/>
        <v>0</v>
      </c>
      <c r="J53" s="28" t="b" cm="1">
        <f t="array" aca="1" ref="J53" ca="1">OR(COUNTIF(DATA_AREA_JP,D53)&gt;1,COUNTIF(DATA_AREA_EN,E53)&gt;1)</f>
        <v>0</v>
      </c>
    </row>
    <row r="54" spans="1:10">
      <c r="A54" s="23">
        <f t="shared" si="0"/>
        <v>53</v>
      </c>
      <c r="B54" s="30">
        <f t="shared" ca="1" si="1"/>
        <v>0</v>
      </c>
      <c r="C54" s="23"/>
      <c r="D54" s="24"/>
      <c r="E54" s="24"/>
      <c r="F54" s="92"/>
      <c r="H54" s="28" t="b">
        <f t="shared" si="2"/>
        <v>0</v>
      </c>
      <c r="I54" s="28" t="b">
        <f t="shared" si="3"/>
        <v>0</v>
      </c>
      <c r="J54" s="28" t="b" cm="1">
        <f t="array" aca="1" ref="J54" ca="1">OR(COUNTIF(DATA_AREA_JP,D54)&gt;1,COUNTIF(DATA_AREA_EN,E54)&gt;1)</f>
        <v>0</v>
      </c>
    </row>
    <row r="55" spans="1:10">
      <c r="A55" s="23">
        <f t="shared" si="0"/>
        <v>54</v>
      </c>
      <c r="B55" s="30">
        <f t="shared" ca="1" si="1"/>
        <v>0</v>
      </c>
      <c r="C55" s="23"/>
      <c r="D55" s="24"/>
      <c r="E55" s="24"/>
      <c r="F55" s="92"/>
      <c r="H55" s="28" t="b">
        <f t="shared" si="2"/>
        <v>0</v>
      </c>
      <c r="I55" s="28" t="b">
        <f t="shared" si="3"/>
        <v>0</v>
      </c>
      <c r="J55" s="28" t="b" cm="1">
        <f t="array" aca="1" ref="J55" ca="1">OR(COUNTIF(DATA_AREA_JP,D55)&gt;1,COUNTIF(DATA_AREA_EN,E55)&gt;1)</f>
        <v>0</v>
      </c>
    </row>
    <row r="56" spans="1:10">
      <c r="A56" s="23">
        <f t="shared" si="0"/>
        <v>55</v>
      </c>
      <c r="B56" s="30">
        <f t="shared" ca="1" si="1"/>
        <v>0</v>
      </c>
      <c r="C56" s="23"/>
      <c r="D56" s="24"/>
      <c r="E56" s="24"/>
      <c r="F56" s="92"/>
      <c r="H56" s="28" t="b">
        <f t="shared" si="2"/>
        <v>0</v>
      </c>
      <c r="I56" s="28" t="b">
        <f t="shared" si="3"/>
        <v>0</v>
      </c>
      <c r="J56" s="28" t="b" cm="1">
        <f t="array" aca="1" ref="J56" ca="1">OR(COUNTIF(DATA_AREA_JP,D56)&gt;1,COUNTIF(DATA_AREA_EN,E56)&gt;1)</f>
        <v>0</v>
      </c>
    </row>
    <row r="57" spans="1:10">
      <c r="A57" s="23">
        <f t="shared" si="0"/>
        <v>56</v>
      </c>
      <c r="B57" s="30">
        <f t="shared" ca="1" si="1"/>
        <v>0</v>
      </c>
      <c r="C57" s="23"/>
      <c r="D57" s="24"/>
      <c r="E57" s="24"/>
      <c r="F57" s="92"/>
      <c r="H57" s="28" t="b">
        <f t="shared" si="2"/>
        <v>0</v>
      </c>
      <c r="I57" s="28" t="b">
        <f t="shared" si="3"/>
        <v>0</v>
      </c>
      <c r="J57" s="28" t="b" cm="1">
        <f t="array" aca="1" ref="J57" ca="1">OR(COUNTIF(DATA_AREA_JP,D57)&gt;1,COUNTIF(DATA_AREA_EN,E57)&gt;1)</f>
        <v>0</v>
      </c>
    </row>
    <row r="58" spans="1:10">
      <c r="A58" s="23">
        <f t="shared" si="0"/>
        <v>57</v>
      </c>
      <c r="B58" s="30">
        <f t="shared" ca="1" si="1"/>
        <v>0</v>
      </c>
      <c r="C58" s="23"/>
      <c r="D58" s="24"/>
      <c r="E58" s="24"/>
      <c r="F58" s="92"/>
      <c r="H58" s="28" t="b">
        <f t="shared" si="2"/>
        <v>0</v>
      </c>
      <c r="I58" s="28" t="b">
        <f t="shared" si="3"/>
        <v>0</v>
      </c>
      <c r="J58" s="28" t="b" cm="1">
        <f t="array" aca="1" ref="J58" ca="1">OR(COUNTIF(DATA_AREA_JP,D58)&gt;1,COUNTIF(DATA_AREA_EN,E58)&gt;1)</f>
        <v>0</v>
      </c>
    </row>
    <row r="59" spans="1:10">
      <c r="A59" s="23">
        <f t="shared" si="0"/>
        <v>58</v>
      </c>
      <c r="B59" s="30">
        <f t="shared" ca="1" si="1"/>
        <v>0</v>
      </c>
      <c r="C59" s="23"/>
      <c r="D59" s="24"/>
      <c r="E59" s="24"/>
      <c r="F59" s="92"/>
      <c r="H59" s="28" t="b">
        <f t="shared" si="2"/>
        <v>0</v>
      </c>
      <c r="I59" s="28" t="b">
        <f t="shared" si="3"/>
        <v>0</v>
      </c>
      <c r="J59" s="28" t="b" cm="1">
        <f t="array" aca="1" ref="J59" ca="1">OR(COUNTIF(DATA_AREA_JP,D59)&gt;1,COUNTIF(DATA_AREA_EN,E59)&gt;1)</f>
        <v>0</v>
      </c>
    </row>
    <row r="60" spans="1:10">
      <c r="A60" s="23">
        <f t="shared" si="0"/>
        <v>59</v>
      </c>
      <c r="B60" s="30">
        <f t="shared" ca="1" si="1"/>
        <v>0</v>
      </c>
      <c r="C60" s="23"/>
      <c r="D60" s="24"/>
      <c r="E60" s="24"/>
      <c r="F60" s="92"/>
      <c r="H60" s="28" t="b">
        <f t="shared" si="2"/>
        <v>0</v>
      </c>
      <c r="I60" s="28" t="b">
        <f t="shared" si="3"/>
        <v>0</v>
      </c>
      <c r="J60" s="28" t="b" cm="1">
        <f t="array" aca="1" ref="J60" ca="1">OR(COUNTIF(DATA_AREA_JP,D60)&gt;1,COUNTIF(DATA_AREA_EN,E60)&gt;1)</f>
        <v>0</v>
      </c>
    </row>
    <row r="61" spans="1:10">
      <c r="A61" s="23">
        <f t="shared" si="0"/>
        <v>60</v>
      </c>
      <c r="B61" s="30">
        <f t="shared" ca="1" si="1"/>
        <v>0</v>
      </c>
      <c r="C61" s="23"/>
      <c r="D61" s="24"/>
      <c r="E61" s="24"/>
      <c r="F61" s="92"/>
      <c r="H61" s="28" t="b">
        <f t="shared" si="2"/>
        <v>0</v>
      </c>
      <c r="I61" s="28" t="b">
        <f t="shared" si="3"/>
        <v>0</v>
      </c>
      <c r="J61" s="28" t="b" cm="1">
        <f t="array" aca="1" ref="J61" ca="1">OR(COUNTIF(DATA_AREA_JP,D61)&gt;1,COUNTIF(DATA_AREA_EN,E61)&gt;1)</f>
        <v>0</v>
      </c>
    </row>
    <row r="62" spans="1:10">
      <c r="A62" s="23">
        <f t="shared" si="0"/>
        <v>61</v>
      </c>
      <c r="B62" s="30">
        <f t="shared" ca="1" si="1"/>
        <v>0</v>
      </c>
      <c r="C62" s="23"/>
      <c r="D62" s="24"/>
      <c r="E62" s="24"/>
      <c r="F62" s="92"/>
      <c r="H62" s="28" t="b">
        <f t="shared" si="2"/>
        <v>0</v>
      </c>
      <c r="I62" s="28" t="b">
        <f t="shared" si="3"/>
        <v>0</v>
      </c>
      <c r="J62" s="28" t="b" cm="1">
        <f t="array" aca="1" ref="J62" ca="1">OR(COUNTIF(DATA_AREA_JP,D62)&gt;1,COUNTIF(DATA_AREA_EN,E62)&gt;1)</f>
        <v>0</v>
      </c>
    </row>
    <row r="63" spans="1:10">
      <c r="A63" s="23">
        <f t="shared" si="0"/>
        <v>62</v>
      </c>
      <c r="B63" s="30">
        <f t="shared" ca="1" si="1"/>
        <v>0</v>
      </c>
      <c r="C63" s="23"/>
      <c r="D63" s="24"/>
      <c r="E63" s="24"/>
      <c r="F63" s="92"/>
      <c r="H63" s="28" t="b">
        <f t="shared" si="2"/>
        <v>0</v>
      </c>
      <c r="I63" s="28" t="b">
        <f t="shared" si="3"/>
        <v>0</v>
      </c>
      <c r="J63" s="28" t="b" cm="1">
        <f t="array" aca="1" ref="J63" ca="1">OR(COUNTIF(DATA_AREA_JP,D63)&gt;1,COUNTIF(DATA_AREA_EN,E63)&gt;1)</f>
        <v>0</v>
      </c>
    </row>
    <row r="64" spans="1:10">
      <c r="A64" s="23">
        <f t="shared" si="0"/>
        <v>63</v>
      </c>
      <c r="B64" s="30">
        <f t="shared" ca="1" si="1"/>
        <v>0</v>
      </c>
      <c r="C64" s="23"/>
      <c r="D64" s="24"/>
      <c r="E64" s="24"/>
      <c r="F64" s="92"/>
      <c r="H64" s="28" t="b">
        <f t="shared" si="2"/>
        <v>0</v>
      </c>
      <c r="I64" s="28" t="b">
        <f t="shared" si="3"/>
        <v>0</v>
      </c>
      <c r="J64" s="28" t="b" cm="1">
        <f t="array" aca="1" ref="J64" ca="1">OR(COUNTIF(DATA_AREA_JP,D64)&gt;1,COUNTIF(DATA_AREA_EN,E64)&gt;1)</f>
        <v>0</v>
      </c>
    </row>
    <row r="65" spans="1:10">
      <c r="A65" s="23">
        <f t="shared" si="0"/>
        <v>64</v>
      </c>
      <c r="B65" s="30">
        <f t="shared" ca="1" si="1"/>
        <v>0</v>
      </c>
      <c r="C65" s="23"/>
      <c r="D65" s="24"/>
      <c r="E65" s="24"/>
      <c r="F65" s="92"/>
      <c r="H65" s="28" t="b">
        <f t="shared" si="2"/>
        <v>0</v>
      </c>
      <c r="I65" s="28" t="b">
        <f t="shared" si="3"/>
        <v>0</v>
      </c>
      <c r="J65" s="28" t="b" cm="1">
        <f t="array" aca="1" ref="J65" ca="1">OR(COUNTIF(DATA_AREA_JP,D65)&gt;1,COUNTIF(DATA_AREA_EN,E65)&gt;1)</f>
        <v>0</v>
      </c>
    </row>
    <row r="66" spans="1:10">
      <c r="A66" s="23">
        <f t="shared" si="0"/>
        <v>65</v>
      </c>
      <c r="B66" s="30">
        <f t="shared" ca="1" si="1"/>
        <v>0</v>
      </c>
      <c r="C66" s="23"/>
      <c r="D66" s="24"/>
      <c r="E66" s="24"/>
      <c r="F66" s="92"/>
      <c r="H66" s="28" t="b">
        <f t="shared" si="2"/>
        <v>0</v>
      </c>
      <c r="I66" s="28" t="b">
        <f t="shared" si="3"/>
        <v>0</v>
      </c>
      <c r="J66" s="28" t="b" cm="1">
        <f t="array" aca="1" ref="J66" ca="1">OR(COUNTIF(DATA_AREA_JP,D66)&gt;1,COUNTIF(DATA_AREA_EN,E66)&gt;1)</f>
        <v>0</v>
      </c>
    </row>
    <row r="67" spans="1:10">
      <c r="A67" s="23">
        <f t="shared" ref="A67:A101" si="4">ROW()-1</f>
        <v>66</v>
      </c>
      <c r="B67" s="30">
        <f t="shared" ref="B67:B101" ca="1" si="5">IF(AND(I67,NOT(J67),NOT(H67)),1,0)</f>
        <v>0</v>
      </c>
      <c r="C67" s="23"/>
      <c r="D67" s="24"/>
      <c r="E67" s="24"/>
      <c r="F67" s="92"/>
      <c r="H67" s="28" t="b">
        <f t="shared" ref="H67:H101" si="6">NOT(C67="")</f>
        <v>0</v>
      </c>
      <c r="I67" s="28" t="b">
        <f t="shared" ref="I67:I101" si="7">AND(D67&lt;&gt;"",E67&lt;&gt;"")</f>
        <v>0</v>
      </c>
      <c r="J67" s="28" t="b" cm="1">
        <f t="array" aca="1" ref="J67" ca="1">OR(COUNTIF(DATA_AREA_JP,D67)&gt;1,COUNTIF(DATA_AREA_EN,E67)&gt;1)</f>
        <v>0</v>
      </c>
    </row>
    <row r="68" spans="1:10">
      <c r="A68" s="23">
        <f t="shared" si="4"/>
        <v>67</v>
      </c>
      <c r="B68" s="30">
        <f t="shared" ca="1" si="5"/>
        <v>0</v>
      </c>
      <c r="C68" s="23"/>
      <c r="D68" s="24"/>
      <c r="E68" s="24"/>
      <c r="F68" s="92"/>
      <c r="H68" s="28" t="b">
        <f t="shared" si="6"/>
        <v>0</v>
      </c>
      <c r="I68" s="28" t="b">
        <f t="shared" si="7"/>
        <v>0</v>
      </c>
      <c r="J68" s="28" t="b" cm="1">
        <f t="array" aca="1" ref="J68" ca="1">OR(COUNTIF(DATA_AREA_JP,D68)&gt;1,COUNTIF(DATA_AREA_EN,E68)&gt;1)</f>
        <v>0</v>
      </c>
    </row>
    <row r="69" spans="1:10">
      <c r="A69" s="23">
        <f t="shared" si="4"/>
        <v>68</v>
      </c>
      <c r="B69" s="30">
        <f t="shared" ca="1" si="5"/>
        <v>0</v>
      </c>
      <c r="C69" s="23"/>
      <c r="D69" s="24"/>
      <c r="E69" s="24"/>
      <c r="F69" s="92"/>
      <c r="H69" s="28" t="b">
        <f t="shared" si="6"/>
        <v>0</v>
      </c>
      <c r="I69" s="28" t="b">
        <f t="shared" si="7"/>
        <v>0</v>
      </c>
      <c r="J69" s="28" t="b" cm="1">
        <f t="array" aca="1" ref="J69" ca="1">OR(COUNTIF(DATA_AREA_JP,D69)&gt;1,COUNTIF(DATA_AREA_EN,E69)&gt;1)</f>
        <v>0</v>
      </c>
    </row>
    <row r="70" spans="1:10">
      <c r="A70" s="23">
        <f t="shared" si="4"/>
        <v>69</v>
      </c>
      <c r="B70" s="30">
        <f t="shared" ca="1" si="5"/>
        <v>0</v>
      </c>
      <c r="C70" s="23"/>
      <c r="D70" s="24"/>
      <c r="E70" s="24"/>
      <c r="F70" s="92"/>
      <c r="H70" s="28" t="b">
        <f t="shared" si="6"/>
        <v>0</v>
      </c>
      <c r="I70" s="28" t="b">
        <f t="shared" si="7"/>
        <v>0</v>
      </c>
      <c r="J70" s="28" t="b" cm="1">
        <f t="array" aca="1" ref="J70" ca="1">OR(COUNTIF(DATA_AREA_JP,D70)&gt;1,COUNTIF(DATA_AREA_EN,E70)&gt;1)</f>
        <v>0</v>
      </c>
    </row>
    <row r="71" spans="1:10">
      <c r="A71" s="23">
        <f t="shared" si="4"/>
        <v>70</v>
      </c>
      <c r="B71" s="30">
        <f t="shared" ca="1" si="5"/>
        <v>0</v>
      </c>
      <c r="C71" s="23"/>
      <c r="D71" s="24"/>
      <c r="E71" s="24"/>
      <c r="F71" s="92"/>
      <c r="H71" s="28" t="b">
        <f t="shared" si="6"/>
        <v>0</v>
      </c>
      <c r="I71" s="28" t="b">
        <f t="shared" si="7"/>
        <v>0</v>
      </c>
      <c r="J71" s="28" t="b" cm="1">
        <f t="array" aca="1" ref="J71" ca="1">OR(COUNTIF(DATA_AREA_JP,D71)&gt;1,COUNTIF(DATA_AREA_EN,E71)&gt;1)</f>
        <v>0</v>
      </c>
    </row>
    <row r="72" spans="1:10">
      <c r="A72" s="23">
        <f t="shared" si="4"/>
        <v>71</v>
      </c>
      <c r="B72" s="30">
        <f t="shared" ca="1" si="5"/>
        <v>0</v>
      </c>
      <c r="C72" s="23"/>
      <c r="D72" s="24"/>
      <c r="E72" s="24"/>
      <c r="F72" s="92"/>
      <c r="H72" s="28" t="b">
        <f t="shared" si="6"/>
        <v>0</v>
      </c>
      <c r="I72" s="28" t="b">
        <f t="shared" si="7"/>
        <v>0</v>
      </c>
      <c r="J72" s="28" t="b" cm="1">
        <f t="array" aca="1" ref="J72" ca="1">OR(COUNTIF(DATA_AREA_JP,D72)&gt;1,COUNTIF(DATA_AREA_EN,E72)&gt;1)</f>
        <v>0</v>
      </c>
    </row>
    <row r="73" spans="1:10">
      <c r="A73" s="23">
        <f t="shared" si="4"/>
        <v>72</v>
      </c>
      <c r="B73" s="30">
        <f t="shared" ca="1" si="5"/>
        <v>0</v>
      </c>
      <c r="C73" s="23"/>
      <c r="D73" s="24"/>
      <c r="E73" s="24"/>
      <c r="F73" s="92"/>
      <c r="H73" s="28" t="b">
        <f t="shared" si="6"/>
        <v>0</v>
      </c>
      <c r="I73" s="28" t="b">
        <f t="shared" si="7"/>
        <v>0</v>
      </c>
      <c r="J73" s="28" t="b" cm="1">
        <f t="array" aca="1" ref="J73" ca="1">OR(COUNTIF(DATA_AREA_JP,D73)&gt;1,COUNTIF(DATA_AREA_EN,E73)&gt;1)</f>
        <v>0</v>
      </c>
    </row>
    <row r="74" spans="1:10">
      <c r="A74" s="23">
        <f t="shared" si="4"/>
        <v>73</v>
      </c>
      <c r="B74" s="30">
        <f t="shared" ca="1" si="5"/>
        <v>0</v>
      </c>
      <c r="C74" s="23"/>
      <c r="D74" s="24"/>
      <c r="E74" s="24"/>
      <c r="F74" s="92"/>
      <c r="H74" s="28" t="b">
        <f t="shared" si="6"/>
        <v>0</v>
      </c>
      <c r="I74" s="28" t="b">
        <f t="shared" si="7"/>
        <v>0</v>
      </c>
      <c r="J74" s="28" t="b" cm="1">
        <f t="array" aca="1" ref="J74" ca="1">OR(COUNTIF(DATA_AREA_JP,D74)&gt;1,COUNTIF(DATA_AREA_EN,E74)&gt;1)</f>
        <v>0</v>
      </c>
    </row>
    <row r="75" spans="1:10">
      <c r="A75" s="23">
        <f t="shared" si="4"/>
        <v>74</v>
      </c>
      <c r="B75" s="30">
        <f t="shared" ca="1" si="5"/>
        <v>0</v>
      </c>
      <c r="C75" s="23"/>
      <c r="D75" s="24"/>
      <c r="E75" s="24"/>
      <c r="F75" s="92"/>
      <c r="H75" s="28" t="b">
        <f t="shared" si="6"/>
        <v>0</v>
      </c>
      <c r="I75" s="28" t="b">
        <f t="shared" si="7"/>
        <v>0</v>
      </c>
      <c r="J75" s="28" t="b" cm="1">
        <f t="array" aca="1" ref="J75" ca="1">OR(COUNTIF(DATA_AREA_JP,D75)&gt;1,COUNTIF(DATA_AREA_EN,E75)&gt;1)</f>
        <v>0</v>
      </c>
    </row>
    <row r="76" spans="1:10">
      <c r="A76" s="23">
        <f t="shared" si="4"/>
        <v>75</v>
      </c>
      <c r="B76" s="30">
        <f t="shared" ca="1" si="5"/>
        <v>0</v>
      </c>
      <c r="C76" s="23"/>
      <c r="D76" s="24"/>
      <c r="E76" s="24"/>
      <c r="F76" s="92"/>
      <c r="H76" s="28" t="b">
        <f t="shared" si="6"/>
        <v>0</v>
      </c>
      <c r="I76" s="28" t="b">
        <f t="shared" si="7"/>
        <v>0</v>
      </c>
      <c r="J76" s="28" t="b" cm="1">
        <f t="array" aca="1" ref="J76" ca="1">OR(COUNTIF(DATA_AREA_JP,D76)&gt;1,COUNTIF(DATA_AREA_EN,E76)&gt;1)</f>
        <v>0</v>
      </c>
    </row>
    <row r="77" spans="1:10">
      <c r="A77" s="23">
        <f t="shared" si="4"/>
        <v>76</v>
      </c>
      <c r="B77" s="30">
        <f t="shared" ca="1" si="5"/>
        <v>0</v>
      </c>
      <c r="C77" s="23"/>
      <c r="D77" s="24"/>
      <c r="E77" s="24"/>
      <c r="F77" s="92"/>
      <c r="H77" s="28" t="b">
        <f t="shared" si="6"/>
        <v>0</v>
      </c>
      <c r="I77" s="28" t="b">
        <f t="shared" si="7"/>
        <v>0</v>
      </c>
      <c r="J77" s="28" t="b" cm="1">
        <f t="array" aca="1" ref="J77" ca="1">OR(COUNTIF(DATA_AREA_JP,D77)&gt;1,COUNTIF(DATA_AREA_EN,E77)&gt;1)</f>
        <v>0</v>
      </c>
    </row>
    <row r="78" spans="1:10">
      <c r="A78" s="23">
        <f t="shared" si="4"/>
        <v>77</v>
      </c>
      <c r="B78" s="30">
        <f t="shared" ca="1" si="5"/>
        <v>0</v>
      </c>
      <c r="C78" s="23"/>
      <c r="D78" s="24"/>
      <c r="E78" s="24"/>
      <c r="F78" s="92"/>
      <c r="H78" s="28" t="b">
        <f t="shared" si="6"/>
        <v>0</v>
      </c>
      <c r="I78" s="28" t="b">
        <f t="shared" si="7"/>
        <v>0</v>
      </c>
      <c r="J78" s="28" t="b" cm="1">
        <f t="array" aca="1" ref="J78" ca="1">OR(COUNTIF(DATA_AREA_JP,D78)&gt;1,COUNTIF(DATA_AREA_EN,E78)&gt;1)</f>
        <v>0</v>
      </c>
    </row>
    <row r="79" spans="1:10">
      <c r="A79" s="23">
        <f t="shared" si="4"/>
        <v>78</v>
      </c>
      <c r="B79" s="30">
        <f t="shared" ca="1" si="5"/>
        <v>0</v>
      </c>
      <c r="C79" s="23"/>
      <c r="D79" s="24"/>
      <c r="E79" s="24"/>
      <c r="F79" s="92"/>
      <c r="H79" s="28" t="b">
        <f t="shared" si="6"/>
        <v>0</v>
      </c>
      <c r="I79" s="28" t="b">
        <f t="shared" si="7"/>
        <v>0</v>
      </c>
      <c r="J79" s="28" t="b" cm="1">
        <f t="array" aca="1" ref="J79" ca="1">OR(COUNTIF(DATA_AREA_JP,D79)&gt;1,COUNTIF(DATA_AREA_EN,E79)&gt;1)</f>
        <v>0</v>
      </c>
    </row>
    <row r="80" spans="1:10">
      <c r="A80" s="23">
        <f t="shared" si="4"/>
        <v>79</v>
      </c>
      <c r="B80" s="30">
        <f t="shared" ca="1" si="5"/>
        <v>0</v>
      </c>
      <c r="C80" s="23"/>
      <c r="D80" s="24"/>
      <c r="E80" s="24"/>
      <c r="F80" s="92"/>
      <c r="H80" s="28" t="b">
        <f t="shared" si="6"/>
        <v>0</v>
      </c>
      <c r="I80" s="28" t="b">
        <f t="shared" si="7"/>
        <v>0</v>
      </c>
      <c r="J80" s="28" t="b" cm="1">
        <f t="array" aca="1" ref="J80" ca="1">OR(COUNTIF(DATA_AREA_JP,D80)&gt;1,COUNTIF(DATA_AREA_EN,E80)&gt;1)</f>
        <v>0</v>
      </c>
    </row>
    <row r="81" spans="1:10">
      <c r="A81" s="23">
        <f t="shared" si="4"/>
        <v>80</v>
      </c>
      <c r="B81" s="30">
        <f t="shared" ca="1" si="5"/>
        <v>0</v>
      </c>
      <c r="C81" s="23"/>
      <c r="D81" s="24"/>
      <c r="E81" s="24"/>
      <c r="F81" s="92"/>
      <c r="H81" s="28" t="b">
        <f t="shared" si="6"/>
        <v>0</v>
      </c>
      <c r="I81" s="28" t="b">
        <f t="shared" si="7"/>
        <v>0</v>
      </c>
      <c r="J81" s="28" t="b" cm="1">
        <f t="array" aca="1" ref="J81" ca="1">OR(COUNTIF(DATA_AREA_JP,D81)&gt;1,COUNTIF(DATA_AREA_EN,E81)&gt;1)</f>
        <v>0</v>
      </c>
    </row>
    <row r="82" spans="1:10">
      <c r="A82" s="23">
        <f t="shared" si="4"/>
        <v>81</v>
      </c>
      <c r="B82" s="30">
        <f t="shared" ca="1" si="5"/>
        <v>0</v>
      </c>
      <c r="C82" s="23"/>
      <c r="D82" s="24"/>
      <c r="E82" s="24"/>
      <c r="F82" s="92"/>
      <c r="H82" s="28" t="b">
        <f t="shared" si="6"/>
        <v>0</v>
      </c>
      <c r="I82" s="28" t="b">
        <f t="shared" si="7"/>
        <v>0</v>
      </c>
      <c r="J82" s="28" t="b" cm="1">
        <f t="array" aca="1" ref="J82" ca="1">OR(COUNTIF(DATA_AREA_JP,D82)&gt;1,COUNTIF(DATA_AREA_EN,E82)&gt;1)</f>
        <v>0</v>
      </c>
    </row>
    <row r="83" spans="1:10">
      <c r="A83" s="23">
        <f t="shared" si="4"/>
        <v>82</v>
      </c>
      <c r="B83" s="30">
        <f t="shared" ca="1" si="5"/>
        <v>0</v>
      </c>
      <c r="C83" s="23"/>
      <c r="D83" s="24"/>
      <c r="E83" s="24"/>
      <c r="F83" s="92"/>
      <c r="H83" s="28" t="b">
        <f t="shared" si="6"/>
        <v>0</v>
      </c>
      <c r="I83" s="28" t="b">
        <f t="shared" si="7"/>
        <v>0</v>
      </c>
      <c r="J83" s="28" t="b" cm="1">
        <f t="array" aca="1" ref="J83" ca="1">OR(COUNTIF(DATA_AREA_JP,D83)&gt;1,COUNTIF(DATA_AREA_EN,E83)&gt;1)</f>
        <v>0</v>
      </c>
    </row>
    <row r="84" spans="1:10">
      <c r="A84" s="23">
        <f t="shared" si="4"/>
        <v>83</v>
      </c>
      <c r="B84" s="30">
        <f t="shared" ca="1" si="5"/>
        <v>0</v>
      </c>
      <c r="C84" s="23"/>
      <c r="D84" s="24"/>
      <c r="E84" s="24"/>
      <c r="F84" s="92"/>
      <c r="H84" s="28" t="b">
        <f t="shared" si="6"/>
        <v>0</v>
      </c>
      <c r="I84" s="28" t="b">
        <f t="shared" si="7"/>
        <v>0</v>
      </c>
      <c r="J84" s="28" t="b" cm="1">
        <f t="array" aca="1" ref="J84" ca="1">OR(COUNTIF(DATA_AREA_JP,D84)&gt;1,COUNTIF(DATA_AREA_EN,E84)&gt;1)</f>
        <v>0</v>
      </c>
    </row>
    <row r="85" spans="1:10">
      <c r="A85" s="23">
        <f t="shared" si="4"/>
        <v>84</v>
      </c>
      <c r="B85" s="30">
        <f t="shared" ca="1" si="5"/>
        <v>0</v>
      </c>
      <c r="C85" s="23"/>
      <c r="D85" s="24"/>
      <c r="E85" s="24"/>
      <c r="F85" s="92"/>
      <c r="H85" s="28" t="b">
        <f t="shared" si="6"/>
        <v>0</v>
      </c>
      <c r="I85" s="28" t="b">
        <f t="shared" si="7"/>
        <v>0</v>
      </c>
      <c r="J85" s="28" t="b" cm="1">
        <f t="array" aca="1" ref="J85" ca="1">OR(COUNTIF(DATA_AREA_JP,D85)&gt;1,COUNTIF(DATA_AREA_EN,E85)&gt;1)</f>
        <v>0</v>
      </c>
    </row>
    <row r="86" spans="1:10">
      <c r="A86" s="23">
        <f t="shared" si="4"/>
        <v>85</v>
      </c>
      <c r="B86" s="30">
        <f t="shared" ca="1" si="5"/>
        <v>0</v>
      </c>
      <c r="C86" s="23"/>
      <c r="D86" s="24"/>
      <c r="E86" s="24"/>
      <c r="F86" s="92"/>
      <c r="H86" s="28" t="b">
        <f t="shared" si="6"/>
        <v>0</v>
      </c>
      <c r="I86" s="28" t="b">
        <f t="shared" si="7"/>
        <v>0</v>
      </c>
      <c r="J86" s="28" t="b" cm="1">
        <f t="array" aca="1" ref="J86" ca="1">OR(COUNTIF(DATA_AREA_JP,D86)&gt;1,COUNTIF(DATA_AREA_EN,E86)&gt;1)</f>
        <v>0</v>
      </c>
    </row>
    <row r="87" spans="1:10">
      <c r="A87" s="23">
        <f t="shared" si="4"/>
        <v>86</v>
      </c>
      <c r="B87" s="30">
        <f t="shared" ca="1" si="5"/>
        <v>0</v>
      </c>
      <c r="C87" s="23"/>
      <c r="D87" s="24"/>
      <c r="E87" s="24"/>
      <c r="F87" s="92"/>
      <c r="H87" s="28" t="b">
        <f t="shared" si="6"/>
        <v>0</v>
      </c>
      <c r="I87" s="28" t="b">
        <f t="shared" si="7"/>
        <v>0</v>
      </c>
      <c r="J87" s="28" t="b" cm="1">
        <f t="array" aca="1" ref="J87" ca="1">OR(COUNTIF(DATA_AREA_JP,D87)&gt;1,COUNTIF(DATA_AREA_EN,E87)&gt;1)</f>
        <v>0</v>
      </c>
    </row>
    <row r="88" spans="1:10">
      <c r="A88" s="23">
        <f t="shared" si="4"/>
        <v>87</v>
      </c>
      <c r="B88" s="30">
        <f t="shared" ca="1" si="5"/>
        <v>0</v>
      </c>
      <c r="C88" s="23"/>
      <c r="D88" s="24"/>
      <c r="E88" s="24"/>
      <c r="F88" s="92"/>
      <c r="H88" s="28" t="b">
        <f t="shared" si="6"/>
        <v>0</v>
      </c>
      <c r="I88" s="28" t="b">
        <f t="shared" si="7"/>
        <v>0</v>
      </c>
      <c r="J88" s="28" t="b" cm="1">
        <f t="array" aca="1" ref="J88" ca="1">OR(COUNTIF(DATA_AREA_JP,D88)&gt;1,COUNTIF(DATA_AREA_EN,E88)&gt;1)</f>
        <v>0</v>
      </c>
    </row>
    <row r="89" spans="1:10">
      <c r="A89" s="23">
        <f t="shared" si="4"/>
        <v>88</v>
      </c>
      <c r="B89" s="30">
        <f t="shared" ca="1" si="5"/>
        <v>0</v>
      </c>
      <c r="C89" s="23"/>
      <c r="D89" s="24"/>
      <c r="E89" s="24"/>
      <c r="F89" s="92"/>
      <c r="H89" s="28" t="b">
        <f t="shared" si="6"/>
        <v>0</v>
      </c>
      <c r="I89" s="28" t="b">
        <f t="shared" si="7"/>
        <v>0</v>
      </c>
      <c r="J89" s="28" t="b" cm="1">
        <f t="array" aca="1" ref="J89" ca="1">OR(COUNTIF(DATA_AREA_JP,D89)&gt;1,COUNTIF(DATA_AREA_EN,E89)&gt;1)</f>
        <v>0</v>
      </c>
    </row>
    <row r="90" spans="1:10">
      <c r="A90" s="23">
        <f t="shared" si="4"/>
        <v>89</v>
      </c>
      <c r="B90" s="30">
        <f t="shared" ca="1" si="5"/>
        <v>0</v>
      </c>
      <c r="C90" s="23"/>
      <c r="D90" s="24"/>
      <c r="E90" s="24"/>
      <c r="F90" s="92"/>
      <c r="H90" s="28" t="b">
        <f t="shared" si="6"/>
        <v>0</v>
      </c>
      <c r="I90" s="28" t="b">
        <f t="shared" si="7"/>
        <v>0</v>
      </c>
      <c r="J90" s="28" t="b" cm="1">
        <f t="array" aca="1" ref="J90" ca="1">OR(COUNTIF(DATA_AREA_JP,D90)&gt;1,COUNTIF(DATA_AREA_EN,E90)&gt;1)</f>
        <v>0</v>
      </c>
    </row>
    <row r="91" spans="1:10">
      <c r="A91" s="23">
        <f t="shared" si="4"/>
        <v>90</v>
      </c>
      <c r="B91" s="30">
        <f t="shared" ca="1" si="5"/>
        <v>0</v>
      </c>
      <c r="C91" s="23"/>
      <c r="D91" s="24"/>
      <c r="E91" s="24"/>
      <c r="F91" s="92"/>
      <c r="H91" s="28" t="b">
        <f t="shared" si="6"/>
        <v>0</v>
      </c>
      <c r="I91" s="28" t="b">
        <f t="shared" si="7"/>
        <v>0</v>
      </c>
      <c r="J91" s="28" t="b" cm="1">
        <f t="array" aca="1" ref="J91" ca="1">OR(COUNTIF(DATA_AREA_JP,D91)&gt;1,COUNTIF(DATA_AREA_EN,E91)&gt;1)</f>
        <v>0</v>
      </c>
    </row>
    <row r="92" spans="1:10">
      <c r="A92" s="23">
        <f t="shared" si="4"/>
        <v>91</v>
      </c>
      <c r="B92" s="30">
        <f t="shared" ca="1" si="5"/>
        <v>0</v>
      </c>
      <c r="C92" s="23"/>
      <c r="D92" s="24"/>
      <c r="E92" s="24"/>
      <c r="F92" s="92"/>
      <c r="H92" s="28" t="b">
        <f t="shared" si="6"/>
        <v>0</v>
      </c>
      <c r="I92" s="28" t="b">
        <f t="shared" si="7"/>
        <v>0</v>
      </c>
      <c r="J92" s="28" t="b" cm="1">
        <f t="array" aca="1" ref="J92" ca="1">OR(COUNTIF(DATA_AREA_JP,D92)&gt;1,COUNTIF(DATA_AREA_EN,E92)&gt;1)</f>
        <v>0</v>
      </c>
    </row>
    <row r="93" spans="1:10">
      <c r="A93" s="23">
        <f t="shared" si="4"/>
        <v>92</v>
      </c>
      <c r="B93" s="30">
        <f t="shared" ca="1" si="5"/>
        <v>0</v>
      </c>
      <c r="C93" s="23"/>
      <c r="D93" s="24"/>
      <c r="E93" s="24"/>
      <c r="F93" s="92"/>
      <c r="H93" s="28" t="b">
        <f t="shared" si="6"/>
        <v>0</v>
      </c>
      <c r="I93" s="28" t="b">
        <f t="shared" si="7"/>
        <v>0</v>
      </c>
      <c r="J93" s="28" t="b" cm="1">
        <f t="array" aca="1" ref="J93" ca="1">OR(COUNTIF(DATA_AREA_JP,D93)&gt;1,COUNTIF(DATA_AREA_EN,E93)&gt;1)</f>
        <v>0</v>
      </c>
    </row>
    <row r="94" spans="1:10">
      <c r="A94" s="23">
        <f t="shared" si="4"/>
        <v>93</v>
      </c>
      <c r="B94" s="30">
        <f t="shared" ca="1" si="5"/>
        <v>0</v>
      </c>
      <c r="C94" s="23"/>
      <c r="D94" s="24"/>
      <c r="E94" s="24"/>
      <c r="F94" s="92"/>
      <c r="H94" s="28" t="b">
        <f t="shared" si="6"/>
        <v>0</v>
      </c>
      <c r="I94" s="28" t="b">
        <f t="shared" si="7"/>
        <v>0</v>
      </c>
      <c r="J94" s="28" t="b" cm="1">
        <f t="array" aca="1" ref="J94" ca="1">OR(COUNTIF(DATA_AREA_JP,D94)&gt;1,COUNTIF(DATA_AREA_EN,E94)&gt;1)</f>
        <v>0</v>
      </c>
    </row>
    <row r="95" spans="1:10">
      <c r="A95" s="23">
        <f t="shared" si="4"/>
        <v>94</v>
      </c>
      <c r="B95" s="30">
        <f t="shared" ca="1" si="5"/>
        <v>0</v>
      </c>
      <c r="C95" s="23"/>
      <c r="D95" s="24"/>
      <c r="E95" s="24"/>
      <c r="F95" s="92"/>
      <c r="H95" s="28" t="b">
        <f t="shared" si="6"/>
        <v>0</v>
      </c>
      <c r="I95" s="28" t="b">
        <f t="shared" si="7"/>
        <v>0</v>
      </c>
      <c r="J95" s="28" t="b" cm="1">
        <f t="array" aca="1" ref="J95" ca="1">OR(COUNTIF(DATA_AREA_JP,D95)&gt;1,COUNTIF(DATA_AREA_EN,E95)&gt;1)</f>
        <v>0</v>
      </c>
    </row>
    <row r="96" spans="1:10">
      <c r="A96" s="23">
        <f t="shared" si="4"/>
        <v>95</v>
      </c>
      <c r="B96" s="30">
        <f t="shared" ca="1" si="5"/>
        <v>0</v>
      </c>
      <c r="C96" s="23"/>
      <c r="D96" s="24"/>
      <c r="E96" s="24"/>
      <c r="F96" s="92"/>
      <c r="H96" s="28" t="b">
        <f t="shared" si="6"/>
        <v>0</v>
      </c>
      <c r="I96" s="28" t="b">
        <f t="shared" si="7"/>
        <v>0</v>
      </c>
      <c r="J96" s="28" t="b" cm="1">
        <f t="array" aca="1" ref="J96" ca="1">OR(COUNTIF(DATA_AREA_JP,D96)&gt;1,COUNTIF(DATA_AREA_EN,E96)&gt;1)</f>
        <v>0</v>
      </c>
    </row>
    <row r="97" spans="1:10">
      <c r="A97" s="23">
        <f t="shared" si="4"/>
        <v>96</v>
      </c>
      <c r="B97" s="30">
        <f t="shared" ca="1" si="5"/>
        <v>0</v>
      </c>
      <c r="C97" s="23"/>
      <c r="D97" s="24"/>
      <c r="E97" s="24"/>
      <c r="F97" s="92"/>
      <c r="H97" s="28" t="b">
        <f t="shared" si="6"/>
        <v>0</v>
      </c>
      <c r="I97" s="28" t="b">
        <f t="shared" si="7"/>
        <v>0</v>
      </c>
      <c r="J97" s="28" t="b" cm="1">
        <f t="array" aca="1" ref="J97" ca="1">OR(COUNTIF(DATA_AREA_JP,D97)&gt;1,COUNTIF(DATA_AREA_EN,E97)&gt;1)</f>
        <v>0</v>
      </c>
    </row>
    <row r="98" spans="1:10">
      <c r="A98" s="23">
        <f t="shared" si="4"/>
        <v>97</v>
      </c>
      <c r="B98" s="30">
        <f t="shared" ca="1" si="5"/>
        <v>0</v>
      </c>
      <c r="C98" s="23"/>
      <c r="D98" s="24"/>
      <c r="E98" s="24"/>
      <c r="F98" s="92"/>
      <c r="H98" s="28" t="b">
        <f t="shared" si="6"/>
        <v>0</v>
      </c>
      <c r="I98" s="28" t="b">
        <f t="shared" si="7"/>
        <v>0</v>
      </c>
      <c r="J98" s="28" t="b" cm="1">
        <f t="array" aca="1" ref="J98" ca="1">OR(COUNTIF(DATA_AREA_JP,D98)&gt;1,COUNTIF(DATA_AREA_EN,E98)&gt;1)</f>
        <v>0</v>
      </c>
    </row>
    <row r="99" spans="1:10">
      <c r="A99" s="23">
        <f t="shared" si="4"/>
        <v>98</v>
      </c>
      <c r="B99" s="30">
        <f t="shared" ca="1" si="5"/>
        <v>0</v>
      </c>
      <c r="C99" s="23"/>
      <c r="D99" s="24"/>
      <c r="E99" s="24"/>
      <c r="F99" s="92"/>
      <c r="H99" s="28" t="b">
        <f t="shared" si="6"/>
        <v>0</v>
      </c>
      <c r="I99" s="28" t="b">
        <f t="shared" si="7"/>
        <v>0</v>
      </c>
      <c r="J99" s="28" t="b" cm="1">
        <f t="array" aca="1" ref="J99" ca="1">OR(COUNTIF(DATA_AREA_JP,D99)&gt;1,COUNTIF(DATA_AREA_EN,E99)&gt;1)</f>
        <v>0</v>
      </c>
    </row>
    <row r="100" spans="1:10">
      <c r="A100" s="23">
        <f t="shared" si="4"/>
        <v>99</v>
      </c>
      <c r="B100" s="30">
        <f t="shared" ca="1" si="5"/>
        <v>0</v>
      </c>
      <c r="C100" s="23"/>
      <c r="D100" s="24"/>
      <c r="E100" s="24"/>
      <c r="F100" s="92"/>
      <c r="H100" s="28" t="b">
        <f t="shared" si="6"/>
        <v>0</v>
      </c>
      <c r="I100" s="28" t="b">
        <f t="shared" si="7"/>
        <v>0</v>
      </c>
      <c r="J100" s="28" t="b" cm="1">
        <f t="array" aca="1" ref="J100" ca="1">OR(COUNTIF(DATA_AREA_JP,D100)&gt;1,COUNTIF(DATA_AREA_EN,E100)&gt;1)</f>
        <v>0</v>
      </c>
    </row>
    <row r="101" spans="1:10">
      <c r="A101" s="25">
        <f t="shared" si="4"/>
        <v>100</v>
      </c>
      <c r="B101" s="31">
        <f t="shared" ca="1" si="5"/>
        <v>0</v>
      </c>
      <c r="C101" s="25"/>
      <c r="D101" s="26"/>
      <c r="E101" s="26"/>
      <c r="F101" s="93"/>
      <c r="H101" s="28" t="b">
        <f t="shared" si="6"/>
        <v>0</v>
      </c>
      <c r="I101" s="28" t="b">
        <f t="shared" si="7"/>
        <v>0</v>
      </c>
      <c r="J101" s="28" t="b" cm="1">
        <f t="array" aca="1" ref="J101" ca="1">OR(COUNTIF(DATA_AREA_JP,D101)&gt;1,COUNTIF(DATA_AREA_EN,E101)&gt;1)</f>
        <v>0</v>
      </c>
    </row>
  </sheetData>
  <phoneticPr fontId="2"/>
  <conditionalFormatting sqref="B2:B101">
    <cfRule type="cellIs" dxfId="56" priority="4" operator="equal">
      <formula>1</formula>
    </cfRule>
  </conditionalFormatting>
  <conditionalFormatting sqref="D2:E101">
    <cfRule type="expression" dxfId="55" priority="3">
      <formula>$J2</formula>
    </cfRule>
  </conditionalFormatting>
  <conditionalFormatting sqref="F2:F101">
    <cfRule type="cellIs" dxfId="54" priority="2" operator="greaterThan">
      <formula>0</formula>
    </cfRule>
  </conditionalFormatting>
  <dataValidations count="2">
    <dataValidation imeMode="on" allowBlank="1" showInputMessage="1" showErrorMessage="1" sqref="A1:E1 D2:D101" xr:uid="{166E8013-200D-4F7A-80A9-84427EF11177}"/>
    <dataValidation imeMode="off" allowBlank="1" showInputMessage="1" showErrorMessage="1" sqref="E2:E101" xr:uid="{7458763B-93CA-48F7-804A-69E5DA12F9F3}"/>
  </dataValidations>
  <hyperlinks>
    <hyperlink ref="C2" location="'得意先'!A1" display="得意先" xr:uid="{0C6D2B80-9358-41CB-97BB-0C2EF786CF8F}"/>
    <hyperlink ref="C3" location="'受注'!A1" display="受注" xr:uid="{E3BB3257-12FE-4CD8-845D-5B2DE77F6457}"/>
    <hyperlink ref="C4" location="'受注明細'!A1" display="受注明細" xr:uid="{2701E31D-B992-48ED-BFCF-C613D2EB96B6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CC715-5AE9-4D79-8EDA-7FAF36CAC9ED}">
  <sheetPr codeName="template">
    <tabColor rgb="FFFFCC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5">
        <f ca="1">OR(AG:AG)+0</f>
        <v>1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e" cm="1" vm="1">
        <f t="array" aca="1" ref="B2" ca="1">INDEX(一覧!DATA_AREA,TABLE_NO,2)</f>
        <v>#VALUE!</v>
      </c>
      <c r="C2" s="20" t="e" cm="1" vm="1">
        <f t="array" aca="1" ref="C2" ca="1">INDEX(一覧!DATA_AREA,TABLE_NO,3)</f>
        <v>#VALUE!</v>
      </c>
      <c r="D2" s="95"/>
      <c r="E2" s="89" t="s">
        <v>169</v>
      </c>
      <c r="F2" s="90" t="s">
        <v>170</v>
      </c>
      <c r="G2" s="40"/>
      <c r="AF2" s="7" t="s">
        <v>17</v>
      </c>
      <c r="AG2" s="7" t="b">
        <f ca="1">OR(ISERROR(TABLE_JP),ISERROR(TABLE_EN))</f>
        <v>1</v>
      </c>
    </row>
    <row r="3" spans="1:41">
      <c r="AE3" s="7" t="s">
        <v>8</v>
      </c>
      <c r="AF3" s="7" t="s">
        <v>26</v>
      </c>
      <c r="AG3" s="7" t="b">
        <f>AI6="N/A"</f>
        <v>1</v>
      </c>
    </row>
    <row r="4" spans="1:41" ht="20">
      <c r="A4" s="10" t="s">
        <v>46</v>
      </c>
      <c r="K4" s="10" t="s">
        <v>47</v>
      </c>
      <c r="T4" s="69" t="s">
        <v>159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44</v>
      </c>
      <c r="H5" s="3" t="s">
        <v>43</v>
      </c>
      <c r="T5" s="7" t="s">
        <v>19</v>
      </c>
      <c r="U5" s="7" t="s">
        <v>23</v>
      </c>
      <c r="V5" s="7" t="s">
        <v>45</v>
      </c>
      <c r="AF5" s="7" t="s">
        <v>23</v>
      </c>
      <c r="AG5" s="7" t="b">
        <f>OR(U6:U105)</f>
        <v>0</v>
      </c>
      <c r="AI5" s="59">
        <f>COUNTA(AI6:AI105)</f>
        <v>1</v>
      </c>
      <c r="AJ5" s="70">
        <f>COUNTA(AJ6:AJ105)</f>
        <v>1</v>
      </c>
    </row>
    <row r="6" spans="1:41" ht="15" customHeight="1">
      <c r="A6" s="47">
        <v>1</v>
      </c>
      <c r="B6" s="41"/>
      <c r="C6" s="34" t="str">
        <f ca="1">IFERROR(VLOOKUP(B6,項目!DATA_AREA,2,FALSE),"")</f>
        <v/>
      </c>
      <c r="D6" s="34" t="str">
        <f ca="1">IFERROR(VLOOKUP(B6,項目!DATA_AREA,3,FALSE),"")</f>
        <v/>
      </c>
      <c r="E6" s="50"/>
      <c r="F6" s="44"/>
      <c r="G6" s="37" t="str">
        <f ca="1">IFERROR(VLOOKUP(B6,項目!DATA_AREA,4,FALSE),"")</f>
        <v/>
      </c>
      <c r="H6" s="11" t="str">
        <f ca="1">IFERROR(VLOOKUP(B6,項目!DATA_AREA,5,FALSE),"")</f>
        <v/>
      </c>
      <c r="K6" s="53" t="s">
        <v>51</v>
      </c>
      <c r="T6" s="19" t="b">
        <f t="shared" ref="T6:T37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69" t="s">
        <v>161</v>
      </c>
      <c r="AF6" s="7" t="s">
        <v>24</v>
      </c>
      <c r="AG6" s="7" t="b">
        <f ca="1">OR(V6:V105)</f>
        <v>0</v>
      </c>
      <c r="AI6" s="59" t="s">
        <v>34</v>
      </c>
      <c r="AJ6" s="70" t="s">
        <v>34</v>
      </c>
    </row>
    <row r="7" spans="1:41">
      <c r="A7" s="48">
        <v>2</v>
      </c>
      <c r="B7" s="42"/>
      <c r="C7" s="35" t="str">
        <f ca="1">IFERROR(VLOOKUP(B7,項目!DATA_AREA,2,FALSE),"")</f>
        <v/>
      </c>
      <c r="D7" s="35" t="str">
        <f ca="1">IFERROR(VLOOKUP(B7,項目!DATA_AREA,3,FALSE),"")</f>
        <v/>
      </c>
      <c r="E7" s="51"/>
      <c r="F7" s="45"/>
      <c r="G7" s="38" t="str">
        <f ca="1">IFERROR(VLOOKUP(B7,項目!DATA_AREA,4,FALSE),"")</f>
        <v/>
      </c>
      <c r="H7" s="12" t="str">
        <f ca="1">IFERROR(VLOOKUP(B7,項目!DATA_AREA,5,FALSE),"")</f>
        <v/>
      </c>
      <c r="K7" s="56" t="s">
        <v>12</v>
      </c>
      <c r="L7" s="57">
        <v>1</v>
      </c>
      <c r="M7" s="57">
        <v>2</v>
      </c>
      <c r="N7" s="57">
        <v>3</v>
      </c>
      <c r="O7" s="57">
        <v>4</v>
      </c>
      <c r="P7" s="58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1</v>
      </c>
      <c r="AI7" s="59"/>
      <c r="AJ7" s="70"/>
    </row>
    <row r="8" spans="1:41">
      <c r="A8" s="48">
        <v>3</v>
      </c>
      <c r="B8" s="42"/>
      <c r="C8" s="35" t="str">
        <f ca="1">IFERROR(VLOOKUP(B8,項目!DATA_AREA,2,FALSE),"")</f>
        <v/>
      </c>
      <c r="D8" s="35" t="str">
        <f ca="1">IFERROR(VLOOKUP(B8,項目!DATA_AREA,3,FALSE),"")</f>
        <v/>
      </c>
      <c r="E8" s="51"/>
      <c r="F8" s="45"/>
      <c r="G8" s="38" t="str">
        <f ca="1">IFERROR(VLOOKUP(B8,項目!DATA_AREA,4,FALSE),"")</f>
        <v/>
      </c>
      <c r="H8" s="12" t="str">
        <f ca="1">IFERROR(VLOOKUP(B8,項目!DATA_AREA,5,FALSE),"")</f>
        <v/>
      </c>
      <c r="K8" s="71" t="s">
        <v>14</v>
      </c>
      <c r="L8" s="72"/>
      <c r="M8" s="73"/>
      <c r="N8" s="73"/>
      <c r="O8" s="73"/>
      <c r="P8" s="74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59"/>
      <c r="AJ8" s="70"/>
      <c r="AK8" s="59" t="e">
        <f ca="1">VLOOKUP(L8,FIELD_NAME__,2,FALSE)</f>
        <v>#N/A</v>
      </c>
      <c r="AL8" s="59" t="e">
        <f ca="1">VLOOKUP(M8,FIELD_NAME__,2,FALSE)</f>
        <v>#N/A</v>
      </c>
      <c r="AM8" s="59" t="e">
        <f ca="1">VLOOKUP(N8,FIELD_NAME__,2,FALSE)</f>
        <v>#N/A</v>
      </c>
      <c r="AN8" s="59" t="e">
        <f ca="1">VLOOKUP(O8,FIELD_NAME__,2,FALSE)</f>
        <v>#N/A</v>
      </c>
      <c r="AO8" s="59" t="e">
        <f ca="1">VLOOKUP(P8,FIELD_NAME__,2,FALSE)</f>
        <v>#N/A</v>
      </c>
    </row>
    <row r="9" spans="1:41">
      <c r="A9" s="48">
        <v>4</v>
      </c>
      <c r="B9" s="42"/>
      <c r="C9" s="35" t="str">
        <f ca="1">IFERROR(VLOOKUP(B9,項目!DATA_AREA,2,FALSE),"")</f>
        <v/>
      </c>
      <c r="D9" s="35" t="str">
        <f ca="1">IFERROR(VLOOKUP(B9,項目!DATA_AREA,3,FALSE),"")</f>
        <v/>
      </c>
      <c r="E9" s="51"/>
      <c r="F9" s="45"/>
      <c r="G9" s="38" t="str">
        <f ca="1">IFERROR(VLOOKUP(B9,項目!DATA_AREA,4,FALSE),"")</f>
        <v/>
      </c>
      <c r="H9" s="12" t="str">
        <f ca="1">IFERROR(VLOOKUP(B9,項目!DATA_AREA,5,FALSE),"")</f>
        <v/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59"/>
      <c r="AJ9" s="70"/>
    </row>
    <row r="10" spans="1:41">
      <c r="A10" s="48">
        <v>5</v>
      </c>
      <c r="B10" s="42"/>
      <c r="C10" s="35" t="str">
        <f ca="1">IFERROR(VLOOKUP(B10,項目!DATA_AREA,2,FALSE),"")</f>
        <v/>
      </c>
      <c r="D10" s="35" t="str">
        <f ca="1">IFERROR(VLOOKUP(B10,項目!DATA_AREA,3,FALSE),"")</f>
        <v/>
      </c>
      <c r="E10" s="51"/>
      <c r="F10" s="45"/>
      <c r="G10" s="38" t="str">
        <f ca="1">IFERROR(VLOOKUP(B10,項目!DATA_AREA,4,FALSE),"")</f>
        <v/>
      </c>
      <c r="H10" s="12" t="str">
        <f ca="1">IFERROR(VLOOKUP(B10,項目!DATA_AREA,5,FALSE),"")</f>
        <v/>
      </c>
      <c r="R10" s="69" t="s">
        <v>160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53</v>
      </c>
      <c r="AF10" s="7" t="s">
        <v>164</v>
      </c>
      <c r="AG10" s="7" t="b">
        <f ca="1">OR($Y$13:$AC$22)</f>
        <v>0</v>
      </c>
      <c r="AI10" s="59"/>
      <c r="AJ10" s="70"/>
    </row>
    <row r="11" spans="1:41" ht="15" customHeight="1">
      <c r="A11" s="48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51"/>
      <c r="F11" s="45"/>
      <c r="G11" s="38" t="str">
        <f ca="1">IFERROR(VLOOKUP(B11,項目!DATA_AREA,4,FALSE),"")</f>
        <v/>
      </c>
      <c r="H11" s="12" t="str">
        <f ca="1">IFERROR(VLOOKUP(B11,項目!DATA_AREA,5,FALSE),"")</f>
        <v/>
      </c>
      <c r="K11" s="53" t="s">
        <v>52</v>
      </c>
      <c r="L11" s="63" t="s">
        <v>54</v>
      </c>
      <c r="R11" s="59" t="b">
        <f>_xlfn.CONCAT(UNIQUE_LIST)&lt;&gt;""</f>
        <v>0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163</v>
      </c>
      <c r="AG11" s="7" t="b">
        <f>OR($AD$13:$AD$22)</f>
        <v>0</v>
      </c>
      <c r="AI11" s="59"/>
      <c r="AJ11" s="70"/>
    </row>
    <row r="12" spans="1:41" ht="15" customHeight="1">
      <c r="A12" s="48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51"/>
      <c r="F12" s="45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60" t="s">
        <v>12</v>
      </c>
      <c r="L12" s="61">
        <v>1</v>
      </c>
      <c r="M12" s="61">
        <v>2</v>
      </c>
      <c r="N12" s="61">
        <v>3</v>
      </c>
      <c r="O12" s="61">
        <v>4</v>
      </c>
      <c r="P12" s="62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69" t="s">
        <v>162</v>
      </c>
      <c r="AD12" s="7" t="s">
        <v>163</v>
      </c>
      <c r="AI12" s="59"/>
      <c r="AJ12" s="70"/>
    </row>
    <row r="13" spans="1:41">
      <c r="A13" s="48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51"/>
      <c r="F13" s="45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5">
        <v>1</v>
      </c>
      <c r="L13" s="76"/>
      <c r="M13" s="77"/>
      <c r="N13" s="77"/>
      <c r="O13" s="77"/>
      <c r="P13" s="78"/>
      <c r="R13" s="87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165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59"/>
      <c r="AJ13" s="70"/>
      <c r="AK13" s="59" t="e">
        <f t="shared" ref="AK13:AK22" ca="1" si="9">VLOOKUP(L13,FIELD_NAME__,2,FALSE)</f>
        <v>#N/A</v>
      </c>
      <c r="AL13" s="59" t="e">
        <f t="shared" ref="AL13:AL22" ca="1" si="10">VLOOKUP(M13,FIELD_NAME__,2,FALSE)</f>
        <v>#N/A</v>
      </c>
      <c r="AM13" s="59" t="e">
        <f t="shared" ref="AM13:AM22" ca="1" si="11">VLOOKUP(N13,FIELD_NAME__,2,FALSE)</f>
        <v>#N/A</v>
      </c>
      <c r="AN13" s="59" t="e">
        <f t="shared" ref="AN13:AN22" ca="1" si="12">VLOOKUP(O13,FIELD_NAME__,2,FALSE)</f>
        <v>#N/A</v>
      </c>
      <c r="AO13" s="59" t="e">
        <f t="shared" ref="AO13:AO22" ca="1" si="13">VLOOKUP(P13,FIELD_NAME__,2,FALSE)</f>
        <v>#N/A</v>
      </c>
    </row>
    <row r="14" spans="1:41">
      <c r="A14" s="48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51"/>
      <c r="F14" s="45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9">
        <v>2</v>
      </c>
      <c r="L14" s="80"/>
      <c r="M14" s="81"/>
      <c r="N14" s="81"/>
      <c r="O14" s="81"/>
      <c r="P14" s="82"/>
      <c r="R14" s="87" t="str">
        <f t="shared" ref="R14:R22" si="14">_xlfn.CONCAT(L14:P14)</f>
        <v/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166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59"/>
      <c r="AJ14" s="70"/>
      <c r="AK14" s="59" t="e">
        <f t="shared" ca="1" si="9"/>
        <v>#N/A</v>
      </c>
      <c r="AL14" s="59" t="e">
        <f t="shared" ca="1" si="10"/>
        <v>#N/A</v>
      </c>
      <c r="AM14" s="59" t="e">
        <f t="shared" ca="1" si="11"/>
        <v>#N/A</v>
      </c>
      <c r="AN14" s="59" t="e">
        <f t="shared" ca="1" si="12"/>
        <v>#N/A</v>
      </c>
      <c r="AO14" s="59" t="e">
        <f t="shared" ca="1" si="13"/>
        <v>#N/A</v>
      </c>
    </row>
    <row r="15" spans="1:41">
      <c r="A15" s="48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51"/>
      <c r="F15" s="45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9">
        <v>3</v>
      </c>
      <c r="L15" s="80"/>
      <c r="M15" s="81"/>
      <c r="N15" s="81"/>
      <c r="O15" s="81"/>
      <c r="P15" s="82"/>
      <c r="R15" s="87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59"/>
      <c r="AJ15" s="70"/>
      <c r="AK15" s="59" t="e">
        <f t="shared" ca="1" si="9"/>
        <v>#N/A</v>
      </c>
      <c r="AL15" s="59" t="e">
        <f t="shared" ca="1" si="10"/>
        <v>#N/A</v>
      </c>
      <c r="AM15" s="59" t="e">
        <f t="shared" ca="1" si="11"/>
        <v>#N/A</v>
      </c>
      <c r="AN15" s="59" t="e">
        <f t="shared" ca="1" si="12"/>
        <v>#N/A</v>
      </c>
      <c r="AO15" s="59" t="e">
        <f t="shared" ca="1" si="13"/>
        <v>#N/A</v>
      </c>
    </row>
    <row r="16" spans="1:41">
      <c r="A16" s="48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51"/>
      <c r="F16" s="45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9">
        <v>4</v>
      </c>
      <c r="L16" s="80"/>
      <c r="M16" s="81"/>
      <c r="N16" s="81"/>
      <c r="O16" s="81"/>
      <c r="P16" s="82"/>
      <c r="R16" s="87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59"/>
      <c r="AJ16" s="70"/>
      <c r="AK16" s="59" t="e">
        <f t="shared" ca="1" si="9"/>
        <v>#N/A</v>
      </c>
      <c r="AL16" s="59" t="e">
        <f t="shared" ca="1" si="10"/>
        <v>#N/A</v>
      </c>
      <c r="AM16" s="59" t="e">
        <f t="shared" ca="1" si="11"/>
        <v>#N/A</v>
      </c>
      <c r="AN16" s="59" t="e">
        <f t="shared" ca="1" si="12"/>
        <v>#N/A</v>
      </c>
      <c r="AO16" s="59" t="e">
        <f t="shared" ca="1" si="13"/>
        <v>#N/A</v>
      </c>
    </row>
    <row r="17" spans="1:41">
      <c r="A17" s="48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51"/>
      <c r="F17" s="45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9">
        <v>5</v>
      </c>
      <c r="L17" s="80"/>
      <c r="M17" s="81"/>
      <c r="N17" s="81"/>
      <c r="O17" s="81"/>
      <c r="P17" s="82"/>
      <c r="R17" s="87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59"/>
      <c r="AJ17" s="70"/>
      <c r="AK17" s="59" t="e">
        <f t="shared" ca="1" si="9"/>
        <v>#N/A</v>
      </c>
      <c r="AL17" s="59" t="e">
        <f t="shared" ca="1" si="10"/>
        <v>#N/A</v>
      </c>
      <c r="AM17" s="59" t="e">
        <f t="shared" ca="1" si="11"/>
        <v>#N/A</v>
      </c>
      <c r="AN17" s="59" t="e">
        <f t="shared" ca="1" si="12"/>
        <v>#N/A</v>
      </c>
      <c r="AO17" s="59" t="e">
        <f t="shared" ca="1" si="13"/>
        <v>#N/A</v>
      </c>
    </row>
    <row r="18" spans="1:41">
      <c r="A18" s="48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51"/>
      <c r="F18" s="45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9">
        <v>6</v>
      </c>
      <c r="L18" s="80"/>
      <c r="M18" s="81"/>
      <c r="N18" s="81"/>
      <c r="O18" s="81"/>
      <c r="P18" s="82"/>
      <c r="R18" s="87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59"/>
      <c r="AJ18" s="70"/>
      <c r="AK18" s="59" t="e">
        <f t="shared" ca="1" si="9"/>
        <v>#N/A</v>
      </c>
      <c r="AL18" s="59" t="e">
        <f t="shared" ca="1" si="10"/>
        <v>#N/A</v>
      </c>
      <c r="AM18" s="59" t="e">
        <f t="shared" ca="1" si="11"/>
        <v>#N/A</v>
      </c>
      <c r="AN18" s="59" t="e">
        <f t="shared" ca="1" si="12"/>
        <v>#N/A</v>
      </c>
      <c r="AO18" s="59" t="e">
        <f t="shared" ca="1" si="13"/>
        <v>#N/A</v>
      </c>
    </row>
    <row r="19" spans="1:41">
      <c r="A19" s="48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51"/>
      <c r="F19" s="45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9">
        <v>7</v>
      </c>
      <c r="L19" s="80"/>
      <c r="M19" s="81"/>
      <c r="N19" s="81"/>
      <c r="O19" s="81"/>
      <c r="P19" s="82"/>
      <c r="R19" s="87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59"/>
      <c r="AJ19" s="70"/>
      <c r="AK19" s="59" t="e">
        <f t="shared" ca="1" si="9"/>
        <v>#N/A</v>
      </c>
      <c r="AL19" s="59" t="e">
        <f t="shared" ca="1" si="10"/>
        <v>#N/A</v>
      </c>
      <c r="AM19" s="59" t="e">
        <f t="shared" ca="1" si="11"/>
        <v>#N/A</v>
      </c>
      <c r="AN19" s="59" t="e">
        <f t="shared" ca="1" si="12"/>
        <v>#N/A</v>
      </c>
      <c r="AO19" s="59" t="e">
        <f t="shared" ca="1" si="13"/>
        <v>#N/A</v>
      </c>
    </row>
    <row r="20" spans="1:41">
      <c r="A20" s="48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51"/>
      <c r="F20" s="45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9">
        <v>8</v>
      </c>
      <c r="L20" s="80"/>
      <c r="M20" s="81"/>
      <c r="N20" s="81"/>
      <c r="O20" s="81"/>
      <c r="P20" s="82"/>
      <c r="R20" s="87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59"/>
      <c r="AJ20" s="70"/>
      <c r="AK20" s="59" t="e">
        <f t="shared" ca="1" si="9"/>
        <v>#N/A</v>
      </c>
      <c r="AL20" s="59" t="e">
        <f t="shared" ca="1" si="10"/>
        <v>#N/A</v>
      </c>
      <c r="AM20" s="59" t="e">
        <f t="shared" ca="1" si="11"/>
        <v>#N/A</v>
      </c>
      <c r="AN20" s="59" t="e">
        <f t="shared" ca="1" si="12"/>
        <v>#N/A</v>
      </c>
      <c r="AO20" s="59" t="e">
        <f t="shared" ca="1" si="13"/>
        <v>#N/A</v>
      </c>
    </row>
    <row r="21" spans="1:41">
      <c r="A21" s="48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51"/>
      <c r="F21" s="45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9">
        <v>9</v>
      </c>
      <c r="L21" s="80"/>
      <c r="M21" s="81"/>
      <c r="N21" s="81"/>
      <c r="O21" s="81"/>
      <c r="P21" s="82"/>
      <c r="R21" s="87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59"/>
      <c r="AJ21" s="70"/>
      <c r="AK21" s="59" t="e">
        <f t="shared" ca="1" si="9"/>
        <v>#N/A</v>
      </c>
      <c r="AL21" s="59" t="e">
        <f t="shared" ca="1" si="10"/>
        <v>#N/A</v>
      </c>
      <c r="AM21" s="59" t="e">
        <f t="shared" ca="1" si="11"/>
        <v>#N/A</v>
      </c>
      <c r="AN21" s="59" t="e">
        <f t="shared" ca="1" si="12"/>
        <v>#N/A</v>
      </c>
      <c r="AO21" s="59" t="e">
        <f t="shared" ca="1" si="13"/>
        <v>#N/A</v>
      </c>
    </row>
    <row r="22" spans="1:41">
      <c r="A22" s="48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51"/>
      <c r="F22" s="45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83">
        <v>10</v>
      </c>
      <c r="L22" s="84"/>
      <c r="M22" s="85"/>
      <c r="N22" s="85"/>
      <c r="O22" s="85"/>
      <c r="P22" s="86"/>
      <c r="R22" s="87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59"/>
      <c r="AJ22" s="70"/>
      <c r="AK22" s="59" t="e">
        <f t="shared" ca="1" si="9"/>
        <v>#N/A</v>
      </c>
      <c r="AL22" s="59" t="e">
        <f t="shared" ca="1" si="10"/>
        <v>#N/A</v>
      </c>
      <c r="AM22" s="59" t="e">
        <f t="shared" ca="1" si="11"/>
        <v>#N/A</v>
      </c>
      <c r="AN22" s="59" t="e">
        <f t="shared" ca="1" si="12"/>
        <v>#N/A</v>
      </c>
      <c r="AO22" s="59" t="e">
        <f t="shared" ca="1" si="13"/>
        <v>#N/A</v>
      </c>
    </row>
    <row r="23" spans="1:41">
      <c r="A23" s="48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51"/>
      <c r="F23" s="45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59"/>
      <c r="AJ23" s="70"/>
    </row>
    <row r="24" spans="1:41" ht="15" customHeight="1">
      <c r="A24" s="48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51"/>
      <c r="F24" s="45"/>
      <c r="G24" s="38" t="str">
        <f ca="1">IFERROR(VLOOKUP(B24,項目!DATA_AREA,4,FALSE),"")</f>
        <v/>
      </c>
      <c r="H24" s="12" t="str">
        <f ca="1">IFERROR(VLOOKUP(B24,項目!DATA_AREA,5,FALSE),"")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59"/>
      <c r="AJ24" s="70"/>
    </row>
    <row r="25" spans="1:41">
      <c r="A25" s="48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51"/>
      <c r="F25" s="45"/>
      <c r="G25" s="38" t="str">
        <f ca="1">IFERROR(VLOOKUP(B25,項目!DATA_AREA,4,FALSE),"")</f>
        <v/>
      </c>
      <c r="H25" s="12" t="str">
        <f ca="1">IFERROR(VLOOKUP(B25,項目!DATA_AREA,5,FALSE),"")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59"/>
      <c r="AJ25" s="70"/>
    </row>
    <row r="26" spans="1:41">
      <c r="A26" s="48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51"/>
      <c r="F26" s="45"/>
      <c r="G26" s="38" t="str">
        <f ca="1">IFERROR(VLOOKUP(B26,項目!DATA_AREA,4,FALSE),"")</f>
        <v/>
      </c>
      <c r="H26" s="12" t="str">
        <f ca="1">IFERROR(VLOOKUP(B26,項目!DATA_AREA,5,FALSE),"")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59"/>
      <c r="AJ26" s="70"/>
    </row>
    <row r="27" spans="1:41">
      <c r="A27" s="48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51"/>
      <c r="F27" s="45"/>
      <c r="G27" s="38" t="str">
        <f ca="1">IFERROR(VLOOKUP(B27,項目!DATA_AREA,4,FALSE),"")</f>
        <v/>
      </c>
      <c r="H27" s="12" t="str">
        <f ca="1">IFERROR(VLOOKUP(B27,項目!DATA_AREA,5,FALSE),"")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59"/>
      <c r="AJ27" s="70"/>
    </row>
    <row r="28" spans="1:41">
      <c r="A28" s="48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51"/>
      <c r="F28" s="45"/>
      <c r="G28" s="38" t="str">
        <f ca="1">IFERROR(VLOOKUP(B28,項目!DATA_AREA,4,FALSE),"")</f>
        <v/>
      </c>
      <c r="H28" s="12" t="str">
        <f ca="1">IFERROR(VLOOKUP(B28,項目!DATA_AREA,5,FALSE),"")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59"/>
      <c r="AJ28" s="70"/>
    </row>
    <row r="29" spans="1:41">
      <c r="A29" s="48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51"/>
      <c r="F29" s="45"/>
      <c r="G29" s="38" t="str">
        <f ca="1">IFERROR(VLOOKUP(B29,項目!DATA_AREA,4,FALSE),"")</f>
        <v/>
      </c>
      <c r="H29" s="12" t="str">
        <f ca="1">IFERROR(VLOOKUP(B29,項目!DATA_AREA,5,FALSE),"")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59"/>
      <c r="AJ29" s="70"/>
    </row>
    <row r="30" spans="1:41">
      <c r="A30" s="48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51"/>
      <c r="F30" s="45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59"/>
      <c r="AJ30" s="70"/>
    </row>
    <row r="31" spans="1:41">
      <c r="A31" s="48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51"/>
      <c r="F31" s="45"/>
      <c r="G31" s="38" t="str">
        <f ca="1">IFERROR(VLOOKUP(B31,項目!DATA_AREA,4,FALSE),"")</f>
        <v/>
      </c>
      <c r="H31" s="12" t="str">
        <f ca="1">IFERROR(VLOOKUP(B31,項目!DATA_AREA,5,FALSE),"")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59"/>
      <c r="AJ31" s="70"/>
    </row>
    <row r="32" spans="1:41">
      <c r="A32" s="48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51"/>
      <c r="F32" s="45"/>
      <c r="G32" s="38" t="str">
        <f ca="1">IFERROR(VLOOKUP(B32,項目!DATA_AREA,4,FALSE),"")</f>
        <v/>
      </c>
      <c r="H32" s="12" t="str">
        <f ca="1">IFERROR(VLOOKUP(B32,項目!DATA_AREA,5,FALSE),"")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59"/>
      <c r="AJ32" s="70"/>
    </row>
    <row r="33" spans="1:36">
      <c r="A33" s="48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51"/>
      <c r="F33" s="45"/>
      <c r="G33" s="38" t="str">
        <f ca="1">IFERROR(VLOOKUP(B33,項目!DATA_AREA,4,FALSE),"")</f>
        <v/>
      </c>
      <c r="H33" s="12" t="str">
        <f ca="1">IFERROR(VLOOKUP(B33,項目!DATA_AREA,5,FALSE),"")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59"/>
      <c r="AJ33" s="70"/>
    </row>
    <row r="34" spans="1:36">
      <c r="A34" s="48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51"/>
      <c r="F34" s="45"/>
      <c r="G34" s="38" t="str">
        <f ca="1">IFERROR(VLOOKUP(B34,項目!DATA_AREA,4,FALSE),"")</f>
        <v/>
      </c>
      <c r="H34" s="12" t="str">
        <f ca="1">IFERROR(VLOOKUP(B34,項目!DATA_AREA,5,FALSE),"")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59"/>
      <c r="AJ34" s="70"/>
    </row>
    <row r="35" spans="1:36">
      <c r="A35" s="48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51"/>
      <c r="F35" s="45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59"/>
      <c r="AJ35" s="70"/>
    </row>
    <row r="36" spans="1:36">
      <c r="A36" s="48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51"/>
      <c r="F36" s="45"/>
      <c r="G36" s="38" t="str">
        <f ca="1">IFERROR(VLOOKUP(B36,項目!DATA_AREA,4,FALSE),"")</f>
        <v/>
      </c>
      <c r="H36" s="12" t="str">
        <f ca="1">IFERROR(VLOOKUP(B36,項目!DATA_AREA,5,FALSE),"")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59"/>
      <c r="AJ36" s="70"/>
    </row>
    <row r="37" spans="1:36">
      <c r="A37" s="48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51"/>
      <c r="F37" s="45"/>
      <c r="G37" s="38" t="str">
        <f ca="1">IFERROR(VLOOKUP(B37,項目!DATA_AREA,4,FALSE),"")</f>
        <v/>
      </c>
      <c r="H37" s="12" t="str">
        <f ca="1">IFERROR(VLOOKUP(B37,項目!DATA_AREA,5,FALSE),"")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59"/>
      <c r="AJ37" s="70"/>
    </row>
    <row r="38" spans="1:36">
      <c r="A38" s="48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51"/>
      <c r="F38" s="45"/>
      <c r="G38" s="38" t="str">
        <f ca="1">IFERROR(VLOOKUP(B38,項目!DATA_AREA,4,FALSE),"")</f>
        <v/>
      </c>
      <c r="H38" s="12" t="str">
        <f ca="1">IFERROR(VLOOKUP(B38,項目!DATA_AREA,5,FALSE),"")</f>
        <v/>
      </c>
      <c r="T38" s="19" t="b">
        <f t="shared" ref="T38:T69" ca="1" si="16">AND(B38&lt;&gt;"",ISNA(MATCH(B38,項目リスト,0)))</f>
        <v>0</v>
      </c>
      <c r="U38" s="19" t="b">
        <f t="shared" ref="U38:U69" si="17">COUNTIF(FIELD_NAME,B38)&gt;1</f>
        <v>0</v>
      </c>
      <c r="V38" s="19" t="b">
        <f t="shared" ca="1" si="3"/>
        <v>0</v>
      </c>
      <c r="AI38" s="59"/>
      <c r="AJ38" s="70"/>
    </row>
    <row r="39" spans="1:36">
      <c r="A39" s="48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51"/>
      <c r="F39" s="45"/>
      <c r="G39" s="38" t="str">
        <f ca="1">IFERROR(VLOOKUP(B39,項目!DATA_AREA,4,FALSE),"")</f>
        <v/>
      </c>
      <c r="H39" s="12" t="str">
        <f ca="1">IFERROR(VLOOKUP(B39,項目!DATA_AREA,5,FALSE),"")</f>
        <v/>
      </c>
      <c r="T39" s="19" t="b">
        <f t="shared" ca="1" si="16"/>
        <v>0</v>
      </c>
      <c r="U39" s="19" t="b">
        <f t="shared" si="17"/>
        <v>0</v>
      </c>
      <c r="V39" s="19" t="b">
        <f t="shared" ca="1" si="3"/>
        <v>0</v>
      </c>
      <c r="AI39" s="59"/>
      <c r="AJ39" s="70"/>
    </row>
    <row r="40" spans="1:36">
      <c r="A40" s="48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51"/>
      <c r="F40" s="45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16"/>
        <v>0</v>
      </c>
      <c r="U40" s="19" t="b">
        <f t="shared" si="17"/>
        <v>0</v>
      </c>
      <c r="V40" s="19" t="b">
        <f t="shared" ca="1" si="3"/>
        <v>0</v>
      </c>
      <c r="AI40" s="59"/>
      <c r="AJ40" s="70"/>
    </row>
    <row r="41" spans="1:36">
      <c r="A41" s="48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51"/>
      <c r="F41" s="45"/>
      <c r="G41" s="38" t="str">
        <f ca="1">IFERROR(VLOOKUP(B41,項目!DATA_AREA,4,FALSE),"")</f>
        <v/>
      </c>
      <c r="H41" s="12" t="str">
        <f ca="1">IFERROR(VLOOKUP(B41,項目!DATA_AREA,5,FALSE),"")</f>
        <v/>
      </c>
      <c r="T41" s="19" t="b">
        <f t="shared" ca="1" si="16"/>
        <v>0</v>
      </c>
      <c r="U41" s="19" t="b">
        <f t="shared" si="17"/>
        <v>0</v>
      </c>
      <c r="V41" s="19" t="b">
        <f t="shared" ca="1" si="3"/>
        <v>0</v>
      </c>
      <c r="AI41" s="59"/>
      <c r="AJ41" s="70"/>
    </row>
    <row r="42" spans="1:36">
      <c r="A42" s="48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51"/>
      <c r="F42" s="45"/>
      <c r="G42" s="38" t="str">
        <f ca="1">IFERROR(VLOOKUP(B42,項目!DATA_AREA,4,FALSE),"")</f>
        <v/>
      </c>
      <c r="H42" s="12" t="str">
        <f ca="1">IFERROR(VLOOKUP(B42,項目!DATA_AREA,5,FALSE),"")</f>
        <v/>
      </c>
      <c r="T42" s="19" t="b">
        <f t="shared" ca="1" si="16"/>
        <v>0</v>
      </c>
      <c r="U42" s="19" t="b">
        <f t="shared" si="17"/>
        <v>0</v>
      </c>
      <c r="V42" s="19" t="b">
        <f t="shared" ca="1" si="3"/>
        <v>0</v>
      </c>
      <c r="AI42" s="59"/>
      <c r="AJ42" s="70"/>
    </row>
    <row r="43" spans="1:36">
      <c r="A43" s="48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51"/>
      <c r="F43" s="45"/>
      <c r="G43" s="38" t="str">
        <f ca="1">IFERROR(VLOOKUP(B43,項目!DATA_AREA,4,FALSE),"")</f>
        <v/>
      </c>
      <c r="H43" s="12" t="str">
        <f ca="1">IFERROR(VLOOKUP(B43,項目!DATA_AREA,5,FALSE),"")</f>
        <v/>
      </c>
      <c r="T43" s="19" t="b">
        <f t="shared" ca="1" si="16"/>
        <v>0</v>
      </c>
      <c r="U43" s="19" t="b">
        <f t="shared" si="17"/>
        <v>0</v>
      </c>
      <c r="V43" s="19" t="b">
        <f t="shared" ca="1" si="3"/>
        <v>0</v>
      </c>
      <c r="AI43" s="59"/>
      <c r="AJ43" s="70"/>
    </row>
    <row r="44" spans="1:36">
      <c r="A44" s="48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51"/>
      <c r="F44" s="45"/>
      <c r="G44" s="38" t="str">
        <f ca="1">IFERROR(VLOOKUP(B44,項目!DATA_AREA,4,FALSE),"")</f>
        <v/>
      </c>
      <c r="H44" s="12" t="str">
        <f ca="1">IFERROR(VLOOKUP(B44,項目!DATA_AREA,5,FALSE),"")</f>
        <v/>
      </c>
      <c r="T44" s="19" t="b">
        <f t="shared" ca="1" si="16"/>
        <v>0</v>
      </c>
      <c r="U44" s="19" t="b">
        <f t="shared" si="17"/>
        <v>0</v>
      </c>
      <c r="V44" s="19" t="b">
        <f t="shared" ca="1" si="3"/>
        <v>0</v>
      </c>
      <c r="AI44" s="59"/>
      <c r="AJ44" s="70"/>
    </row>
    <row r="45" spans="1:36">
      <c r="A45" s="48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51"/>
      <c r="F45" s="45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16"/>
        <v>0</v>
      </c>
      <c r="U45" s="19" t="b">
        <f t="shared" si="17"/>
        <v>0</v>
      </c>
      <c r="V45" s="19" t="b">
        <f t="shared" ca="1" si="3"/>
        <v>0</v>
      </c>
      <c r="AI45" s="59"/>
      <c r="AJ45" s="70"/>
    </row>
    <row r="46" spans="1:36">
      <c r="A46" s="48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51"/>
      <c r="F46" s="45"/>
      <c r="G46" s="38" t="str">
        <f ca="1">IFERROR(VLOOKUP(B46,項目!DATA_AREA,4,FALSE),"")</f>
        <v/>
      </c>
      <c r="H46" s="12" t="str">
        <f ca="1">IFERROR(VLOOKUP(B46,項目!DATA_AREA,5,FALSE),"")</f>
        <v/>
      </c>
      <c r="T46" s="19" t="b">
        <f t="shared" ca="1" si="16"/>
        <v>0</v>
      </c>
      <c r="U46" s="19" t="b">
        <f t="shared" si="17"/>
        <v>0</v>
      </c>
      <c r="V46" s="19" t="b">
        <f t="shared" ca="1" si="3"/>
        <v>0</v>
      </c>
      <c r="AI46" s="59"/>
      <c r="AJ46" s="70"/>
    </row>
    <row r="47" spans="1:36">
      <c r="A47" s="48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51"/>
      <c r="F47" s="45"/>
      <c r="G47" s="38" t="str">
        <f ca="1">IFERROR(VLOOKUP(B47,項目!DATA_AREA,4,FALSE),"")</f>
        <v/>
      </c>
      <c r="H47" s="12" t="str">
        <f ca="1">IFERROR(VLOOKUP(B47,項目!DATA_AREA,5,FALSE),"")</f>
        <v/>
      </c>
      <c r="T47" s="19" t="b">
        <f t="shared" ca="1" si="16"/>
        <v>0</v>
      </c>
      <c r="U47" s="19" t="b">
        <f t="shared" si="17"/>
        <v>0</v>
      </c>
      <c r="V47" s="19" t="b">
        <f t="shared" ca="1" si="3"/>
        <v>0</v>
      </c>
      <c r="AI47" s="59"/>
      <c r="AJ47" s="70"/>
    </row>
    <row r="48" spans="1:36">
      <c r="A48" s="48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51"/>
      <c r="F48" s="45"/>
      <c r="G48" s="38" t="str">
        <f ca="1">IFERROR(VLOOKUP(B48,項目!DATA_AREA,4,FALSE),"")</f>
        <v/>
      </c>
      <c r="H48" s="12" t="str">
        <f ca="1">IFERROR(VLOOKUP(B48,項目!DATA_AREA,5,FALSE),"")</f>
        <v/>
      </c>
      <c r="T48" s="19" t="b">
        <f t="shared" ca="1" si="16"/>
        <v>0</v>
      </c>
      <c r="U48" s="19" t="b">
        <f t="shared" si="17"/>
        <v>0</v>
      </c>
      <c r="V48" s="19" t="b">
        <f t="shared" ca="1" si="3"/>
        <v>0</v>
      </c>
      <c r="AI48" s="59"/>
      <c r="AJ48" s="70"/>
    </row>
    <row r="49" spans="1:36">
      <c r="A49" s="48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51"/>
      <c r="F49" s="45"/>
      <c r="G49" s="38" t="str">
        <f ca="1">IFERROR(VLOOKUP(B49,項目!DATA_AREA,4,FALSE),"")</f>
        <v/>
      </c>
      <c r="H49" s="12" t="str">
        <f ca="1">IFERROR(VLOOKUP(B49,項目!DATA_AREA,5,FALSE),"")</f>
        <v/>
      </c>
      <c r="T49" s="19" t="b">
        <f t="shared" ca="1" si="16"/>
        <v>0</v>
      </c>
      <c r="U49" s="19" t="b">
        <f t="shared" si="17"/>
        <v>0</v>
      </c>
      <c r="V49" s="19" t="b">
        <f t="shared" ca="1" si="3"/>
        <v>0</v>
      </c>
      <c r="AI49" s="59"/>
      <c r="AJ49" s="70"/>
    </row>
    <row r="50" spans="1:36">
      <c r="A50" s="48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51"/>
      <c r="F50" s="45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16"/>
        <v>0</v>
      </c>
      <c r="U50" s="19" t="b">
        <f t="shared" si="17"/>
        <v>0</v>
      </c>
      <c r="V50" s="19" t="b">
        <f t="shared" ca="1" si="3"/>
        <v>0</v>
      </c>
      <c r="X50" s="7" t="s">
        <v>13</v>
      </c>
      <c r="AI50" s="59"/>
      <c r="AJ50" s="70"/>
    </row>
    <row r="51" spans="1:36">
      <c r="A51" s="48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51"/>
      <c r="F51" s="45"/>
      <c r="G51" s="38" t="str">
        <f ca="1">IFERROR(VLOOKUP(B51,項目!DATA_AREA,4,FALSE),"")</f>
        <v/>
      </c>
      <c r="H51" s="12" t="str">
        <f ca="1">IFERROR(VLOOKUP(B51,項目!DATA_AREA,5,FALSE),"")</f>
        <v/>
      </c>
      <c r="T51" s="19" t="b">
        <f t="shared" ca="1" si="16"/>
        <v>0</v>
      </c>
      <c r="U51" s="19" t="b">
        <f t="shared" si="17"/>
        <v>0</v>
      </c>
      <c r="V51" s="19" t="b">
        <f t="shared" ca="1" si="3"/>
        <v>0</v>
      </c>
      <c r="X51" s="7" t="s">
        <v>19</v>
      </c>
      <c r="AI51" s="59"/>
      <c r="AJ51" s="70"/>
    </row>
    <row r="52" spans="1:36">
      <c r="A52" s="48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51"/>
      <c r="F52" s="45"/>
      <c r="G52" s="38" t="str">
        <f ca="1">IFERROR(VLOOKUP(B52,項目!DATA_AREA,4,FALSE),"")</f>
        <v/>
      </c>
      <c r="H52" s="12" t="str">
        <f ca="1">IFERROR(VLOOKUP(B52,項目!DATA_AREA,5,FALSE),"")</f>
        <v/>
      </c>
      <c r="T52" s="19" t="b">
        <f t="shared" ca="1" si="16"/>
        <v>0</v>
      </c>
      <c r="U52" s="19" t="b">
        <f t="shared" si="17"/>
        <v>0</v>
      </c>
      <c r="V52" s="19" t="b">
        <f t="shared" ca="1" si="3"/>
        <v>0</v>
      </c>
      <c r="X52" s="19" t="b">
        <f t="shared" ref="X52:X61" si="18">AND(N41&lt;&gt;"",ISNA(MATCH(N41,テーブル項目KEY,0)))</f>
        <v>0</v>
      </c>
      <c r="Y52" s="19" t="b">
        <f t="shared" ref="Y52:Y61" si="19">AND(O41&lt;&gt;"",ISNA(MATCH(O41,テーブル項目KEY,0)))</f>
        <v>0</v>
      </c>
      <c r="Z52" s="19" t="b">
        <f t="shared" ref="Z52:Z61" si="20">AND(P41&lt;&gt;"",ISNA(MATCH(P41,テーブル項目KEY,0)))</f>
        <v>0</v>
      </c>
      <c r="AA52" s="19" t="b">
        <f t="shared" ref="AA52:AA61" si="21">AND(Q41&lt;&gt;"",ISNA(MATCH(Q41,テーブル項目KEY,0)))</f>
        <v>0</v>
      </c>
      <c r="AB52" s="19" t="b">
        <f t="shared" ref="AB52:AB61" si="22">AND(R41&lt;&gt;"",ISNA(MATCH(R41,テーブル項目KEY,0)))</f>
        <v>0</v>
      </c>
      <c r="AI52" s="59"/>
      <c r="AJ52" s="70"/>
    </row>
    <row r="53" spans="1:36">
      <c r="A53" s="48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51"/>
      <c r="F53" s="45"/>
      <c r="G53" s="38" t="str">
        <f ca="1">IFERROR(VLOOKUP(B53,項目!DATA_AREA,4,FALSE),"")</f>
        <v/>
      </c>
      <c r="H53" s="12" t="str">
        <f ca="1">IFERROR(VLOOKUP(B53,項目!DATA_AREA,5,FALSE),"")</f>
        <v/>
      </c>
      <c r="T53" s="19" t="b">
        <f t="shared" ca="1" si="16"/>
        <v>0</v>
      </c>
      <c r="U53" s="19" t="b">
        <f t="shared" si="17"/>
        <v>0</v>
      </c>
      <c r="V53" s="19" t="b">
        <f t="shared" ca="1" si="3"/>
        <v>0</v>
      </c>
      <c r="X53" s="19" t="b">
        <f t="shared" si="18"/>
        <v>0</v>
      </c>
      <c r="Y53" s="19" t="b">
        <f t="shared" si="19"/>
        <v>0</v>
      </c>
      <c r="Z53" s="19" t="b">
        <f t="shared" si="20"/>
        <v>0</v>
      </c>
      <c r="AA53" s="19" t="b">
        <f t="shared" si="21"/>
        <v>0</v>
      </c>
      <c r="AB53" s="19" t="b">
        <f t="shared" si="22"/>
        <v>0</v>
      </c>
      <c r="AI53" s="59"/>
      <c r="AJ53" s="70"/>
    </row>
    <row r="54" spans="1:36">
      <c r="A54" s="48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51"/>
      <c r="F54" s="45"/>
      <c r="G54" s="38" t="str">
        <f ca="1">IFERROR(VLOOKUP(B54,項目!DATA_AREA,4,FALSE),"")</f>
        <v/>
      </c>
      <c r="H54" s="12" t="str">
        <f ca="1">IFERROR(VLOOKUP(B54,項目!DATA_AREA,5,FALSE),"")</f>
        <v/>
      </c>
      <c r="T54" s="19" t="b">
        <f t="shared" ca="1" si="16"/>
        <v>0</v>
      </c>
      <c r="U54" s="19" t="b">
        <f t="shared" si="17"/>
        <v>0</v>
      </c>
      <c r="V54" s="19" t="b">
        <f t="shared" ca="1" si="3"/>
        <v>0</v>
      </c>
      <c r="X54" s="19" t="b">
        <f t="shared" si="18"/>
        <v>0</v>
      </c>
      <c r="Y54" s="19" t="b">
        <f t="shared" si="19"/>
        <v>0</v>
      </c>
      <c r="Z54" s="19" t="b">
        <f t="shared" si="20"/>
        <v>0</v>
      </c>
      <c r="AA54" s="19" t="b">
        <f t="shared" si="21"/>
        <v>0</v>
      </c>
      <c r="AB54" s="19" t="b">
        <f t="shared" si="22"/>
        <v>0</v>
      </c>
      <c r="AI54" s="59"/>
      <c r="AJ54" s="70"/>
    </row>
    <row r="55" spans="1:36">
      <c r="A55" s="48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51"/>
      <c r="F55" s="45"/>
      <c r="G55" s="38" t="str">
        <f ca="1">IFERROR(VLOOKUP(B55,項目!DATA_AREA,4,FALSE),"")</f>
        <v/>
      </c>
      <c r="H55" s="12" t="str">
        <f ca="1">IFERROR(VLOOKUP(B55,項目!DATA_AREA,5,FALSE),"")</f>
        <v/>
      </c>
      <c r="T55" s="19" t="b">
        <f t="shared" ca="1" si="16"/>
        <v>0</v>
      </c>
      <c r="U55" s="19" t="b">
        <f t="shared" si="17"/>
        <v>0</v>
      </c>
      <c r="V55" s="19" t="b">
        <f t="shared" ca="1" si="3"/>
        <v>0</v>
      </c>
      <c r="X55" s="19" t="b">
        <f t="shared" si="18"/>
        <v>0</v>
      </c>
      <c r="Y55" s="19" t="b">
        <f t="shared" si="19"/>
        <v>0</v>
      </c>
      <c r="Z55" s="19" t="b">
        <f t="shared" si="20"/>
        <v>0</v>
      </c>
      <c r="AA55" s="19" t="b">
        <f t="shared" si="21"/>
        <v>0</v>
      </c>
      <c r="AB55" s="19" t="b">
        <f t="shared" si="22"/>
        <v>0</v>
      </c>
      <c r="AI55" s="59"/>
      <c r="AJ55" s="70"/>
    </row>
    <row r="56" spans="1:36">
      <c r="A56" s="48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51"/>
      <c r="F56" s="45"/>
      <c r="G56" s="38" t="str">
        <f ca="1">IFERROR(VLOOKUP(B56,項目!DATA_AREA,4,FALSE),"")</f>
        <v/>
      </c>
      <c r="H56" s="12" t="str">
        <f ca="1">IFERROR(VLOOKUP(B56,項目!DATA_AREA,5,FALSE),"")</f>
        <v/>
      </c>
      <c r="T56" s="19" t="b">
        <f t="shared" ca="1" si="16"/>
        <v>0</v>
      </c>
      <c r="U56" s="19" t="b">
        <f t="shared" si="17"/>
        <v>0</v>
      </c>
      <c r="V56" s="19" t="b">
        <f t="shared" ca="1" si="3"/>
        <v>0</v>
      </c>
      <c r="X56" s="19" t="b">
        <f t="shared" si="18"/>
        <v>0</v>
      </c>
      <c r="Y56" s="19" t="b">
        <f t="shared" si="19"/>
        <v>0</v>
      </c>
      <c r="Z56" s="19" t="b">
        <f t="shared" si="20"/>
        <v>0</v>
      </c>
      <c r="AA56" s="19" t="b">
        <f t="shared" si="21"/>
        <v>0</v>
      </c>
      <c r="AB56" s="19" t="b">
        <f t="shared" si="22"/>
        <v>0</v>
      </c>
      <c r="AI56" s="59"/>
      <c r="AJ56" s="70"/>
    </row>
    <row r="57" spans="1:36">
      <c r="A57" s="48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51"/>
      <c r="F57" s="45"/>
      <c r="G57" s="38" t="str">
        <f ca="1">IFERROR(VLOOKUP(B57,項目!DATA_AREA,4,FALSE),"")</f>
        <v/>
      </c>
      <c r="H57" s="12" t="str">
        <f ca="1">IFERROR(VLOOKUP(B57,項目!DATA_AREA,5,FALSE),"")</f>
        <v/>
      </c>
      <c r="T57" s="19" t="b">
        <f t="shared" ca="1" si="16"/>
        <v>0</v>
      </c>
      <c r="U57" s="19" t="b">
        <f t="shared" si="17"/>
        <v>0</v>
      </c>
      <c r="V57" s="19" t="b">
        <f t="shared" ca="1" si="3"/>
        <v>0</v>
      </c>
      <c r="X57" s="19" t="b">
        <f t="shared" si="18"/>
        <v>0</v>
      </c>
      <c r="Y57" s="19" t="b">
        <f t="shared" si="19"/>
        <v>0</v>
      </c>
      <c r="Z57" s="19" t="b">
        <f t="shared" si="20"/>
        <v>0</v>
      </c>
      <c r="AA57" s="19" t="b">
        <f t="shared" si="21"/>
        <v>0</v>
      </c>
      <c r="AB57" s="19" t="b">
        <f t="shared" si="22"/>
        <v>0</v>
      </c>
      <c r="AI57" s="59"/>
      <c r="AJ57" s="70"/>
    </row>
    <row r="58" spans="1:36">
      <c r="A58" s="48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51"/>
      <c r="F58" s="45"/>
      <c r="G58" s="38" t="str">
        <f ca="1">IFERROR(VLOOKUP(B58,項目!DATA_AREA,4,FALSE),"")</f>
        <v/>
      </c>
      <c r="H58" s="12" t="str">
        <f ca="1">IFERROR(VLOOKUP(B58,項目!DATA_AREA,5,FALSE),"")</f>
        <v/>
      </c>
      <c r="T58" s="19" t="b">
        <f t="shared" ca="1" si="16"/>
        <v>0</v>
      </c>
      <c r="U58" s="19" t="b">
        <f t="shared" si="17"/>
        <v>0</v>
      </c>
      <c r="V58" s="19" t="b">
        <f t="shared" ca="1" si="3"/>
        <v>0</v>
      </c>
      <c r="X58" s="19" t="b">
        <f t="shared" si="18"/>
        <v>0</v>
      </c>
      <c r="Y58" s="19" t="b">
        <f t="shared" si="19"/>
        <v>0</v>
      </c>
      <c r="Z58" s="19" t="b">
        <f t="shared" si="20"/>
        <v>0</v>
      </c>
      <c r="AA58" s="19" t="b">
        <f t="shared" si="21"/>
        <v>0</v>
      </c>
      <c r="AB58" s="19" t="b">
        <f t="shared" si="22"/>
        <v>0</v>
      </c>
      <c r="AI58" s="59"/>
      <c r="AJ58" s="70"/>
    </row>
    <row r="59" spans="1:36">
      <c r="A59" s="48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51"/>
      <c r="F59" s="45"/>
      <c r="G59" s="38" t="str">
        <f ca="1">IFERROR(VLOOKUP(B59,項目!DATA_AREA,4,FALSE),"")</f>
        <v/>
      </c>
      <c r="H59" s="12" t="str">
        <f ca="1">IFERROR(VLOOKUP(B59,項目!DATA_AREA,5,FALSE),"")</f>
        <v/>
      </c>
      <c r="T59" s="19" t="b">
        <f t="shared" ca="1" si="16"/>
        <v>0</v>
      </c>
      <c r="U59" s="19" t="b">
        <f t="shared" si="17"/>
        <v>0</v>
      </c>
      <c r="V59" s="19" t="b">
        <f t="shared" ca="1" si="3"/>
        <v>0</v>
      </c>
      <c r="X59" s="19" t="b">
        <f t="shared" si="18"/>
        <v>0</v>
      </c>
      <c r="Y59" s="19" t="b">
        <f t="shared" si="19"/>
        <v>0</v>
      </c>
      <c r="Z59" s="19" t="b">
        <f t="shared" si="20"/>
        <v>0</v>
      </c>
      <c r="AA59" s="19" t="b">
        <f t="shared" si="21"/>
        <v>0</v>
      </c>
      <c r="AB59" s="19" t="b">
        <f t="shared" si="22"/>
        <v>0</v>
      </c>
      <c r="AI59" s="59"/>
      <c r="AJ59" s="70"/>
    </row>
    <row r="60" spans="1:36">
      <c r="A60" s="48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51"/>
      <c r="F60" s="45"/>
      <c r="G60" s="38" t="str">
        <f ca="1">IFERROR(VLOOKUP(B60,項目!DATA_AREA,4,FALSE),"")</f>
        <v/>
      </c>
      <c r="H60" s="12" t="str">
        <f ca="1">IFERROR(VLOOKUP(B60,項目!DATA_AREA,5,FALSE),"")</f>
        <v/>
      </c>
      <c r="T60" s="19" t="b">
        <f t="shared" ca="1" si="16"/>
        <v>0</v>
      </c>
      <c r="U60" s="19" t="b">
        <f t="shared" si="17"/>
        <v>0</v>
      </c>
      <c r="V60" s="19" t="b">
        <f t="shared" ca="1" si="3"/>
        <v>0</v>
      </c>
      <c r="X60" s="19" t="b">
        <f t="shared" si="18"/>
        <v>0</v>
      </c>
      <c r="Y60" s="19" t="b">
        <f t="shared" si="19"/>
        <v>0</v>
      </c>
      <c r="Z60" s="19" t="b">
        <f t="shared" si="20"/>
        <v>0</v>
      </c>
      <c r="AA60" s="19" t="b">
        <f t="shared" si="21"/>
        <v>0</v>
      </c>
      <c r="AB60" s="19" t="b">
        <f t="shared" si="22"/>
        <v>0</v>
      </c>
      <c r="AI60" s="59"/>
      <c r="AJ60" s="70"/>
    </row>
    <row r="61" spans="1:36">
      <c r="A61" s="48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51"/>
      <c r="F61" s="45"/>
      <c r="G61" s="38" t="str">
        <f ca="1">IFERROR(VLOOKUP(B61,項目!DATA_AREA,4,FALSE),"")</f>
        <v/>
      </c>
      <c r="H61" s="12" t="str">
        <f ca="1">IFERROR(VLOOKUP(B61,項目!DATA_AREA,5,FALSE),"")</f>
        <v/>
      </c>
      <c r="T61" s="19" t="b">
        <f t="shared" ca="1" si="16"/>
        <v>0</v>
      </c>
      <c r="U61" s="19" t="b">
        <f t="shared" si="17"/>
        <v>0</v>
      </c>
      <c r="V61" s="19" t="b">
        <f t="shared" ca="1" si="3"/>
        <v>0</v>
      </c>
      <c r="X61" s="19" t="b">
        <f t="shared" si="18"/>
        <v>0</v>
      </c>
      <c r="Y61" s="19" t="b">
        <f t="shared" si="19"/>
        <v>0</v>
      </c>
      <c r="Z61" s="19" t="b">
        <f t="shared" si="20"/>
        <v>0</v>
      </c>
      <c r="AA61" s="19" t="b">
        <f t="shared" si="21"/>
        <v>0</v>
      </c>
      <c r="AB61" s="19" t="b">
        <f t="shared" si="22"/>
        <v>0</v>
      </c>
      <c r="AI61" s="59"/>
      <c r="AJ61" s="70"/>
    </row>
    <row r="62" spans="1:36">
      <c r="A62" s="48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51"/>
      <c r="F62" s="45"/>
      <c r="G62" s="38" t="str">
        <f ca="1">IFERROR(VLOOKUP(B62,項目!DATA_AREA,4,FALSE),"")</f>
        <v/>
      </c>
      <c r="H62" s="12" t="str">
        <f ca="1">IFERROR(VLOOKUP(B62,項目!DATA_AREA,5,FALSE),"")</f>
        <v/>
      </c>
      <c r="T62" s="19" t="b">
        <f t="shared" ca="1" si="16"/>
        <v>0</v>
      </c>
      <c r="U62" s="19" t="b">
        <f t="shared" si="17"/>
        <v>0</v>
      </c>
      <c r="V62" s="19" t="b">
        <f t="shared" ca="1" si="3"/>
        <v>0</v>
      </c>
      <c r="AI62" s="59"/>
      <c r="AJ62" s="70"/>
    </row>
    <row r="63" spans="1:36">
      <c r="A63" s="48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51"/>
      <c r="F63" s="45"/>
      <c r="G63" s="38" t="str">
        <f ca="1">IFERROR(VLOOKUP(B63,項目!DATA_AREA,4,FALSE),"")</f>
        <v/>
      </c>
      <c r="H63" s="12" t="str">
        <f ca="1">IFERROR(VLOOKUP(B63,項目!DATA_AREA,5,FALSE),"")</f>
        <v/>
      </c>
      <c r="T63" s="19" t="b">
        <f t="shared" ca="1" si="16"/>
        <v>0</v>
      </c>
      <c r="U63" s="19" t="b">
        <f t="shared" si="17"/>
        <v>0</v>
      </c>
      <c r="V63" s="19" t="b">
        <f t="shared" ca="1" si="3"/>
        <v>0</v>
      </c>
      <c r="AI63" s="59"/>
      <c r="AJ63" s="70"/>
    </row>
    <row r="64" spans="1:36">
      <c r="A64" s="48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51"/>
      <c r="F64" s="45"/>
      <c r="G64" s="38" t="str">
        <f ca="1">IFERROR(VLOOKUP(B64,項目!DATA_AREA,4,FALSE),"")</f>
        <v/>
      </c>
      <c r="H64" s="12" t="str">
        <f ca="1">IFERROR(VLOOKUP(B64,項目!DATA_AREA,5,FALSE),"")</f>
        <v/>
      </c>
      <c r="T64" s="19" t="b">
        <f t="shared" ca="1" si="16"/>
        <v>0</v>
      </c>
      <c r="U64" s="19" t="b">
        <f t="shared" si="17"/>
        <v>0</v>
      </c>
      <c r="V64" s="19" t="b">
        <f t="shared" ca="1" si="3"/>
        <v>0</v>
      </c>
      <c r="X64" s="7" t="s">
        <v>23</v>
      </c>
      <c r="AI64" s="59"/>
      <c r="AJ64" s="70"/>
    </row>
    <row r="65" spans="1:36">
      <c r="A65" s="48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51"/>
      <c r="F65" s="45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16"/>
        <v>0</v>
      </c>
      <c r="U65" s="19" t="b">
        <f t="shared" si="17"/>
        <v>0</v>
      </c>
      <c r="V65" s="19" t="b">
        <f t="shared" ca="1" si="3"/>
        <v>0</v>
      </c>
      <c r="X65" s="19" t="b">
        <f t="shared" ref="X65:X74" si="23">COUNTIF($N41:$R41,N41)&gt;1</f>
        <v>0</v>
      </c>
      <c r="Y65" s="19" t="b">
        <f t="shared" ref="Y65:Y74" si="24">COUNTIF($N41:$R41,O41)&gt;1</f>
        <v>0</v>
      </c>
      <c r="Z65" s="19" t="b">
        <f t="shared" ref="Z65:Z74" si="25">COUNTIF($N41:$R41,P41)&gt;1</f>
        <v>0</v>
      </c>
      <c r="AA65" s="19" t="b">
        <f t="shared" ref="AA65:AA74" si="26">COUNTIF($N41:$R41,Q41)&gt;1</f>
        <v>0</v>
      </c>
      <c r="AB65" s="19" t="b">
        <f t="shared" ref="AB65:AB74" si="27">COUNTIF($N41:$R41,R41)&gt;1</f>
        <v>0</v>
      </c>
      <c r="AI65" s="59"/>
      <c r="AJ65" s="70"/>
    </row>
    <row r="66" spans="1:36">
      <c r="A66" s="48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51"/>
      <c r="F66" s="45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16"/>
        <v>0</v>
      </c>
      <c r="U66" s="19" t="b">
        <f t="shared" si="17"/>
        <v>0</v>
      </c>
      <c r="V66" s="19" t="b">
        <f t="shared" ca="1" si="3"/>
        <v>0</v>
      </c>
      <c r="X66" s="19" t="b">
        <f t="shared" si="23"/>
        <v>0</v>
      </c>
      <c r="Y66" s="19" t="b">
        <f t="shared" si="24"/>
        <v>0</v>
      </c>
      <c r="Z66" s="19" t="b">
        <f t="shared" si="25"/>
        <v>0</v>
      </c>
      <c r="AA66" s="19" t="b">
        <f t="shared" si="26"/>
        <v>0</v>
      </c>
      <c r="AB66" s="19" t="b">
        <f t="shared" si="27"/>
        <v>0</v>
      </c>
      <c r="AI66" s="59"/>
      <c r="AJ66" s="70"/>
    </row>
    <row r="67" spans="1:36">
      <c r="A67" s="48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51"/>
      <c r="F67" s="45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16"/>
        <v>0</v>
      </c>
      <c r="U67" s="19" t="b">
        <f t="shared" si="17"/>
        <v>0</v>
      </c>
      <c r="V67" s="19" t="b">
        <f t="shared" ca="1" si="3"/>
        <v>0</v>
      </c>
      <c r="X67" s="19" t="b">
        <f t="shared" si="23"/>
        <v>0</v>
      </c>
      <c r="Y67" s="19" t="b">
        <f t="shared" si="24"/>
        <v>0</v>
      </c>
      <c r="Z67" s="19" t="b">
        <f t="shared" si="25"/>
        <v>0</v>
      </c>
      <c r="AA67" s="19" t="b">
        <f t="shared" si="26"/>
        <v>0</v>
      </c>
      <c r="AB67" s="19" t="b">
        <f t="shared" si="27"/>
        <v>0</v>
      </c>
      <c r="AI67" s="59"/>
      <c r="AJ67" s="70"/>
    </row>
    <row r="68" spans="1:36">
      <c r="A68" s="48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51"/>
      <c r="F68" s="45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16"/>
        <v>0</v>
      </c>
      <c r="U68" s="19" t="b">
        <f t="shared" si="17"/>
        <v>0</v>
      </c>
      <c r="V68" s="19" t="b">
        <f t="shared" ca="1" si="3"/>
        <v>0</v>
      </c>
      <c r="X68" s="19" t="b">
        <f t="shared" si="23"/>
        <v>0</v>
      </c>
      <c r="Y68" s="19" t="b">
        <f t="shared" si="24"/>
        <v>0</v>
      </c>
      <c r="Z68" s="19" t="b">
        <f t="shared" si="25"/>
        <v>0</v>
      </c>
      <c r="AA68" s="19" t="b">
        <f t="shared" si="26"/>
        <v>0</v>
      </c>
      <c r="AB68" s="19" t="b">
        <f t="shared" si="27"/>
        <v>0</v>
      </c>
      <c r="AI68" s="59"/>
      <c r="AJ68" s="70"/>
    </row>
    <row r="69" spans="1:36">
      <c r="A69" s="48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51"/>
      <c r="F69" s="45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16"/>
        <v>0</v>
      </c>
      <c r="U69" s="19" t="b">
        <f t="shared" si="17"/>
        <v>0</v>
      </c>
      <c r="V69" s="19" t="b">
        <f t="shared" ca="1" si="3"/>
        <v>0</v>
      </c>
      <c r="X69" s="19" t="b">
        <f t="shared" si="23"/>
        <v>0</v>
      </c>
      <c r="Y69" s="19" t="b">
        <f t="shared" si="24"/>
        <v>0</v>
      </c>
      <c r="Z69" s="19" t="b">
        <f t="shared" si="25"/>
        <v>0</v>
      </c>
      <c r="AA69" s="19" t="b">
        <f t="shared" si="26"/>
        <v>0</v>
      </c>
      <c r="AB69" s="19" t="b">
        <f t="shared" si="27"/>
        <v>0</v>
      </c>
      <c r="AI69" s="59"/>
      <c r="AJ69" s="70"/>
    </row>
    <row r="70" spans="1:36">
      <c r="A70" s="48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51"/>
      <c r="F70" s="45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28">AND(B70&lt;&gt;"",ISNA(MATCH(B70,項目リスト,0)))</f>
        <v>0</v>
      </c>
      <c r="U70" s="19" t="b">
        <f t="shared" ref="U70:U105" si="29">COUNTIF(FIELD_NAME,B70)&gt;1</f>
        <v>0</v>
      </c>
      <c r="V70" s="19" t="b">
        <f t="shared" ca="1" si="3"/>
        <v>0</v>
      </c>
      <c r="X70" s="19" t="b">
        <f t="shared" si="23"/>
        <v>0</v>
      </c>
      <c r="Y70" s="19" t="b">
        <f t="shared" si="24"/>
        <v>0</v>
      </c>
      <c r="Z70" s="19" t="b">
        <f t="shared" si="25"/>
        <v>0</v>
      </c>
      <c r="AA70" s="19" t="b">
        <f t="shared" si="26"/>
        <v>0</v>
      </c>
      <c r="AB70" s="19" t="b">
        <f t="shared" si="27"/>
        <v>0</v>
      </c>
      <c r="AI70" s="59"/>
      <c r="AJ70" s="70"/>
    </row>
    <row r="71" spans="1:36">
      <c r="A71" s="48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51"/>
      <c r="F71" s="45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28"/>
        <v>0</v>
      </c>
      <c r="U71" s="19" t="b">
        <f t="shared" si="29"/>
        <v>0</v>
      </c>
      <c r="V71" s="19" t="b">
        <f t="shared" ca="1" si="3"/>
        <v>0</v>
      </c>
      <c r="X71" s="19" t="b">
        <f t="shared" si="23"/>
        <v>0</v>
      </c>
      <c r="Y71" s="19" t="b">
        <f t="shared" si="24"/>
        <v>0</v>
      </c>
      <c r="Z71" s="19" t="b">
        <f t="shared" si="25"/>
        <v>0</v>
      </c>
      <c r="AA71" s="19" t="b">
        <f t="shared" si="26"/>
        <v>0</v>
      </c>
      <c r="AB71" s="19" t="b">
        <f t="shared" si="27"/>
        <v>0</v>
      </c>
      <c r="AI71" s="59"/>
      <c r="AJ71" s="70"/>
    </row>
    <row r="72" spans="1:36">
      <c r="A72" s="48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51"/>
      <c r="F72" s="45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28"/>
        <v>0</v>
      </c>
      <c r="U72" s="19" t="b">
        <f t="shared" si="29"/>
        <v>0</v>
      </c>
      <c r="V72" s="19" t="b">
        <f t="shared" ca="1" si="3"/>
        <v>0</v>
      </c>
      <c r="X72" s="19" t="b">
        <f t="shared" si="23"/>
        <v>0</v>
      </c>
      <c r="Y72" s="19" t="b">
        <f t="shared" si="24"/>
        <v>0</v>
      </c>
      <c r="Z72" s="19" t="b">
        <f t="shared" si="25"/>
        <v>0</v>
      </c>
      <c r="AA72" s="19" t="b">
        <f t="shared" si="26"/>
        <v>0</v>
      </c>
      <c r="AB72" s="19" t="b">
        <f t="shared" si="27"/>
        <v>0</v>
      </c>
      <c r="AI72" s="59"/>
      <c r="AJ72" s="70"/>
    </row>
    <row r="73" spans="1:36">
      <c r="A73" s="48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51"/>
      <c r="F73" s="45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28"/>
        <v>0</v>
      </c>
      <c r="U73" s="19" t="b">
        <f t="shared" si="29"/>
        <v>0</v>
      </c>
      <c r="V73" s="19" t="b">
        <f t="shared" ref="V73:V105" ca="1" si="30">AND(E73="",H73&lt;&gt;"",H73)</f>
        <v>0</v>
      </c>
      <c r="X73" s="19" t="b">
        <f t="shared" si="23"/>
        <v>0</v>
      </c>
      <c r="Y73" s="19" t="b">
        <f t="shared" si="24"/>
        <v>0</v>
      </c>
      <c r="Z73" s="19" t="b">
        <f t="shared" si="25"/>
        <v>0</v>
      </c>
      <c r="AA73" s="19" t="b">
        <f t="shared" si="26"/>
        <v>0</v>
      </c>
      <c r="AB73" s="19" t="b">
        <f t="shared" si="27"/>
        <v>0</v>
      </c>
      <c r="AI73" s="59"/>
      <c r="AJ73" s="70"/>
    </row>
    <row r="74" spans="1:36">
      <c r="A74" s="48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51"/>
      <c r="F74" s="45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28"/>
        <v>0</v>
      </c>
      <c r="U74" s="19" t="b">
        <f t="shared" si="29"/>
        <v>0</v>
      </c>
      <c r="V74" s="19" t="b">
        <f t="shared" ca="1" si="30"/>
        <v>0</v>
      </c>
      <c r="X74" s="19" t="b">
        <f t="shared" si="23"/>
        <v>0</v>
      </c>
      <c r="Y74" s="19" t="b">
        <f t="shared" si="24"/>
        <v>0</v>
      </c>
      <c r="Z74" s="19" t="b">
        <f t="shared" si="25"/>
        <v>0</v>
      </c>
      <c r="AA74" s="19" t="b">
        <f t="shared" si="26"/>
        <v>0</v>
      </c>
      <c r="AB74" s="19" t="b">
        <f t="shared" si="27"/>
        <v>0</v>
      </c>
      <c r="AI74" s="59"/>
      <c r="AJ74" s="70"/>
    </row>
    <row r="75" spans="1:36">
      <c r="A75" s="48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51"/>
      <c r="F75" s="45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28"/>
        <v>0</v>
      </c>
      <c r="U75" s="19" t="b">
        <f t="shared" si="29"/>
        <v>0</v>
      </c>
      <c r="V75" s="19" t="b">
        <f t="shared" ca="1" si="30"/>
        <v>0</v>
      </c>
      <c r="AI75" s="59"/>
      <c r="AJ75" s="70"/>
    </row>
    <row r="76" spans="1:36">
      <c r="A76" s="48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51"/>
      <c r="F76" s="45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28"/>
        <v>0</v>
      </c>
      <c r="U76" s="19" t="b">
        <f t="shared" si="29"/>
        <v>0</v>
      </c>
      <c r="V76" s="19" t="b">
        <f t="shared" ca="1" si="30"/>
        <v>0</v>
      </c>
      <c r="AI76" s="59"/>
      <c r="AJ76" s="70"/>
    </row>
    <row r="77" spans="1:36">
      <c r="A77" s="48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51"/>
      <c r="F77" s="45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28"/>
        <v>0</v>
      </c>
      <c r="U77" s="19" t="b">
        <f t="shared" si="29"/>
        <v>0</v>
      </c>
      <c r="V77" s="19" t="b">
        <f t="shared" ca="1" si="30"/>
        <v>0</v>
      </c>
      <c r="X77" s="7" t="s">
        <v>25</v>
      </c>
      <c r="AI77" s="59"/>
      <c r="AJ77" s="70"/>
    </row>
    <row r="78" spans="1:36">
      <c r="A78" s="48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51"/>
      <c r="F78" s="45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28"/>
        <v>0</v>
      </c>
      <c r="U78" s="19" t="b">
        <f t="shared" si="29"/>
        <v>0</v>
      </c>
      <c r="V78" s="19" t="b">
        <f t="shared" ca="1" si="30"/>
        <v>0</v>
      </c>
      <c r="X78" s="19" t="b">
        <f t="shared" ref="X78:X87" ca="1" si="31">AND($AK6&lt;&gt;"",COUNTIF($AK$6:$AK$15,$AK6)&gt;1)</f>
        <v>0</v>
      </c>
      <c r="AI78" s="59"/>
      <c r="AJ78" s="70"/>
    </row>
    <row r="79" spans="1:36">
      <c r="A79" s="48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51"/>
      <c r="F79" s="45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28"/>
        <v>0</v>
      </c>
      <c r="U79" s="19" t="b">
        <f t="shared" si="29"/>
        <v>0</v>
      </c>
      <c r="V79" s="19" t="b">
        <f t="shared" ca="1" si="30"/>
        <v>0</v>
      </c>
      <c r="X79" s="19" t="b">
        <f t="shared" ca="1" si="31"/>
        <v>0</v>
      </c>
      <c r="AI79" s="59"/>
      <c r="AJ79" s="70"/>
    </row>
    <row r="80" spans="1:36">
      <c r="A80" s="48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51"/>
      <c r="F80" s="45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28"/>
        <v>0</v>
      </c>
      <c r="U80" s="19" t="b">
        <f t="shared" si="29"/>
        <v>0</v>
      </c>
      <c r="V80" s="19" t="b">
        <f t="shared" ca="1" si="30"/>
        <v>0</v>
      </c>
      <c r="X80" s="19" t="e">
        <f t="shared" ca="1" si="31"/>
        <v>#N/A</v>
      </c>
      <c r="AI80" s="59"/>
      <c r="AJ80" s="70"/>
    </row>
    <row r="81" spans="1:36">
      <c r="A81" s="48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51"/>
      <c r="F81" s="45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28"/>
        <v>0</v>
      </c>
      <c r="U81" s="19" t="b">
        <f t="shared" si="29"/>
        <v>0</v>
      </c>
      <c r="V81" s="19" t="b">
        <f t="shared" ca="1" si="30"/>
        <v>0</v>
      </c>
      <c r="X81" s="19" t="b">
        <f t="shared" ca="1" si="31"/>
        <v>0</v>
      </c>
      <c r="AI81" s="59"/>
      <c r="AJ81" s="70"/>
    </row>
    <row r="82" spans="1:36">
      <c r="A82" s="48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51"/>
      <c r="F82" s="45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28"/>
        <v>0</v>
      </c>
      <c r="U82" s="19" t="b">
        <f t="shared" si="29"/>
        <v>0</v>
      </c>
      <c r="V82" s="19" t="b">
        <f t="shared" ca="1" si="30"/>
        <v>0</v>
      </c>
      <c r="X82" s="19" t="b">
        <f t="shared" ca="1" si="31"/>
        <v>0</v>
      </c>
      <c r="AI82" s="59"/>
      <c r="AJ82" s="70"/>
    </row>
    <row r="83" spans="1:36">
      <c r="A83" s="48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51"/>
      <c r="F83" s="45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28"/>
        <v>0</v>
      </c>
      <c r="U83" s="19" t="b">
        <f t="shared" si="29"/>
        <v>0</v>
      </c>
      <c r="V83" s="19" t="b">
        <f t="shared" ca="1" si="30"/>
        <v>0</v>
      </c>
      <c r="X83" s="19" t="b">
        <f t="shared" ca="1" si="31"/>
        <v>0</v>
      </c>
      <c r="AI83" s="59"/>
      <c r="AJ83" s="70"/>
    </row>
    <row r="84" spans="1:36">
      <c r="A84" s="48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51"/>
      <c r="F84" s="45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28"/>
        <v>0</v>
      </c>
      <c r="U84" s="19" t="b">
        <f t="shared" si="29"/>
        <v>0</v>
      </c>
      <c r="V84" s="19" t="b">
        <f t="shared" ca="1" si="30"/>
        <v>0</v>
      </c>
      <c r="X84" s="19" t="b">
        <f t="shared" ca="1" si="31"/>
        <v>0</v>
      </c>
      <c r="AI84" s="59"/>
      <c r="AJ84" s="70"/>
    </row>
    <row r="85" spans="1:36">
      <c r="A85" s="48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51"/>
      <c r="F85" s="45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28"/>
        <v>0</v>
      </c>
      <c r="U85" s="19" t="b">
        <f t="shared" si="29"/>
        <v>0</v>
      </c>
      <c r="V85" s="19" t="b">
        <f t="shared" ca="1" si="30"/>
        <v>0</v>
      </c>
      <c r="X85" s="19" t="e">
        <f t="shared" ca="1" si="31"/>
        <v>#N/A</v>
      </c>
      <c r="AI85" s="59"/>
      <c r="AJ85" s="70"/>
    </row>
    <row r="86" spans="1:36">
      <c r="A86" s="48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51"/>
      <c r="F86" s="45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28"/>
        <v>0</v>
      </c>
      <c r="U86" s="19" t="b">
        <f t="shared" si="29"/>
        <v>0</v>
      </c>
      <c r="V86" s="19" t="b">
        <f t="shared" ca="1" si="30"/>
        <v>0</v>
      </c>
      <c r="X86" s="19" t="e">
        <f t="shared" ca="1" si="31"/>
        <v>#N/A</v>
      </c>
      <c r="AI86" s="59"/>
      <c r="AJ86" s="70"/>
    </row>
    <row r="87" spans="1:36">
      <c r="A87" s="48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51"/>
      <c r="F87" s="45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28"/>
        <v>0</v>
      </c>
      <c r="U87" s="19" t="b">
        <f t="shared" si="29"/>
        <v>0</v>
      </c>
      <c r="V87" s="19" t="b">
        <f t="shared" ca="1" si="30"/>
        <v>0</v>
      </c>
      <c r="X87" s="19" t="e">
        <f t="shared" ca="1" si="31"/>
        <v>#N/A</v>
      </c>
      <c r="AI87" s="59"/>
      <c r="AJ87" s="70"/>
    </row>
    <row r="88" spans="1:36">
      <c r="A88" s="48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51"/>
      <c r="F88" s="45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28"/>
        <v>0</v>
      </c>
      <c r="U88" s="19" t="b">
        <f t="shared" si="29"/>
        <v>0</v>
      </c>
      <c r="V88" s="19" t="b">
        <f t="shared" ca="1" si="30"/>
        <v>0</v>
      </c>
      <c r="AI88" s="59"/>
      <c r="AJ88" s="70"/>
    </row>
    <row r="89" spans="1:36">
      <c r="A89" s="48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51"/>
      <c r="F89" s="45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28"/>
        <v>0</v>
      </c>
      <c r="U89" s="19" t="b">
        <f t="shared" si="29"/>
        <v>0</v>
      </c>
      <c r="V89" s="19" t="b">
        <f t="shared" ca="1" si="30"/>
        <v>0</v>
      </c>
      <c r="AI89" s="59"/>
      <c r="AJ89" s="70"/>
    </row>
    <row r="90" spans="1:36">
      <c r="A90" s="48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51"/>
      <c r="F90" s="45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28"/>
        <v>0</v>
      </c>
      <c r="U90" s="19" t="b">
        <f t="shared" si="29"/>
        <v>0</v>
      </c>
      <c r="V90" s="19" t="b">
        <f t="shared" ca="1" si="30"/>
        <v>0</v>
      </c>
      <c r="AI90" s="59"/>
      <c r="AJ90" s="70"/>
    </row>
    <row r="91" spans="1:36">
      <c r="A91" s="48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51"/>
      <c r="F91" s="45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28"/>
        <v>0</v>
      </c>
      <c r="U91" s="19" t="b">
        <f t="shared" si="29"/>
        <v>0</v>
      </c>
      <c r="V91" s="19" t="b">
        <f t="shared" ca="1" si="30"/>
        <v>0</v>
      </c>
      <c r="AI91" s="59"/>
      <c r="AJ91" s="70"/>
    </row>
    <row r="92" spans="1:36">
      <c r="A92" s="48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51"/>
      <c r="F92" s="45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28"/>
        <v>0</v>
      </c>
      <c r="U92" s="19" t="b">
        <f t="shared" si="29"/>
        <v>0</v>
      </c>
      <c r="V92" s="19" t="b">
        <f t="shared" ca="1" si="30"/>
        <v>0</v>
      </c>
      <c r="AI92" s="59"/>
      <c r="AJ92" s="70"/>
    </row>
    <row r="93" spans="1:36">
      <c r="A93" s="48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51"/>
      <c r="F93" s="45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28"/>
        <v>0</v>
      </c>
      <c r="U93" s="19" t="b">
        <f t="shared" si="29"/>
        <v>0</v>
      </c>
      <c r="V93" s="19" t="b">
        <f t="shared" ca="1" si="30"/>
        <v>0</v>
      </c>
      <c r="AI93" s="59"/>
      <c r="AJ93" s="70"/>
    </row>
    <row r="94" spans="1:36">
      <c r="A94" s="48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51"/>
      <c r="F94" s="45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28"/>
        <v>0</v>
      </c>
      <c r="U94" s="19" t="b">
        <f t="shared" si="29"/>
        <v>0</v>
      </c>
      <c r="V94" s="19" t="b">
        <f t="shared" ca="1" si="30"/>
        <v>0</v>
      </c>
      <c r="AI94" s="59"/>
      <c r="AJ94" s="70"/>
    </row>
    <row r="95" spans="1:36">
      <c r="A95" s="48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51"/>
      <c r="F95" s="45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28"/>
        <v>0</v>
      </c>
      <c r="U95" s="19" t="b">
        <f t="shared" si="29"/>
        <v>0</v>
      </c>
      <c r="V95" s="19" t="b">
        <f t="shared" ca="1" si="30"/>
        <v>0</v>
      </c>
      <c r="AI95" s="59"/>
      <c r="AJ95" s="70"/>
    </row>
    <row r="96" spans="1:36">
      <c r="A96" s="48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51"/>
      <c r="F96" s="45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28"/>
        <v>0</v>
      </c>
      <c r="U96" s="19" t="b">
        <f t="shared" si="29"/>
        <v>0</v>
      </c>
      <c r="V96" s="19" t="b">
        <f t="shared" ca="1" si="30"/>
        <v>0</v>
      </c>
      <c r="AI96" s="59"/>
      <c r="AJ96" s="70"/>
    </row>
    <row r="97" spans="1:36">
      <c r="A97" s="48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51"/>
      <c r="F97" s="45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28"/>
        <v>0</v>
      </c>
      <c r="U97" s="19" t="b">
        <f t="shared" si="29"/>
        <v>0</v>
      </c>
      <c r="V97" s="19" t="b">
        <f t="shared" ca="1" si="30"/>
        <v>0</v>
      </c>
      <c r="AI97" s="59"/>
      <c r="AJ97" s="70"/>
    </row>
    <row r="98" spans="1:36">
      <c r="A98" s="48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51"/>
      <c r="F98" s="45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28"/>
        <v>0</v>
      </c>
      <c r="U98" s="19" t="b">
        <f t="shared" si="29"/>
        <v>0</v>
      </c>
      <c r="V98" s="19" t="b">
        <f t="shared" ca="1" si="30"/>
        <v>0</v>
      </c>
      <c r="AI98" s="59"/>
      <c r="AJ98" s="70"/>
    </row>
    <row r="99" spans="1:36">
      <c r="A99" s="48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51"/>
      <c r="F99" s="45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28"/>
        <v>0</v>
      </c>
      <c r="U99" s="19" t="b">
        <f t="shared" si="29"/>
        <v>0</v>
      </c>
      <c r="V99" s="19" t="b">
        <f t="shared" ca="1" si="30"/>
        <v>0</v>
      </c>
      <c r="AI99" s="59"/>
      <c r="AJ99" s="70"/>
    </row>
    <row r="100" spans="1:36">
      <c r="A100" s="48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51"/>
      <c r="F100" s="45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28"/>
        <v>0</v>
      </c>
      <c r="U100" s="19" t="b">
        <f t="shared" si="29"/>
        <v>0</v>
      </c>
      <c r="V100" s="19" t="b">
        <f t="shared" ca="1" si="30"/>
        <v>0</v>
      </c>
      <c r="AI100" s="59"/>
      <c r="AJ100" s="70"/>
    </row>
    <row r="101" spans="1:36">
      <c r="A101" s="48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51"/>
      <c r="F101" s="45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28"/>
        <v>0</v>
      </c>
      <c r="U101" s="19" t="b">
        <f t="shared" si="29"/>
        <v>0</v>
      </c>
      <c r="V101" s="19" t="b">
        <f t="shared" ca="1" si="30"/>
        <v>0</v>
      </c>
      <c r="AI101" s="59"/>
      <c r="AJ101" s="70"/>
    </row>
    <row r="102" spans="1:36">
      <c r="A102" s="48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51"/>
      <c r="F102" s="45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28"/>
        <v>0</v>
      </c>
      <c r="U102" s="19" t="b">
        <f t="shared" si="29"/>
        <v>0</v>
      </c>
      <c r="V102" s="19" t="b">
        <f t="shared" ca="1" si="30"/>
        <v>0</v>
      </c>
      <c r="AI102" s="59"/>
      <c r="AJ102" s="70"/>
    </row>
    <row r="103" spans="1:36">
      <c r="A103" s="48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51"/>
      <c r="F103" s="45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28"/>
        <v>0</v>
      </c>
      <c r="U103" s="19" t="b">
        <f t="shared" si="29"/>
        <v>0</v>
      </c>
      <c r="V103" s="19" t="b">
        <f t="shared" ca="1" si="30"/>
        <v>0</v>
      </c>
      <c r="AI103" s="59"/>
      <c r="AJ103" s="70"/>
    </row>
    <row r="104" spans="1:36">
      <c r="A104" s="48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51"/>
      <c r="F104" s="45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28"/>
        <v>0</v>
      </c>
      <c r="U104" s="19" t="b">
        <f t="shared" si="29"/>
        <v>0</v>
      </c>
      <c r="V104" s="19" t="b">
        <f t="shared" ca="1" si="30"/>
        <v>0</v>
      </c>
      <c r="AI104" s="59"/>
      <c r="AJ104" s="70"/>
    </row>
    <row r="105" spans="1:36">
      <c r="A105" s="49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52"/>
      <c r="F105" s="46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28"/>
        <v>0</v>
      </c>
      <c r="U105" s="19" t="b">
        <f t="shared" si="29"/>
        <v>0</v>
      </c>
      <c r="V105" s="19" t="b">
        <f t="shared" ca="1" si="30"/>
        <v>0</v>
      </c>
      <c r="AI105" s="59"/>
      <c r="AJ105" s="70"/>
    </row>
  </sheetData>
  <phoneticPr fontId="2"/>
  <conditionalFormatting sqref="B2:C2">
    <cfRule type="expression" dxfId="53" priority="58">
      <formula>ISERROR(B2)</formula>
    </cfRule>
  </conditionalFormatting>
  <conditionalFormatting sqref="B6:B105">
    <cfRule type="expression" dxfId="52" priority="55">
      <formula>COUNTIF(FIELD_NAME,B6)&gt;1</formula>
    </cfRule>
    <cfRule type="expression" dxfId="51" priority="56">
      <formula>AND($B6&lt;&gt;"",ISNA(MATCH($B6,項目リスト,0)))</formula>
    </cfRule>
  </conditionalFormatting>
  <conditionalFormatting sqref="B6">
    <cfRule type="expression" dxfId="50" priority="50">
      <formula>$AI$6="N/A"</formula>
    </cfRule>
  </conditionalFormatting>
  <conditionalFormatting sqref="D1">
    <cfRule type="cellIs" dxfId="49" priority="39" operator="greaterThan">
      <formula>0</formula>
    </cfRule>
  </conditionalFormatting>
  <conditionalFormatting sqref="L8:P8">
    <cfRule type="expression" dxfId="48" priority="70">
      <formula>Y8</formula>
    </cfRule>
    <cfRule type="expression" dxfId="47" priority="71">
      <formula>Y7</formula>
    </cfRule>
  </conditionalFormatting>
  <conditionalFormatting sqref="L13:P22">
    <cfRule type="expression" dxfId="46" priority="2">
      <formula>Y13</formula>
    </cfRule>
    <cfRule type="expression" dxfId="45" priority="3">
      <formula>$AD13</formula>
    </cfRule>
  </conditionalFormatting>
  <conditionalFormatting sqref="L8">
    <cfRule type="expression" dxfId="44" priority="69">
      <formula>$AG$7</formula>
    </cfRule>
  </conditionalFormatting>
  <dataValidations count="7">
    <dataValidation imeMode="on" allowBlank="1" showInputMessage="1" showErrorMessage="1" sqref="K12 A5 A1:A2 E2 K7 F6:H105" xr:uid="{6CAB66BA-704B-4ABE-B97E-3983DA3EB600}"/>
    <dataValidation imeMode="off" allowBlank="1" showInputMessage="1" showErrorMessage="1" sqref="D5:F5 C2" xr:uid="{BD0A9C81-340A-4840-BF4D-E18F4540A23C}"/>
    <dataValidation type="list" allowBlank="1" showInputMessage="1" showErrorMessage="1" sqref="B6:B105" xr:uid="{6492454B-C2F1-4C3D-91E6-71E07F39B7D7}">
      <formula1>項目リスト</formula1>
    </dataValidation>
    <dataValidation type="whole" imeMode="off" operator="equal" allowBlank="1" showInputMessage="1" showErrorMessage="1" error="NotNullの場合は[1]を入力する。" sqref="E6:E105" xr:uid="{761DF059-2D33-45AB-AB23-C10445F62D40}">
      <formula1>1</formula1>
    </dataValidation>
    <dataValidation type="list" allowBlank="1" showInputMessage="1" showErrorMessage="1" sqref="L8:P8" xr:uid="{235CD40B-8E1F-4D0B-B1CB-1BF3A213F2CB}">
      <formula1>FIELDリストNN</formula1>
    </dataValidation>
    <dataValidation type="list" allowBlank="1" showInputMessage="1" showErrorMessage="1" sqref="L13:P22" xr:uid="{5CD87561-F1D2-4855-B4BB-765A1BE608DF}">
      <formula1>FIELDリスト</formula1>
    </dataValidation>
    <dataValidation type="list" allowBlank="1" showInputMessage="1" showErrorMessage="1" sqref="F2" xr:uid="{3166B8CB-D38B-4545-B08F-C69FEDC80290}">
      <formula1>"○,-"</formula1>
    </dataValidation>
  </dataValidations>
  <hyperlinks>
    <hyperlink ref="E1" location="一覧!R1C1" display="一覧へ" xr:uid="{6AFEF503-05F2-446D-8A94-E3CA7E253F6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5D1C0-38AF-4196-A979-BCFAB90A8A1E}">
  <sheetPr codeName="template1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5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INDEX(一覧!DATA_AREA,TABLE_NO,2)</f>
        <v>得意先</v>
      </c>
      <c r="C2" s="20" t="str" cm="1">
        <f t="array" ref="C2">INDEX(一覧!DATA_AREA,TABLE_NO,3)</f>
        <v>customers</v>
      </c>
      <c r="D2" s="95">
        <v>1</v>
      </c>
      <c r="E2" s="89" t="s">
        <v>169</v>
      </c>
      <c r="F2" s="90" t="s">
        <v>171</v>
      </c>
      <c r="G2" s="40"/>
      <c r="AF2" s="7" t="s">
        <v>17</v>
      </c>
      <c r="AG2" s="7" t="b">
        <f>OR(ISERROR(TABLE_JP),ISERROR(TABLE_EN))</f>
        <v>0</v>
      </c>
    </row>
    <row r="3" spans="1:41">
      <c r="AE3" s="7" t="s">
        <v>8</v>
      </c>
      <c r="AF3" s="7" t="s">
        <v>26</v>
      </c>
      <c r="AG3" s="7" t="b">
        <f>AI6="N/A"</f>
        <v>0</v>
      </c>
    </row>
    <row r="4" spans="1:41" ht="20">
      <c r="A4" s="10" t="s">
        <v>46</v>
      </c>
      <c r="K4" s="10" t="s">
        <v>47</v>
      </c>
      <c r="T4" s="69" t="s">
        <v>159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44</v>
      </c>
      <c r="H5" s="3" t="s">
        <v>43</v>
      </c>
      <c r="T5" s="7" t="s">
        <v>19</v>
      </c>
      <c r="U5" s="7" t="s">
        <v>23</v>
      </c>
      <c r="V5" s="7" t="s">
        <v>45</v>
      </c>
      <c r="AF5" s="7" t="s">
        <v>23</v>
      </c>
      <c r="AG5" s="7" t="b">
        <f>OR(U6:U105)</f>
        <v>0</v>
      </c>
      <c r="AI5" s="59">
        <f>COUNTA(AI6:AI105)</f>
        <v>5</v>
      </c>
      <c r="AJ5" s="70">
        <f>COUNTA(AJ6:AJ105)</f>
        <v>4</v>
      </c>
    </row>
    <row r="6" spans="1:41" ht="15" customHeight="1">
      <c r="A6" s="47">
        <v>1</v>
      </c>
      <c r="B6" s="41" t="s">
        <v>33</v>
      </c>
      <c r="C6" s="34" t="str">
        <f ca="1">IFERROR(VLOOKUP(B6,項目!DATA_AREA,2,FALSE),"")</f>
        <v>customer_id</v>
      </c>
      <c r="D6" s="34" t="str">
        <f ca="1">IFERROR(VLOOKUP(B6,項目!DATA_AREA,3,FALSE),"")</f>
        <v>varchar(3)</v>
      </c>
      <c r="E6" s="50">
        <v>1</v>
      </c>
      <c r="F6" s="44"/>
      <c r="G6" s="37" t="str">
        <f ca="1">IFERROR(VLOOKUP(B6,項目!DATA_AREA,4,FALSE),"")</f>
        <v>(LENGTH(customer_id) = 3)</v>
      </c>
      <c r="H6" s="11" t="b">
        <f ca="1">IFERROR(VLOOKUP(B6,項目!DATA_AREA,5,FALSE),"")</f>
        <v>0</v>
      </c>
      <c r="K6" s="53" t="s">
        <v>51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69" t="s">
        <v>161</v>
      </c>
      <c r="AF6" s="7" t="s">
        <v>24</v>
      </c>
      <c r="AG6" s="7" t="b">
        <f ca="1">OR(V6:V105)</f>
        <v>0</v>
      </c>
      <c r="AI6" s="59" t="s">
        <v>155</v>
      </c>
      <c r="AJ6" s="70" t="s">
        <v>155</v>
      </c>
    </row>
    <row r="7" spans="1:41">
      <c r="A7" s="48">
        <v>2</v>
      </c>
      <c r="B7" s="42" t="s">
        <v>49</v>
      </c>
      <c r="C7" s="35" t="str">
        <f ca="1">IFERROR(VLOOKUP(B7,項目!DATA_AREA,2,FALSE),"")</f>
        <v>customer_name</v>
      </c>
      <c r="D7" s="35" t="str">
        <f ca="1">IFERROR(VLOOKUP(B7,項目!DATA_AREA,3,FALSE),"")</f>
        <v>varchar(100)</v>
      </c>
      <c r="E7" s="51">
        <v>1</v>
      </c>
      <c r="F7" s="45" t="s">
        <v>179</v>
      </c>
      <c r="G7" s="38">
        <f ca="1">IFERROR(VLOOKUP(B7,項目!DATA_AREA,4,FALSE),"")</f>
        <v>0</v>
      </c>
      <c r="H7" s="12" t="b">
        <f ca="1">IFERROR(VLOOKUP(B7,項目!DATA_AREA,5,FALSE),"")</f>
        <v>0</v>
      </c>
      <c r="K7" s="56" t="s">
        <v>12</v>
      </c>
      <c r="L7" s="57">
        <v>1</v>
      </c>
      <c r="M7" s="57">
        <v>2</v>
      </c>
      <c r="N7" s="57">
        <v>3</v>
      </c>
      <c r="O7" s="57">
        <v>4</v>
      </c>
      <c r="P7" s="58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0</v>
      </c>
      <c r="AI7" s="59" t="s">
        <v>49</v>
      </c>
      <c r="AJ7" s="70" t="s">
        <v>49</v>
      </c>
    </row>
    <row r="8" spans="1:41">
      <c r="A8" s="48">
        <v>3</v>
      </c>
      <c r="B8" s="42" t="s">
        <v>32</v>
      </c>
      <c r="C8" s="35" t="str">
        <f ca="1">IFERROR(VLOOKUP(B8,項目!DATA_AREA,2,FALSE),"")</f>
        <v>person_in_charge</v>
      </c>
      <c r="D8" s="35" t="str">
        <f ca="1">IFERROR(VLOOKUP(B8,項目!DATA_AREA,3,FALSE),"")</f>
        <v>varchar(30)</v>
      </c>
      <c r="E8" s="51"/>
      <c r="F8" s="45"/>
      <c r="G8" s="38">
        <f ca="1">IFERROR(VLOOKUP(B8,項目!DATA_AREA,4,FALSE),"")</f>
        <v>0</v>
      </c>
      <c r="H8" s="12" t="b">
        <f ca="1">IFERROR(VLOOKUP(B8,項目!DATA_AREA,5,FALSE),"")</f>
        <v>0</v>
      </c>
      <c r="K8" s="71" t="s">
        <v>14</v>
      </c>
      <c r="L8" s="72" t="s">
        <v>33</v>
      </c>
      <c r="M8" s="73"/>
      <c r="N8" s="73"/>
      <c r="O8" s="73"/>
      <c r="P8" s="74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59" t="s">
        <v>32</v>
      </c>
      <c r="AJ8" s="70" t="s">
        <v>55</v>
      </c>
      <c r="AK8" s="59" t="str">
        <f ca="1">VLOOKUP(L8,FIELD_NAME__,2,FALSE)</f>
        <v>customer_id</v>
      </c>
      <c r="AL8" s="59" t="e">
        <f ca="1">VLOOKUP(M8,FIELD_NAME__,2,FALSE)</f>
        <v>#N/A</v>
      </c>
      <c r="AM8" s="59" t="e">
        <f ca="1">VLOOKUP(N8,FIELD_NAME__,2,FALSE)</f>
        <v>#N/A</v>
      </c>
      <c r="AN8" s="59" t="e">
        <f ca="1">VLOOKUP(O8,FIELD_NAME__,2,FALSE)</f>
        <v>#N/A</v>
      </c>
      <c r="AO8" s="59" t="e">
        <f ca="1">VLOOKUP(P8,FIELD_NAME__,2,FALSE)</f>
        <v>#N/A</v>
      </c>
    </row>
    <row r="9" spans="1:41">
      <c r="A9" s="48">
        <v>4</v>
      </c>
      <c r="B9" s="42" t="s">
        <v>55</v>
      </c>
      <c r="C9" s="35" t="str">
        <f ca="1">IFERROR(VLOOKUP(B9,項目!DATA_AREA,2,FALSE),"")</f>
        <v>customer_type</v>
      </c>
      <c r="D9" s="35" t="str">
        <f ca="1">IFERROR(VLOOKUP(B9,項目!DATA_AREA,3,FALSE),"")</f>
        <v>customer_type</v>
      </c>
      <c r="E9" s="51">
        <v>1</v>
      </c>
      <c r="F9" s="45"/>
      <c r="G9" s="38">
        <f ca="1">IFERROR(VLOOKUP(B9,項目!DATA_AREA,4,FALSE),"")</f>
        <v>0</v>
      </c>
      <c r="H9" s="12" t="b">
        <f ca="1">IFERROR(VLOOKUP(B9,項目!DATA_AREA,5,FALSE),"")</f>
        <v>1</v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59" t="s">
        <v>55</v>
      </c>
      <c r="AJ9" s="70" t="s">
        <v>21</v>
      </c>
    </row>
    <row r="10" spans="1:41">
      <c r="A10" s="48">
        <v>5</v>
      </c>
      <c r="B10" s="42" t="s">
        <v>21</v>
      </c>
      <c r="C10" s="35" t="str">
        <f ca="1">IFERROR(VLOOKUP(B10,項目!DATA_AREA,2,FALSE),"")</f>
        <v>registration_date</v>
      </c>
      <c r="D10" s="35" t="str">
        <f ca="1">IFERROR(VLOOKUP(B10,項目!DATA_AREA,3,FALSE),"")</f>
        <v>date</v>
      </c>
      <c r="E10" s="51">
        <v>1</v>
      </c>
      <c r="F10" s="45" t="s">
        <v>156</v>
      </c>
      <c r="G10" s="38">
        <f ca="1">IFERROR(VLOOKUP(B10,項目!DATA_AREA,4,FALSE),"")</f>
        <v>0</v>
      </c>
      <c r="H10" s="12" t="b">
        <f ca="1">IFERROR(VLOOKUP(B10,項目!DATA_AREA,5,FALSE),"")</f>
        <v>0</v>
      </c>
      <c r="R10" s="69" t="s">
        <v>160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53</v>
      </c>
      <c r="AF10" s="7" t="s">
        <v>164</v>
      </c>
      <c r="AG10" s="7" t="b">
        <f ca="1">OR($Y$13:$AC$22)</f>
        <v>0</v>
      </c>
      <c r="AI10" s="59" t="s">
        <v>21</v>
      </c>
      <c r="AJ10" s="70"/>
    </row>
    <row r="11" spans="1:41" ht="15" customHeight="1">
      <c r="A11" s="48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51"/>
      <c r="F11" s="45"/>
      <c r="G11" s="38" t="str">
        <f ca="1">IFERROR(VLOOKUP(B11,項目!DATA_AREA,4,FALSE),"")</f>
        <v/>
      </c>
      <c r="H11" s="12" t="str">
        <f ca="1">IFERROR(VLOOKUP(B11,項目!DATA_AREA,5,FALSE),"")</f>
        <v/>
      </c>
      <c r="K11" s="53" t="s">
        <v>52</v>
      </c>
      <c r="L11" s="63" t="s">
        <v>54</v>
      </c>
      <c r="R11" s="59" t="b">
        <f>_xlfn.CONCAT(UNIQUE_LIST)&lt;&gt;""</f>
        <v>1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163</v>
      </c>
      <c r="AG11" s="7" t="b">
        <f>OR($AD$13:$AD$22)</f>
        <v>0</v>
      </c>
      <c r="AI11" s="59"/>
      <c r="AJ11" s="70"/>
    </row>
    <row r="12" spans="1:41" ht="15" customHeight="1">
      <c r="A12" s="48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51"/>
      <c r="F12" s="45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60" t="s">
        <v>12</v>
      </c>
      <c r="L12" s="61">
        <v>1</v>
      </c>
      <c r="M12" s="61">
        <v>2</v>
      </c>
      <c r="N12" s="61">
        <v>3</v>
      </c>
      <c r="O12" s="61">
        <v>4</v>
      </c>
      <c r="P12" s="62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69" t="s">
        <v>162</v>
      </c>
      <c r="AD12" s="7" t="s">
        <v>163</v>
      </c>
      <c r="AI12" s="59"/>
      <c r="AJ12" s="70"/>
    </row>
    <row r="13" spans="1:41">
      <c r="A13" s="48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51"/>
      <c r="F13" s="45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5">
        <v>1</v>
      </c>
      <c r="L13" s="76" t="s">
        <v>49</v>
      </c>
      <c r="M13" s="77" t="s">
        <v>32</v>
      </c>
      <c r="N13" s="77"/>
      <c r="O13" s="77"/>
      <c r="P13" s="78"/>
      <c r="R13" s="87" t="str">
        <f>_xlfn.CONCAT(L13:P13)</f>
        <v>得意先担当者名</v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165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59"/>
      <c r="AJ13" s="70"/>
      <c r="AK13" s="59" t="str">
        <f t="shared" ref="AK13:AK22" ca="1" si="9">VLOOKUP(L13,FIELD_NAME__,2,FALSE)</f>
        <v>customer_name</v>
      </c>
      <c r="AL13" s="59" t="str">
        <f t="shared" ref="AL13:AL22" ca="1" si="10">VLOOKUP(M13,FIELD_NAME__,2,FALSE)</f>
        <v>person_in_charge</v>
      </c>
      <c r="AM13" s="59" t="e">
        <f t="shared" ref="AM13:AM22" ca="1" si="11">VLOOKUP(N13,FIELD_NAME__,2,FALSE)</f>
        <v>#N/A</v>
      </c>
      <c r="AN13" s="59" t="e">
        <f t="shared" ref="AN13:AN22" ca="1" si="12">VLOOKUP(O13,FIELD_NAME__,2,FALSE)</f>
        <v>#N/A</v>
      </c>
      <c r="AO13" s="59" t="e">
        <f t="shared" ref="AO13:AO22" ca="1" si="13">VLOOKUP(P13,FIELD_NAME__,2,FALSE)</f>
        <v>#N/A</v>
      </c>
    </row>
    <row r="14" spans="1:41">
      <c r="A14" s="48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51"/>
      <c r="F14" s="45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9">
        <v>2</v>
      </c>
      <c r="L14" s="80" t="s">
        <v>21</v>
      </c>
      <c r="M14" s="81"/>
      <c r="N14" s="81"/>
      <c r="O14" s="81"/>
      <c r="P14" s="82"/>
      <c r="R14" s="87" t="str">
        <f t="shared" ref="R14:R22" si="14">_xlfn.CONCAT(L14:P14)</f>
        <v>登録日</v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166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59"/>
      <c r="AJ14" s="70"/>
      <c r="AK14" s="59" t="str">
        <f t="shared" ca="1" si="9"/>
        <v>registration_date</v>
      </c>
      <c r="AL14" s="59" t="e">
        <f t="shared" ca="1" si="10"/>
        <v>#N/A</v>
      </c>
      <c r="AM14" s="59" t="e">
        <f t="shared" ca="1" si="11"/>
        <v>#N/A</v>
      </c>
      <c r="AN14" s="59" t="e">
        <f t="shared" ca="1" si="12"/>
        <v>#N/A</v>
      </c>
      <c r="AO14" s="59" t="e">
        <f t="shared" ca="1" si="13"/>
        <v>#N/A</v>
      </c>
    </row>
    <row r="15" spans="1:41">
      <c r="A15" s="48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51"/>
      <c r="F15" s="45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9">
        <v>3</v>
      </c>
      <c r="L15" s="80"/>
      <c r="M15" s="81"/>
      <c r="N15" s="81"/>
      <c r="O15" s="81"/>
      <c r="P15" s="82"/>
      <c r="R15" s="87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59"/>
      <c r="AJ15" s="70"/>
      <c r="AK15" s="59" t="e">
        <f t="shared" ca="1" si="9"/>
        <v>#N/A</v>
      </c>
      <c r="AL15" s="59" t="e">
        <f t="shared" ca="1" si="10"/>
        <v>#N/A</v>
      </c>
      <c r="AM15" s="59" t="e">
        <f t="shared" ca="1" si="11"/>
        <v>#N/A</v>
      </c>
      <c r="AN15" s="59" t="e">
        <f t="shared" ca="1" si="12"/>
        <v>#N/A</v>
      </c>
      <c r="AO15" s="59" t="e">
        <f t="shared" ca="1" si="13"/>
        <v>#N/A</v>
      </c>
    </row>
    <row r="16" spans="1:41">
      <c r="A16" s="48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51"/>
      <c r="F16" s="45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9">
        <v>4</v>
      </c>
      <c r="L16" s="80"/>
      <c r="M16" s="81"/>
      <c r="N16" s="81"/>
      <c r="O16" s="81"/>
      <c r="P16" s="82"/>
      <c r="R16" s="87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59"/>
      <c r="AJ16" s="70"/>
      <c r="AK16" s="59" t="e">
        <f t="shared" ca="1" si="9"/>
        <v>#N/A</v>
      </c>
      <c r="AL16" s="59" t="e">
        <f t="shared" ca="1" si="10"/>
        <v>#N/A</v>
      </c>
      <c r="AM16" s="59" t="e">
        <f t="shared" ca="1" si="11"/>
        <v>#N/A</v>
      </c>
      <c r="AN16" s="59" t="e">
        <f t="shared" ca="1" si="12"/>
        <v>#N/A</v>
      </c>
      <c r="AO16" s="59" t="e">
        <f t="shared" ca="1" si="13"/>
        <v>#N/A</v>
      </c>
    </row>
    <row r="17" spans="1:41">
      <c r="A17" s="48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51"/>
      <c r="F17" s="45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9">
        <v>5</v>
      </c>
      <c r="L17" s="80"/>
      <c r="M17" s="81"/>
      <c r="N17" s="81"/>
      <c r="O17" s="81"/>
      <c r="P17" s="82"/>
      <c r="R17" s="87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59"/>
      <c r="AJ17" s="70"/>
      <c r="AK17" s="59" t="e">
        <f t="shared" ca="1" si="9"/>
        <v>#N/A</v>
      </c>
      <c r="AL17" s="59" t="e">
        <f t="shared" ca="1" si="10"/>
        <v>#N/A</v>
      </c>
      <c r="AM17" s="59" t="e">
        <f t="shared" ca="1" si="11"/>
        <v>#N/A</v>
      </c>
      <c r="AN17" s="59" t="e">
        <f t="shared" ca="1" si="12"/>
        <v>#N/A</v>
      </c>
      <c r="AO17" s="59" t="e">
        <f t="shared" ca="1" si="13"/>
        <v>#N/A</v>
      </c>
    </row>
    <row r="18" spans="1:41">
      <c r="A18" s="48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51"/>
      <c r="F18" s="45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9">
        <v>6</v>
      </c>
      <c r="L18" s="80"/>
      <c r="M18" s="81"/>
      <c r="N18" s="81"/>
      <c r="O18" s="81"/>
      <c r="P18" s="82"/>
      <c r="R18" s="87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59"/>
      <c r="AJ18" s="70"/>
      <c r="AK18" s="59" t="e">
        <f t="shared" ca="1" si="9"/>
        <v>#N/A</v>
      </c>
      <c r="AL18" s="59" t="e">
        <f t="shared" ca="1" si="10"/>
        <v>#N/A</v>
      </c>
      <c r="AM18" s="59" t="e">
        <f t="shared" ca="1" si="11"/>
        <v>#N/A</v>
      </c>
      <c r="AN18" s="59" t="e">
        <f t="shared" ca="1" si="12"/>
        <v>#N/A</v>
      </c>
      <c r="AO18" s="59" t="e">
        <f t="shared" ca="1" si="13"/>
        <v>#N/A</v>
      </c>
    </row>
    <row r="19" spans="1:41">
      <c r="A19" s="48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51"/>
      <c r="F19" s="45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9">
        <v>7</v>
      </c>
      <c r="L19" s="80"/>
      <c r="M19" s="81"/>
      <c r="N19" s="81"/>
      <c r="O19" s="81"/>
      <c r="P19" s="82"/>
      <c r="R19" s="87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59"/>
      <c r="AJ19" s="70"/>
      <c r="AK19" s="59" t="e">
        <f t="shared" ca="1" si="9"/>
        <v>#N/A</v>
      </c>
      <c r="AL19" s="59" t="e">
        <f t="shared" ca="1" si="10"/>
        <v>#N/A</v>
      </c>
      <c r="AM19" s="59" t="e">
        <f t="shared" ca="1" si="11"/>
        <v>#N/A</v>
      </c>
      <c r="AN19" s="59" t="e">
        <f t="shared" ca="1" si="12"/>
        <v>#N/A</v>
      </c>
      <c r="AO19" s="59" t="e">
        <f t="shared" ca="1" si="13"/>
        <v>#N/A</v>
      </c>
    </row>
    <row r="20" spans="1:41">
      <c r="A20" s="48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51"/>
      <c r="F20" s="45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9">
        <v>8</v>
      </c>
      <c r="L20" s="80"/>
      <c r="M20" s="81"/>
      <c r="N20" s="81"/>
      <c r="O20" s="81"/>
      <c r="P20" s="82"/>
      <c r="R20" s="87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59"/>
      <c r="AJ20" s="70"/>
      <c r="AK20" s="59" t="e">
        <f t="shared" ca="1" si="9"/>
        <v>#N/A</v>
      </c>
      <c r="AL20" s="59" t="e">
        <f t="shared" ca="1" si="10"/>
        <v>#N/A</v>
      </c>
      <c r="AM20" s="59" t="e">
        <f t="shared" ca="1" si="11"/>
        <v>#N/A</v>
      </c>
      <c r="AN20" s="59" t="e">
        <f t="shared" ca="1" si="12"/>
        <v>#N/A</v>
      </c>
      <c r="AO20" s="59" t="e">
        <f t="shared" ca="1" si="13"/>
        <v>#N/A</v>
      </c>
    </row>
    <row r="21" spans="1:41">
      <c r="A21" s="48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51"/>
      <c r="F21" s="45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9">
        <v>9</v>
      </c>
      <c r="L21" s="80"/>
      <c r="M21" s="81"/>
      <c r="N21" s="81"/>
      <c r="O21" s="81"/>
      <c r="P21" s="82"/>
      <c r="R21" s="87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59"/>
      <c r="AJ21" s="70"/>
      <c r="AK21" s="59" t="e">
        <f t="shared" ca="1" si="9"/>
        <v>#N/A</v>
      </c>
      <c r="AL21" s="59" t="e">
        <f t="shared" ca="1" si="10"/>
        <v>#N/A</v>
      </c>
      <c r="AM21" s="59" t="e">
        <f t="shared" ca="1" si="11"/>
        <v>#N/A</v>
      </c>
      <c r="AN21" s="59" t="e">
        <f t="shared" ca="1" si="12"/>
        <v>#N/A</v>
      </c>
      <c r="AO21" s="59" t="e">
        <f t="shared" ca="1" si="13"/>
        <v>#N/A</v>
      </c>
    </row>
    <row r="22" spans="1:41">
      <c r="A22" s="48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51"/>
      <c r="F22" s="45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83">
        <v>10</v>
      </c>
      <c r="L22" s="84"/>
      <c r="M22" s="85"/>
      <c r="N22" s="85"/>
      <c r="O22" s="85"/>
      <c r="P22" s="86"/>
      <c r="R22" s="87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59"/>
      <c r="AJ22" s="70"/>
      <c r="AK22" s="59" t="e">
        <f t="shared" ca="1" si="9"/>
        <v>#N/A</v>
      </c>
      <c r="AL22" s="59" t="e">
        <f t="shared" ca="1" si="10"/>
        <v>#N/A</v>
      </c>
      <c r="AM22" s="59" t="e">
        <f t="shared" ca="1" si="11"/>
        <v>#N/A</v>
      </c>
      <c r="AN22" s="59" t="e">
        <f t="shared" ca="1" si="12"/>
        <v>#N/A</v>
      </c>
      <c r="AO22" s="59" t="e">
        <f t="shared" ca="1" si="13"/>
        <v>#N/A</v>
      </c>
    </row>
    <row r="23" spans="1:41">
      <c r="A23" s="48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51"/>
      <c r="F23" s="45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59"/>
      <c r="AJ23" s="70"/>
    </row>
    <row r="24" spans="1:41" ht="15" customHeight="1">
      <c r="A24" s="48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51"/>
      <c r="F24" s="45"/>
      <c r="G24" s="38" t="str">
        <f ca="1">IFERROR(VLOOKUP(B24,項目!DATA_AREA,4,FALSE),"")</f>
        <v/>
      </c>
      <c r="H24" s="12" t="str">
        <f ca="1">IFERROR(VLOOKUP(B24,項目!DATA_AREA,5,FALSE),"")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59"/>
      <c r="AJ24" s="70"/>
    </row>
    <row r="25" spans="1:41">
      <c r="A25" s="48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51"/>
      <c r="F25" s="45"/>
      <c r="G25" s="38" t="str">
        <f ca="1">IFERROR(VLOOKUP(B25,項目!DATA_AREA,4,FALSE),"")</f>
        <v/>
      </c>
      <c r="H25" s="12" t="str">
        <f ca="1">IFERROR(VLOOKUP(B25,項目!DATA_AREA,5,FALSE),"")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59"/>
      <c r="AJ25" s="70"/>
    </row>
    <row r="26" spans="1:41">
      <c r="A26" s="48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51"/>
      <c r="F26" s="45"/>
      <c r="G26" s="38" t="str">
        <f ca="1">IFERROR(VLOOKUP(B26,項目!DATA_AREA,4,FALSE),"")</f>
        <v/>
      </c>
      <c r="H26" s="12" t="str">
        <f ca="1">IFERROR(VLOOKUP(B26,項目!DATA_AREA,5,FALSE),"")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59"/>
      <c r="AJ26" s="70"/>
    </row>
    <row r="27" spans="1:41">
      <c r="A27" s="48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51"/>
      <c r="F27" s="45"/>
      <c r="G27" s="38" t="str">
        <f ca="1">IFERROR(VLOOKUP(B27,項目!DATA_AREA,4,FALSE),"")</f>
        <v/>
      </c>
      <c r="H27" s="12" t="str">
        <f ca="1">IFERROR(VLOOKUP(B27,項目!DATA_AREA,5,FALSE),"")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59"/>
      <c r="AJ27" s="70"/>
    </row>
    <row r="28" spans="1:41">
      <c r="A28" s="48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51"/>
      <c r="F28" s="45"/>
      <c r="G28" s="38" t="str">
        <f ca="1">IFERROR(VLOOKUP(B28,項目!DATA_AREA,4,FALSE),"")</f>
        <v/>
      </c>
      <c r="H28" s="12" t="str">
        <f ca="1">IFERROR(VLOOKUP(B28,項目!DATA_AREA,5,FALSE),"")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59"/>
      <c r="AJ28" s="70"/>
    </row>
    <row r="29" spans="1:41">
      <c r="A29" s="48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51"/>
      <c r="F29" s="45"/>
      <c r="G29" s="38" t="str">
        <f ca="1">IFERROR(VLOOKUP(B29,項目!DATA_AREA,4,FALSE),"")</f>
        <v/>
      </c>
      <c r="H29" s="12" t="str">
        <f ca="1">IFERROR(VLOOKUP(B29,項目!DATA_AREA,5,FALSE),"")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59"/>
      <c r="AJ29" s="70"/>
    </row>
    <row r="30" spans="1:41">
      <c r="A30" s="48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51"/>
      <c r="F30" s="45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59"/>
      <c r="AJ30" s="70"/>
    </row>
    <row r="31" spans="1:41">
      <c r="A31" s="48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51"/>
      <c r="F31" s="45"/>
      <c r="G31" s="38" t="str">
        <f ca="1">IFERROR(VLOOKUP(B31,項目!DATA_AREA,4,FALSE),"")</f>
        <v/>
      </c>
      <c r="H31" s="12" t="str">
        <f ca="1">IFERROR(VLOOKUP(B31,項目!DATA_AREA,5,FALSE),"")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59"/>
      <c r="AJ31" s="70"/>
    </row>
    <row r="32" spans="1:41">
      <c r="A32" s="48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51"/>
      <c r="F32" s="45"/>
      <c r="G32" s="38" t="str">
        <f ca="1">IFERROR(VLOOKUP(B32,項目!DATA_AREA,4,FALSE),"")</f>
        <v/>
      </c>
      <c r="H32" s="12" t="str">
        <f ca="1">IFERROR(VLOOKUP(B32,項目!DATA_AREA,5,FALSE),"")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59"/>
      <c r="AJ32" s="70"/>
    </row>
    <row r="33" spans="1:36">
      <c r="A33" s="48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51"/>
      <c r="F33" s="45"/>
      <c r="G33" s="38" t="str">
        <f ca="1">IFERROR(VLOOKUP(B33,項目!DATA_AREA,4,FALSE),"")</f>
        <v/>
      </c>
      <c r="H33" s="12" t="str">
        <f ca="1">IFERROR(VLOOKUP(B33,項目!DATA_AREA,5,FALSE),"")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59"/>
      <c r="AJ33" s="70"/>
    </row>
    <row r="34" spans="1:36">
      <c r="A34" s="48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51"/>
      <c r="F34" s="45"/>
      <c r="G34" s="38" t="str">
        <f ca="1">IFERROR(VLOOKUP(B34,項目!DATA_AREA,4,FALSE),"")</f>
        <v/>
      </c>
      <c r="H34" s="12" t="str">
        <f ca="1">IFERROR(VLOOKUP(B34,項目!DATA_AREA,5,FALSE),"")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59"/>
      <c r="AJ34" s="70"/>
    </row>
    <row r="35" spans="1:36">
      <c r="A35" s="48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51"/>
      <c r="F35" s="45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59"/>
      <c r="AJ35" s="70"/>
    </row>
    <row r="36" spans="1:36">
      <c r="A36" s="48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51"/>
      <c r="F36" s="45"/>
      <c r="G36" s="38" t="str">
        <f ca="1">IFERROR(VLOOKUP(B36,項目!DATA_AREA,4,FALSE),"")</f>
        <v/>
      </c>
      <c r="H36" s="12" t="str">
        <f ca="1">IFERROR(VLOOKUP(B36,項目!DATA_AREA,5,FALSE),"")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59"/>
      <c r="AJ36" s="70"/>
    </row>
    <row r="37" spans="1:36">
      <c r="A37" s="48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51"/>
      <c r="F37" s="45"/>
      <c r="G37" s="38" t="str">
        <f ca="1">IFERROR(VLOOKUP(B37,項目!DATA_AREA,4,FALSE),"")</f>
        <v/>
      </c>
      <c r="H37" s="12" t="str">
        <f ca="1">IFERROR(VLOOKUP(B37,項目!DATA_AREA,5,FALSE),"")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59"/>
      <c r="AJ37" s="70"/>
    </row>
    <row r="38" spans="1:36">
      <c r="A38" s="48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51"/>
      <c r="F38" s="45"/>
      <c r="G38" s="38" t="str">
        <f ca="1">IFERROR(VLOOKUP(B38,項目!DATA_AREA,4,FALSE),"")</f>
        <v/>
      </c>
      <c r="H38" s="12" t="str">
        <f ca="1">IFERROR(VLOOKUP(B38,項目!DATA_AREA,5,FALSE),"")</f>
        <v/>
      </c>
      <c r="T38" s="19" t="b">
        <f t="shared" ca="1" si="0"/>
        <v>0</v>
      </c>
      <c r="U38" s="19" t="b">
        <f t="shared" ref="U38:U69" si="16">COUNTIF(FIELD_NAME,B38)&gt;1</f>
        <v>0</v>
      </c>
      <c r="V38" s="19" t="b">
        <f t="shared" ca="1" si="3"/>
        <v>0</v>
      </c>
      <c r="AI38" s="59"/>
      <c r="AJ38" s="70"/>
    </row>
    <row r="39" spans="1:36">
      <c r="A39" s="48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51"/>
      <c r="F39" s="45"/>
      <c r="G39" s="38" t="str">
        <f ca="1">IFERROR(VLOOKUP(B39,項目!DATA_AREA,4,FALSE),"")</f>
        <v/>
      </c>
      <c r="H39" s="12" t="str">
        <f ca="1">IFERROR(VLOOKUP(B39,項目!DATA_AREA,5,FALSE),"")</f>
        <v/>
      </c>
      <c r="T39" s="19" t="b">
        <f t="shared" ca="1" si="0"/>
        <v>0</v>
      </c>
      <c r="U39" s="19" t="b">
        <f t="shared" si="16"/>
        <v>0</v>
      </c>
      <c r="V39" s="19" t="b">
        <f t="shared" ca="1" si="3"/>
        <v>0</v>
      </c>
      <c r="AI39" s="59"/>
      <c r="AJ39" s="70"/>
    </row>
    <row r="40" spans="1:36">
      <c r="A40" s="48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51"/>
      <c r="F40" s="45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0"/>
        <v>0</v>
      </c>
      <c r="U40" s="19" t="b">
        <f t="shared" si="16"/>
        <v>0</v>
      </c>
      <c r="V40" s="19" t="b">
        <f t="shared" ca="1" si="3"/>
        <v>0</v>
      </c>
      <c r="AI40" s="59"/>
      <c r="AJ40" s="70"/>
    </row>
    <row r="41" spans="1:36">
      <c r="A41" s="48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51"/>
      <c r="F41" s="45"/>
      <c r="G41" s="38" t="str">
        <f ca="1">IFERROR(VLOOKUP(B41,項目!DATA_AREA,4,FALSE),"")</f>
        <v/>
      </c>
      <c r="H41" s="12" t="str">
        <f ca="1">IFERROR(VLOOKUP(B41,項目!DATA_AREA,5,FALSE),"")</f>
        <v/>
      </c>
      <c r="T41" s="19" t="b">
        <f t="shared" ca="1" si="0"/>
        <v>0</v>
      </c>
      <c r="U41" s="19" t="b">
        <f t="shared" si="16"/>
        <v>0</v>
      </c>
      <c r="V41" s="19" t="b">
        <f t="shared" ca="1" si="3"/>
        <v>0</v>
      </c>
      <c r="AI41" s="59"/>
      <c r="AJ41" s="70"/>
    </row>
    <row r="42" spans="1:36">
      <c r="A42" s="48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51"/>
      <c r="F42" s="45"/>
      <c r="G42" s="38" t="str">
        <f ca="1">IFERROR(VLOOKUP(B42,項目!DATA_AREA,4,FALSE),"")</f>
        <v/>
      </c>
      <c r="H42" s="12" t="str">
        <f ca="1">IFERROR(VLOOKUP(B42,項目!DATA_AREA,5,FALSE),"")</f>
        <v/>
      </c>
      <c r="T42" s="19" t="b">
        <f t="shared" ca="1" si="0"/>
        <v>0</v>
      </c>
      <c r="U42" s="19" t="b">
        <f t="shared" si="16"/>
        <v>0</v>
      </c>
      <c r="V42" s="19" t="b">
        <f t="shared" ca="1" si="3"/>
        <v>0</v>
      </c>
      <c r="AI42" s="59"/>
      <c r="AJ42" s="70"/>
    </row>
    <row r="43" spans="1:36">
      <c r="A43" s="48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51"/>
      <c r="F43" s="45"/>
      <c r="G43" s="38" t="str">
        <f ca="1">IFERROR(VLOOKUP(B43,項目!DATA_AREA,4,FALSE),"")</f>
        <v/>
      </c>
      <c r="H43" s="12" t="str">
        <f ca="1">IFERROR(VLOOKUP(B43,項目!DATA_AREA,5,FALSE),"")</f>
        <v/>
      </c>
      <c r="T43" s="19" t="b">
        <f t="shared" ca="1" si="0"/>
        <v>0</v>
      </c>
      <c r="U43" s="19" t="b">
        <f t="shared" si="16"/>
        <v>0</v>
      </c>
      <c r="V43" s="19" t="b">
        <f t="shared" ca="1" si="3"/>
        <v>0</v>
      </c>
      <c r="AI43" s="59"/>
      <c r="AJ43" s="70"/>
    </row>
    <row r="44" spans="1:36">
      <c r="A44" s="48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51"/>
      <c r="F44" s="45"/>
      <c r="G44" s="38" t="str">
        <f ca="1">IFERROR(VLOOKUP(B44,項目!DATA_AREA,4,FALSE),"")</f>
        <v/>
      </c>
      <c r="H44" s="12" t="str">
        <f ca="1">IFERROR(VLOOKUP(B44,項目!DATA_AREA,5,FALSE),"")</f>
        <v/>
      </c>
      <c r="T44" s="19" t="b">
        <f t="shared" ca="1" si="0"/>
        <v>0</v>
      </c>
      <c r="U44" s="19" t="b">
        <f t="shared" si="16"/>
        <v>0</v>
      </c>
      <c r="V44" s="19" t="b">
        <f t="shared" ca="1" si="3"/>
        <v>0</v>
      </c>
      <c r="AI44" s="59"/>
      <c r="AJ44" s="70"/>
    </row>
    <row r="45" spans="1:36">
      <c r="A45" s="48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51"/>
      <c r="F45" s="45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0"/>
        <v>0</v>
      </c>
      <c r="U45" s="19" t="b">
        <f t="shared" si="16"/>
        <v>0</v>
      </c>
      <c r="V45" s="19" t="b">
        <f t="shared" ca="1" si="3"/>
        <v>0</v>
      </c>
      <c r="AI45" s="59"/>
      <c r="AJ45" s="70"/>
    </row>
    <row r="46" spans="1:36">
      <c r="A46" s="48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51"/>
      <c r="F46" s="45"/>
      <c r="G46" s="38" t="str">
        <f ca="1">IFERROR(VLOOKUP(B46,項目!DATA_AREA,4,FALSE),"")</f>
        <v/>
      </c>
      <c r="H46" s="12" t="str">
        <f ca="1">IFERROR(VLOOKUP(B46,項目!DATA_AREA,5,FALSE),"")</f>
        <v/>
      </c>
      <c r="T46" s="19" t="b">
        <f t="shared" ca="1" si="0"/>
        <v>0</v>
      </c>
      <c r="U46" s="19" t="b">
        <f t="shared" si="16"/>
        <v>0</v>
      </c>
      <c r="V46" s="19" t="b">
        <f t="shared" ca="1" si="3"/>
        <v>0</v>
      </c>
      <c r="AI46" s="59"/>
      <c r="AJ46" s="70"/>
    </row>
    <row r="47" spans="1:36">
      <c r="A47" s="48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51"/>
      <c r="F47" s="45"/>
      <c r="G47" s="38" t="str">
        <f ca="1">IFERROR(VLOOKUP(B47,項目!DATA_AREA,4,FALSE),"")</f>
        <v/>
      </c>
      <c r="H47" s="12" t="str">
        <f ca="1">IFERROR(VLOOKUP(B47,項目!DATA_AREA,5,FALSE),"")</f>
        <v/>
      </c>
      <c r="T47" s="19" t="b">
        <f t="shared" ca="1" si="0"/>
        <v>0</v>
      </c>
      <c r="U47" s="19" t="b">
        <f t="shared" si="16"/>
        <v>0</v>
      </c>
      <c r="V47" s="19" t="b">
        <f t="shared" ca="1" si="3"/>
        <v>0</v>
      </c>
      <c r="AI47" s="59"/>
      <c r="AJ47" s="70"/>
    </row>
    <row r="48" spans="1:36">
      <c r="A48" s="48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51"/>
      <c r="F48" s="45"/>
      <c r="G48" s="38" t="str">
        <f ca="1">IFERROR(VLOOKUP(B48,項目!DATA_AREA,4,FALSE),"")</f>
        <v/>
      </c>
      <c r="H48" s="12" t="str">
        <f ca="1">IFERROR(VLOOKUP(B48,項目!DATA_AREA,5,FALSE),"")</f>
        <v/>
      </c>
      <c r="T48" s="19" t="b">
        <f t="shared" ca="1" si="0"/>
        <v>0</v>
      </c>
      <c r="U48" s="19" t="b">
        <f t="shared" si="16"/>
        <v>0</v>
      </c>
      <c r="V48" s="19" t="b">
        <f t="shared" ca="1" si="3"/>
        <v>0</v>
      </c>
      <c r="AI48" s="59"/>
      <c r="AJ48" s="70"/>
    </row>
    <row r="49" spans="1:36">
      <c r="A49" s="48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51"/>
      <c r="F49" s="45"/>
      <c r="G49" s="38" t="str">
        <f ca="1">IFERROR(VLOOKUP(B49,項目!DATA_AREA,4,FALSE),"")</f>
        <v/>
      </c>
      <c r="H49" s="12" t="str">
        <f ca="1">IFERROR(VLOOKUP(B49,項目!DATA_AREA,5,FALSE),"")</f>
        <v/>
      </c>
      <c r="T49" s="19" t="b">
        <f t="shared" ca="1" si="0"/>
        <v>0</v>
      </c>
      <c r="U49" s="19" t="b">
        <f t="shared" si="16"/>
        <v>0</v>
      </c>
      <c r="V49" s="19" t="b">
        <f t="shared" ca="1" si="3"/>
        <v>0</v>
      </c>
      <c r="AI49" s="59"/>
      <c r="AJ49" s="70"/>
    </row>
    <row r="50" spans="1:36">
      <c r="A50" s="48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51"/>
      <c r="F50" s="45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0"/>
        <v>0</v>
      </c>
      <c r="U50" s="19" t="b">
        <f t="shared" si="16"/>
        <v>0</v>
      </c>
      <c r="V50" s="19" t="b">
        <f t="shared" ca="1" si="3"/>
        <v>0</v>
      </c>
      <c r="X50" s="7" t="s">
        <v>13</v>
      </c>
      <c r="AI50" s="59"/>
      <c r="AJ50" s="70"/>
    </row>
    <row r="51" spans="1:36">
      <c r="A51" s="48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51"/>
      <c r="F51" s="45"/>
      <c r="G51" s="38" t="str">
        <f ca="1">IFERROR(VLOOKUP(B51,項目!DATA_AREA,4,FALSE),"")</f>
        <v/>
      </c>
      <c r="H51" s="12" t="str">
        <f ca="1">IFERROR(VLOOKUP(B51,項目!DATA_AREA,5,FALSE),"")</f>
        <v/>
      </c>
      <c r="T51" s="19" t="b">
        <f t="shared" ca="1" si="0"/>
        <v>0</v>
      </c>
      <c r="U51" s="19" t="b">
        <f t="shared" si="16"/>
        <v>0</v>
      </c>
      <c r="V51" s="19" t="b">
        <f t="shared" ca="1" si="3"/>
        <v>0</v>
      </c>
      <c r="X51" s="7" t="s">
        <v>19</v>
      </c>
      <c r="AI51" s="59"/>
      <c r="AJ51" s="70"/>
    </row>
    <row r="52" spans="1:36">
      <c r="A52" s="48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51"/>
      <c r="F52" s="45"/>
      <c r="G52" s="38" t="str">
        <f ca="1">IFERROR(VLOOKUP(B52,項目!DATA_AREA,4,FALSE),"")</f>
        <v/>
      </c>
      <c r="H52" s="12" t="str">
        <f ca="1">IFERROR(VLOOKUP(B52,項目!DATA_AREA,5,FALSE),"")</f>
        <v/>
      </c>
      <c r="T52" s="19" t="b">
        <f t="shared" ca="1" si="0"/>
        <v>0</v>
      </c>
      <c r="U52" s="19" t="b">
        <f t="shared" si="16"/>
        <v>0</v>
      </c>
      <c r="V52" s="19" t="b">
        <f t="shared" ca="1" si="3"/>
        <v>0</v>
      </c>
      <c r="X52" s="19" t="b">
        <f t="shared" ref="X52:AB61" si="17">AND(N41&lt;&gt;"",ISNA(MATCH(N41,テーブル項目KEY,0)))</f>
        <v>0</v>
      </c>
      <c r="Y52" s="19" t="b">
        <f t="shared" si="17"/>
        <v>0</v>
      </c>
      <c r="Z52" s="19" t="b">
        <f t="shared" si="17"/>
        <v>0</v>
      </c>
      <c r="AA52" s="19" t="b">
        <f t="shared" si="17"/>
        <v>0</v>
      </c>
      <c r="AB52" s="19" t="b">
        <f t="shared" si="17"/>
        <v>0</v>
      </c>
      <c r="AI52" s="59"/>
      <c r="AJ52" s="70"/>
    </row>
    <row r="53" spans="1:36">
      <c r="A53" s="48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51"/>
      <c r="F53" s="45"/>
      <c r="G53" s="38" t="str">
        <f ca="1">IFERROR(VLOOKUP(B53,項目!DATA_AREA,4,FALSE),"")</f>
        <v/>
      </c>
      <c r="H53" s="12" t="str">
        <f ca="1">IFERROR(VLOOKUP(B53,項目!DATA_AREA,5,FALSE),"")</f>
        <v/>
      </c>
      <c r="T53" s="19" t="b">
        <f t="shared" ca="1" si="0"/>
        <v>0</v>
      </c>
      <c r="U53" s="19" t="b">
        <f t="shared" si="16"/>
        <v>0</v>
      </c>
      <c r="V53" s="19" t="b">
        <f t="shared" ca="1" si="3"/>
        <v>0</v>
      </c>
      <c r="X53" s="19" t="b">
        <f t="shared" si="17"/>
        <v>0</v>
      </c>
      <c r="Y53" s="19" t="b">
        <f t="shared" si="17"/>
        <v>0</v>
      </c>
      <c r="Z53" s="19" t="b">
        <f t="shared" si="17"/>
        <v>0</v>
      </c>
      <c r="AA53" s="19" t="b">
        <f t="shared" si="17"/>
        <v>0</v>
      </c>
      <c r="AB53" s="19" t="b">
        <f t="shared" si="17"/>
        <v>0</v>
      </c>
      <c r="AI53" s="59"/>
      <c r="AJ53" s="70"/>
    </row>
    <row r="54" spans="1:36">
      <c r="A54" s="48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51"/>
      <c r="F54" s="45"/>
      <c r="G54" s="38" t="str">
        <f ca="1">IFERROR(VLOOKUP(B54,項目!DATA_AREA,4,FALSE),"")</f>
        <v/>
      </c>
      <c r="H54" s="12" t="str">
        <f ca="1">IFERROR(VLOOKUP(B54,項目!DATA_AREA,5,FALSE),"")</f>
        <v/>
      </c>
      <c r="T54" s="19" t="b">
        <f t="shared" ca="1" si="0"/>
        <v>0</v>
      </c>
      <c r="U54" s="19" t="b">
        <f t="shared" si="16"/>
        <v>0</v>
      </c>
      <c r="V54" s="19" t="b">
        <f t="shared" ca="1" si="3"/>
        <v>0</v>
      </c>
      <c r="X54" s="19" t="b">
        <f t="shared" si="17"/>
        <v>0</v>
      </c>
      <c r="Y54" s="19" t="b">
        <f t="shared" si="17"/>
        <v>0</v>
      </c>
      <c r="Z54" s="19" t="b">
        <f t="shared" si="17"/>
        <v>0</v>
      </c>
      <c r="AA54" s="19" t="b">
        <f t="shared" si="17"/>
        <v>0</v>
      </c>
      <c r="AB54" s="19" t="b">
        <f t="shared" si="17"/>
        <v>0</v>
      </c>
      <c r="AI54" s="59"/>
      <c r="AJ54" s="70"/>
    </row>
    <row r="55" spans="1:36">
      <c r="A55" s="48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51"/>
      <c r="F55" s="45"/>
      <c r="G55" s="38" t="str">
        <f ca="1">IFERROR(VLOOKUP(B55,項目!DATA_AREA,4,FALSE),"")</f>
        <v/>
      </c>
      <c r="H55" s="12" t="str">
        <f ca="1">IFERROR(VLOOKUP(B55,項目!DATA_AREA,5,FALSE),"")</f>
        <v/>
      </c>
      <c r="T55" s="19" t="b">
        <f t="shared" ca="1" si="0"/>
        <v>0</v>
      </c>
      <c r="U55" s="19" t="b">
        <f t="shared" si="16"/>
        <v>0</v>
      </c>
      <c r="V55" s="19" t="b">
        <f t="shared" ca="1" si="3"/>
        <v>0</v>
      </c>
      <c r="X55" s="19" t="b">
        <f t="shared" si="17"/>
        <v>0</v>
      </c>
      <c r="Y55" s="19" t="b">
        <f t="shared" si="17"/>
        <v>0</v>
      </c>
      <c r="Z55" s="19" t="b">
        <f t="shared" si="17"/>
        <v>0</v>
      </c>
      <c r="AA55" s="19" t="b">
        <f t="shared" si="17"/>
        <v>0</v>
      </c>
      <c r="AB55" s="19" t="b">
        <f t="shared" si="17"/>
        <v>0</v>
      </c>
      <c r="AI55" s="59"/>
      <c r="AJ55" s="70"/>
    </row>
    <row r="56" spans="1:36">
      <c r="A56" s="48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51"/>
      <c r="F56" s="45"/>
      <c r="G56" s="38" t="str">
        <f ca="1">IFERROR(VLOOKUP(B56,項目!DATA_AREA,4,FALSE),"")</f>
        <v/>
      </c>
      <c r="H56" s="12" t="str">
        <f ca="1">IFERROR(VLOOKUP(B56,項目!DATA_AREA,5,FALSE),"")</f>
        <v/>
      </c>
      <c r="T56" s="19" t="b">
        <f t="shared" ca="1" si="0"/>
        <v>0</v>
      </c>
      <c r="U56" s="19" t="b">
        <f t="shared" si="16"/>
        <v>0</v>
      </c>
      <c r="V56" s="19" t="b">
        <f t="shared" ca="1" si="3"/>
        <v>0</v>
      </c>
      <c r="X56" s="19" t="b">
        <f t="shared" si="17"/>
        <v>0</v>
      </c>
      <c r="Y56" s="19" t="b">
        <f t="shared" si="17"/>
        <v>0</v>
      </c>
      <c r="Z56" s="19" t="b">
        <f t="shared" si="17"/>
        <v>0</v>
      </c>
      <c r="AA56" s="19" t="b">
        <f t="shared" si="17"/>
        <v>0</v>
      </c>
      <c r="AB56" s="19" t="b">
        <f t="shared" si="17"/>
        <v>0</v>
      </c>
      <c r="AI56" s="59"/>
      <c r="AJ56" s="70"/>
    </row>
    <row r="57" spans="1:36">
      <c r="A57" s="48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51"/>
      <c r="F57" s="45"/>
      <c r="G57" s="38" t="str">
        <f ca="1">IFERROR(VLOOKUP(B57,項目!DATA_AREA,4,FALSE),"")</f>
        <v/>
      </c>
      <c r="H57" s="12" t="str">
        <f ca="1">IFERROR(VLOOKUP(B57,項目!DATA_AREA,5,FALSE),"")</f>
        <v/>
      </c>
      <c r="T57" s="19" t="b">
        <f t="shared" ca="1" si="0"/>
        <v>0</v>
      </c>
      <c r="U57" s="19" t="b">
        <f t="shared" si="16"/>
        <v>0</v>
      </c>
      <c r="V57" s="19" t="b">
        <f t="shared" ca="1" si="3"/>
        <v>0</v>
      </c>
      <c r="X57" s="19" t="b">
        <f t="shared" si="17"/>
        <v>0</v>
      </c>
      <c r="Y57" s="19" t="b">
        <f t="shared" si="17"/>
        <v>0</v>
      </c>
      <c r="Z57" s="19" t="b">
        <f t="shared" si="17"/>
        <v>0</v>
      </c>
      <c r="AA57" s="19" t="b">
        <f t="shared" si="17"/>
        <v>0</v>
      </c>
      <c r="AB57" s="19" t="b">
        <f t="shared" si="17"/>
        <v>0</v>
      </c>
      <c r="AI57" s="59"/>
      <c r="AJ57" s="70"/>
    </row>
    <row r="58" spans="1:36">
      <c r="A58" s="48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51"/>
      <c r="F58" s="45"/>
      <c r="G58" s="38" t="str">
        <f ca="1">IFERROR(VLOOKUP(B58,項目!DATA_AREA,4,FALSE),"")</f>
        <v/>
      </c>
      <c r="H58" s="12" t="str">
        <f ca="1">IFERROR(VLOOKUP(B58,項目!DATA_AREA,5,FALSE),"")</f>
        <v/>
      </c>
      <c r="T58" s="19" t="b">
        <f t="shared" ca="1" si="0"/>
        <v>0</v>
      </c>
      <c r="U58" s="19" t="b">
        <f t="shared" si="16"/>
        <v>0</v>
      </c>
      <c r="V58" s="19" t="b">
        <f t="shared" ca="1" si="3"/>
        <v>0</v>
      </c>
      <c r="X58" s="19" t="b">
        <f t="shared" si="17"/>
        <v>0</v>
      </c>
      <c r="Y58" s="19" t="b">
        <f t="shared" si="17"/>
        <v>0</v>
      </c>
      <c r="Z58" s="19" t="b">
        <f t="shared" si="17"/>
        <v>0</v>
      </c>
      <c r="AA58" s="19" t="b">
        <f t="shared" si="17"/>
        <v>0</v>
      </c>
      <c r="AB58" s="19" t="b">
        <f t="shared" si="17"/>
        <v>0</v>
      </c>
      <c r="AI58" s="59"/>
      <c r="AJ58" s="70"/>
    </row>
    <row r="59" spans="1:36">
      <c r="A59" s="48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51"/>
      <c r="F59" s="45"/>
      <c r="G59" s="38" t="str">
        <f ca="1">IFERROR(VLOOKUP(B59,項目!DATA_AREA,4,FALSE),"")</f>
        <v/>
      </c>
      <c r="H59" s="12" t="str">
        <f ca="1">IFERROR(VLOOKUP(B59,項目!DATA_AREA,5,FALSE),"")</f>
        <v/>
      </c>
      <c r="T59" s="19" t="b">
        <f t="shared" ca="1" si="0"/>
        <v>0</v>
      </c>
      <c r="U59" s="19" t="b">
        <f t="shared" si="16"/>
        <v>0</v>
      </c>
      <c r="V59" s="19" t="b">
        <f t="shared" ca="1" si="3"/>
        <v>0</v>
      </c>
      <c r="X59" s="19" t="b">
        <f t="shared" si="17"/>
        <v>0</v>
      </c>
      <c r="Y59" s="19" t="b">
        <f t="shared" si="17"/>
        <v>0</v>
      </c>
      <c r="Z59" s="19" t="b">
        <f t="shared" si="17"/>
        <v>0</v>
      </c>
      <c r="AA59" s="19" t="b">
        <f t="shared" si="17"/>
        <v>0</v>
      </c>
      <c r="AB59" s="19" t="b">
        <f t="shared" si="17"/>
        <v>0</v>
      </c>
      <c r="AI59" s="59"/>
      <c r="AJ59" s="70"/>
    </row>
    <row r="60" spans="1:36">
      <c r="A60" s="48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51"/>
      <c r="F60" s="45"/>
      <c r="G60" s="38" t="str">
        <f ca="1">IFERROR(VLOOKUP(B60,項目!DATA_AREA,4,FALSE),"")</f>
        <v/>
      </c>
      <c r="H60" s="12" t="str">
        <f ca="1">IFERROR(VLOOKUP(B60,項目!DATA_AREA,5,FALSE),"")</f>
        <v/>
      </c>
      <c r="T60" s="19" t="b">
        <f t="shared" ca="1" si="0"/>
        <v>0</v>
      </c>
      <c r="U60" s="19" t="b">
        <f t="shared" si="16"/>
        <v>0</v>
      </c>
      <c r="V60" s="19" t="b">
        <f t="shared" ca="1" si="3"/>
        <v>0</v>
      </c>
      <c r="X60" s="19" t="b">
        <f t="shared" si="17"/>
        <v>0</v>
      </c>
      <c r="Y60" s="19" t="b">
        <f t="shared" si="17"/>
        <v>0</v>
      </c>
      <c r="Z60" s="19" t="b">
        <f t="shared" si="17"/>
        <v>0</v>
      </c>
      <c r="AA60" s="19" t="b">
        <f t="shared" si="17"/>
        <v>0</v>
      </c>
      <c r="AB60" s="19" t="b">
        <f t="shared" si="17"/>
        <v>0</v>
      </c>
      <c r="AI60" s="59"/>
      <c r="AJ60" s="70"/>
    </row>
    <row r="61" spans="1:36">
      <c r="A61" s="48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51"/>
      <c r="F61" s="45"/>
      <c r="G61" s="38" t="str">
        <f ca="1">IFERROR(VLOOKUP(B61,項目!DATA_AREA,4,FALSE),"")</f>
        <v/>
      </c>
      <c r="H61" s="12" t="str">
        <f ca="1">IFERROR(VLOOKUP(B61,項目!DATA_AREA,5,FALSE),"")</f>
        <v/>
      </c>
      <c r="T61" s="19" t="b">
        <f t="shared" ca="1" si="0"/>
        <v>0</v>
      </c>
      <c r="U61" s="19" t="b">
        <f t="shared" si="16"/>
        <v>0</v>
      </c>
      <c r="V61" s="19" t="b">
        <f t="shared" ca="1" si="3"/>
        <v>0</v>
      </c>
      <c r="X61" s="19" t="b">
        <f t="shared" si="17"/>
        <v>0</v>
      </c>
      <c r="Y61" s="19" t="b">
        <f t="shared" si="17"/>
        <v>0</v>
      </c>
      <c r="Z61" s="19" t="b">
        <f t="shared" si="17"/>
        <v>0</v>
      </c>
      <c r="AA61" s="19" t="b">
        <f t="shared" si="17"/>
        <v>0</v>
      </c>
      <c r="AB61" s="19" t="b">
        <f t="shared" si="17"/>
        <v>0</v>
      </c>
      <c r="AI61" s="59"/>
      <c r="AJ61" s="70"/>
    </row>
    <row r="62" spans="1:36">
      <c r="A62" s="48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51"/>
      <c r="F62" s="45"/>
      <c r="G62" s="38" t="str">
        <f ca="1">IFERROR(VLOOKUP(B62,項目!DATA_AREA,4,FALSE),"")</f>
        <v/>
      </c>
      <c r="H62" s="12" t="str">
        <f ca="1">IFERROR(VLOOKUP(B62,項目!DATA_AREA,5,FALSE),"")</f>
        <v/>
      </c>
      <c r="T62" s="19" t="b">
        <f t="shared" ca="1" si="0"/>
        <v>0</v>
      </c>
      <c r="U62" s="19" t="b">
        <f t="shared" si="16"/>
        <v>0</v>
      </c>
      <c r="V62" s="19" t="b">
        <f t="shared" ca="1" si="3"/>
        <v>0</v>
      </c>
      <c r="AI62" s="59"/>
      <c r="AJ62" s="70"/>
    </row>
    <row r="63" spans="1:36">
      <c r="A63" s="48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51"/>
      <c r="F63" s="45"/>
      <c r="G63" s="38" t="str">
        <f ca="1">IFERROR(VLOOKUP(B63,項目!DATA_AREA,4,FALSE),"")</f>
        <v/>
      </c>
      <c r="H63" s="12" t="str">
        <f ca="1">IFERROR(VLOOKUP(B63,項目!DATA_AREA,5,FALSE),"")</f>
        <v/>
      </c>
      <c r="T63" s="19" t="b">
        <f t="shared" ca="1" si="0"/>
        <v>0</v>
      </c>
      <c r="U63" s="19" t="b">
        <f t="shared" si="16"/>
        <v>0</v>
      </c>
      <c r="V63" s="19" t="b">
        <f t="shared" ca="1" si="3"/>
        <v>0</v>
      </c>
      <c r="AI63" s="59"/>
      <c r="AJ63" s="70"/>
    </row>
    <row r="64" spans="1:36">
      <c r="A64" s="48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51"/>
      <c r="F64" s="45"/>
      <c r="G64" s="38" t="str">
        <f ca="1">IFERROR(VLOOKUP(B64,項目!DATA_AREA,4,FALSE),"")</f>
        <v/>
      </c>
      <c r="H64" s="12" t="str">
        <f ca="1">IFERROR(VLOOKUP(B64,項目!DATA_AREA,5,FALSE),"")</f>
        <v/>
      </c>
      <c r="T64" s="19" t="b">
        <f t="shared" ca="1" si="0"/>
        <v>0</v>
      </c>
      <c r="U64" s="19" t="b">
        <f t="shared" si="16"/>
        <v>0</v>
      </c>
      <c r="V64" s="19" t="b">
        <f t="shared" ca="1" si="3"/>
        <v>0</v>
      </c>
      <c r="X64" s="7" t="s">
        <v>23</v>
      </c>
      <c r="AI64" s="59"/>
      <c r="AJ64" s="70"/>
    </row>
    <row r="65" spans="1:36">
      <c r="A65" s="48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51"/>
      <c r="F65" s="45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0"/>
        <v>0</v>
      </c>
      <c r="U65" s="19" t="b">
        <f t="shared" si="16"/>
        <v>0</v>
      </c>
      <c r="V65" s="19" t="b">
        <f t="shared" ca="1" si="3"/>
        <v>0</v>
      </c>
      <c r="X65" s="19" t="b">
        <f t="shared" ref="X65:AB74" si="18">COUNTIF($N41:$R41,N41)&gt;1</f>
        <v>0</v>
      </c>
      <c r="Y65" s="19" t="b">
        <f t="shared" si="18"/>
        <v>0</v>
      </c>
      <c r="Z65" s="19" t="b">
        <f t="shared" si="18"/>
        <v>0</v>
      </c>
      <c r="AA65" s="19" t="b">
        <f t="shared" si="18"/>
        <v>0</v>
      </c>
      <c r="AB65" s="19" t="b">
        <f t="shared" si="18"/>
        <v>0</v>
      </c>
      <c r="AI65" s="59"/>
      <c r="AJ65" s="70"/>
    </row>
    <row r="66" spans="1:36">
      <c r="A66" s="48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51"/>
      <c r="F66" s="45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0"/>
        <v>0</v>
      </c>
      <c r="U66" s="19" t="b">
        <f t="shared" si="16"/>
        <v>0</v>
      </c>
      <c r="V66" s="19" t="b">
        <f t="shared" ca="1" si="3"/>
        <v>0</v>
      </c>
      <c r="X66" s="19" t="b">
        <f t="shared" si="18"/>
        <v>0</v>
      </c>
      <c r="Y66" s="19" t="b">
        <f t="shared" si="18"/>
        <v>0</v>
      </c>
      <c r="Z66" s="19" t="b">
        <f t="shared" si="18"/>
        <v>0</v>
      </c>
      <c r="AA66" s="19" t="b">
        <f t="shared" si="18"/>
        <v>0</v>
      </c>
      <c r="AB66" s="19" t="b">
        <f t="shared" si="18"/>
        <v>0</v>
      </c>
      <c r="AI66" s="59"/>
      <c r="AJ66" s="70"/>
    </row>
    <row r="67" spans="1:36">
      <c r="A67" s="48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51"/>
      <c r="F67" s="45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0"/>
        <v>0</v>
      </c>
      <c r="U67" s="19" t="b">
        <f t="shared" si="16"/>
        <v>0</v>
      </c>
      <c r="V67" s="19" t="b">
        <f t="shared" ca="1" si="3"/>
        <v>0</v>
      </c>
      <c r="X67" s="19" t="b">
        <f t="shared" si="18"/>
        <v>0</v>
      </c>
      <c r="Y67" s="19" t="b">
        <f t="shared" si="18"/>
        <v>0</v>
      </c>
      <c r="Z67" s="19" t="b">
        <f t="shared" si="18"/>
        <v>0</v>
      </c>
      <c r="AA67" s="19" t="b">
        <f t="shared" si="18"/>
        <v>0</v>
      </c>
      <c r="AB67" s="19" t="b">
        <f t="shared" si="18"/>
        <v>0</v>
      </c>
      <c r="AI67" s="59"/>
      <c r="AJ67" s="70"/>
    </row>
    <row r="68" spans="1:36">
      <c r="A68" s="48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51"/>
      <c r="F68" s="45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0"/>
        <v>0</v>
      </c>
      <c r="U68" s="19" t="b">
        <f t="shared" si="16"/>
        <v>0</v>
      </c>
      <c r="V68" s="19" t="b">
        <f t="shared" ca="1" si="3"/>
        <v>0</v>
      </c>
      <c r="X68" s="19" t="b">
        <f t="shared" si="18"/>
        <v>0</v>
      </c>
      <c r="Y68" s="19" t="b">
        <f t="shared" si="18"/>
        <v>0</v>
      </c>
      <c r="Z68" s="19" t="b">
        <f t="shared" si="18"/>
        <v>0</v>
      </c>
      <c r="AA68" s="19" t="b">
        <f t="shared" si="18"/>
        <v>0</v>
      </c>
      <c r="AB68" s="19" t="b">
        <f t="shared" si="18"/>
        <v>0</v>
      </c>
      <c r="AI68" s="59"/>
      <c r="AJ68" s="70"/>
    </row>
    <row r="69" spans="1:36">
      <c r="A69" s="48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51"/>
      <c r="F69" s="45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0"/>
        <v>0</v>
      </c>
      <c r="U69" s="19" t="b">
        <f t="shared" si="16"/>
        <v>0</v>
      </c>
      <c r="V69" s="19" t="b">
        <f t="shared" ca="1" si="3"/>
        <v>0</v>
      </c>
      <c r="X69" s="19" t="b">
        <f t="shared" si="18"/>
        <v>0</v>
      </c>
      <c r="Y69" s="19" t="b">
        <f t="shared" si="18"/>
        <v>0</v>
      </c>
      <c r="Z69" s="19" t="b">
        <f t="shared" si="18"/>
        <v>0</v>
      </c>
      <c r="AA69" s="19" t="b">
        <f t="shared" si="18"/>
        <v>0</v>
      </c>
      <c r="AB69" s="19" t="b">
        <f t="shared" si="18"/>
        <v>0</v>
      </c>
      <c r="AI69" s="59"/>
      <c r="AJ69" s="70"/>
    </row>
    <row r="70" spans="1:36">
      <c r="A70" s="48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51"/>
      <c r="F70" s="45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19">AND(B70&lt;&gt;"",ISNA(MATCH(B70,項目リスト,0)))</f>
        <v>0</v>
      </c>
      <c r="U70" s="19" t="b">
        <f t="shared" ref="U70:U105" si="20">COUNTIF(FIELD_NAME,B70)&gt;1</f>
        <v>0</v>
      </c>
      <c r="V70" s="19" t="b">
        <f t="shared" ca="1" si="3"/>
        <v>0</v>
      </c>
      <c r="X70" s="19" t="b">
        <f t="shared" si="18"/>
        <v>0</v>
      </c>
      <c r="Y70" s="19" t="b">
        <f t="shared" si="18"/>
        <v>0</v>
      </c>
      <c r="Z70" s="19" t="b">
        <f t="shared" si="18"/>
        <v>0</v>
      </c>
      <c r="AA70" s="19" t="b">
        <f t="shared" si="18"/>
        <v>0</v>
      </c>
      <c r="AB70" s="19" t="b">
        <f t="shared" si="18"/>
        <v>0</v>
      </c>
      <c r="AI70" s="59"/>
      <c r="AJ70" s="70"/>
    </row>
    <row r="71" spans="1:36">
      <c r="A71" s="48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51"/>
      <c r="F71" s="45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19"/>
        <v>0</v>
      </c>
      <c r="U71" s="19" t="b">
        <f t="shared" si="20"/>
        <v>0</v>
      </c>
      <c r="V71" s="19" t="b">
        <f t="shared" ca="1" si="3"/>
        <v>0</v>
      </c>
      <c r="X71" s="19" t="b">
        <f t="shared" si="18"/>
        <v>0</v>
      </c>
      <c r="Y71" s="19" t="b">
        <f t="shared" si="18"/>
        <v>0</v>
      </c>
      <c r="Z71" s="19" t="b">
        <f t="shared" si="18"/>
        <v>0</v>
      </c>
      <c r="AA71" s="19" t="b">
        <f t="shared" si="18"/>
        <v>0</v>
      </c>
      <c r="AB71" s="19" t="b">
        <f t="shared" si="18"/>
        <v>0</v>
      </c>
      <c r="AI71" s="59"/>
      <c r="AJ71" s="70"/>
    </row>
    <row r="72" spans="1:36">
      <c r="A72" s="48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51"/>
      <c r="F72" s="45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19"/>
        <v>0</v>
      </c>
      <c r="U72" s="19" t="b">
        <f t="shared" si="20"/>
        <v>0</v>
      </c>
      <c r="V72" s="19" t="b">
        <f t="shared" ca="1" si="3"/>
        <v>0</v>
      </c>
      <c r="X72" s="19" t="b">
        <f t="shared" si="18"/>
        <v>0</v>
      </c>
      <c r="Y72" s="19" t="b">
        <f t="shared" si="18"/>
        <v>0</v>
      </c>
      <c r="Z72" s="19" t="b">
        <f t="shared" si="18"/>
        <v>0</v>
      </c>
      <c r="AA72" s="19" t="b">
        <f t="shared" si="18"/>
        <v>0</v>
      </c>
      <c r="AB72" s="19" t="b">
        <f t="shared" si="18"/>
        <v>0</v>
      </c>
      <c r="AI72" s="59"/>
      <c r="AJ72" s="70"/>
    </row>
    <row r="73" spans="1:36">
      <c r="A73" s="48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51"/>
      <c r="F73" s="45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19"/>
        <v>0</v>
      </c>
      <c r="U73" s="19" t="b">
        <f t="shared" si="20"/>
        <v>0</v>
      </c>
      <c r="V73" s="19" t="b">
        <f t="shared" ref="V73:V105" ca="1" si="21">AND(E73="",H73&lt;&gt;"",H73)</f>
        <v>0</v>
      </c>
      <c r="X73" s="19" t="b">
        <f t="shared" si="18"/>
        <v>0</v>
      </c>
      <c r="Y73" s="19" t="b">
        <f t="shared" si="18"/>
        <v>0</v>
      </c>
      <c r="Z73" s="19" t="b">
        <f t="shared" si="18"/>
        <v>0</v>
      </c>
      <c r="AA73" s="19" t="b">
        <f t="shared" si="18"/>
        <v>0</v>
      </c>
      <c r="AB73" s="19" t="b">
        <f t="shared" si="18"/>
        <v>0</v>
      </c>
      <c r="AI73" s="59"/>
      <c r="AJ73" s="70"/>
    </row>
    <row r="74" spans="1:36">
      <c r="A74" s="48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51"/>
      <c r="F74" s="45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19"/>
        <v>0</v>
      </c>
      <c r="U74" s="19" t="b">
        <f t="shared" si="20"/>
        <v>0</v>
      </c>
      <c r="V74" s="19" t="b">
        <f t="shared" ca="1" si="21"/>
        <v>0</v>
      </c>
      <c r="X74" s="19" t="b">
        <f t="shared" si="18"/>
        <v>0</v>
      </c>
      <c r="Y74" s="19" t="b">
        <f t="shared" si="18"/>
        <v>0</v>
      </c>
      <c r="Z74" s="19" t="b">
        <f t="shared" si="18"/>
        <v>0</v>
      </c>
      <c r="AA74" s="19" t="b">
        <f t="shared" si="18"/>
        <v>0</v>
      </c>
      <c r="AB74" s="19" t="b">
        <f t="shared" si="18"/>
        <v>0</v>
      </c>
      <c r="AI74" s="59"/>
      <c r="AJ74" s="70"/>
    </row>
    <row r="75" spans="1:36">
      <c r="A75" s="48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51"/>
      <c r="F75" s="45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19"/>
        <v>0</v>
      </c>
      <c r="U75" s="19" t="b">
        <f t="shared" si="20"/>
        <v>0</v>
      </c>
      <c r="V75" s="19" t="b">
        <f t="shared" ca="1" si="21"/>
        <v>0</v>
      </c>
      <c r="AI75" s="59"/>
      <c r="AJ75" s="70"/>
    </row>
    <row r="76" spans="1:36">
      <c r="A76" s="48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51"/>
      <c r="F76" s="45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19"/>
        <v>0</v>
      </c>
      <c r="U76" s="19" t="b">
        <f t="shared" si="20"/>
        <v>0</v>
      </c>
      <c r="V76" s="19" t="b">
        <f t="shared" ca="1" si="21"/>
        <v>0</v>
      </c>
      <c r="AI76" s="59"/>
      <c r="AJ76" s="70"/>
    </row>
    <row r="77" spans="1:36">
      <c r="A77" s="48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51"/>
      <c r="F77" s="45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19"/>
        <v>0</v>
      </c>
      <c r="U77" s="19" t="b">
        <f t="shared" si="20"/>
        <v>0</v>
      </c>
      <c r="V77" s="19" t="b">
        <f t="shared" ca="1" si="21"/>
        <v>0</v>
      </c>
      <c r="X77" s="7" t="s">
        <v>25</v>
      </c>
      <c r="AI77" s="59"/>
      <c r="AJ77" s="70"/>
    </row>
    <row r="78" spans="1:36">
      <c r="A78" s="48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51"/>
      <c r="F78" s="45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19"/>
        <v>0</v>
      </c>
      <c r="U78" s="19" t="b">
        <f t="shared" si="20"/>
        <v>0</v>
      </c>
      <c r="V78" s="19" t="b">
        <f t="shared" ca="1" si="21"/>
        <v>0</v>
      </c>
      <c r="X78" s="19" t="b">
        <f t="shared" ref="X78:X87" ca="1" si="22">AND($AK6&lt;&gt;"",COUNTIF($AK$6:$AK$15,$AK6)&gt;1)</f>
        <v>0</v>
      </c>
      <c r="AI78" s="59"/>
      <c r="AJ78" s="70"/>
    </row>
    <row r="79" spans="1:36">
      <c r="A79" s="48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51"/>
      <c r="F79" s="45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19"/>
        <v>0</v>
      </c>
      <c r="U79" s="19" t="b">
        <f t="shared" si="20"/>
        <v>0</v>
      </c>
      <c r="V79" s="19" t="b">
        <f t="shared" ca="1" si="21"/>
        <v>0</v>
      </c>
      <c r="X79" s="19" t="b">
        <f t="shared" ca="1" si="22"/>
        <v>0</v>
      </c>
      <c r="AI79" s="59"/>
      <c r="AJ79" s="70"/>
    </row>
    <row r="80" spans="1:36">
      <c r="A80" s="48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51"/>
      <c r="F80" s="45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19"/>
        <v>0</v>
      </c>
      <c r="U80" s="19" t="b">
        <f t="shared" si="20"/>
        <v>0</v>
      </c>
      <c r="V80" s="19" t="b">
        <f t="shared" ca="1" si="21"/>
        <v>0</v>
      </c>
      <c r="X80" s="19" t="b">
        <f t="shared" ca="1" si="22"/>
        <v>0</v>
      </c>
      <c r="AI80" s="59"/>
      <c r="AJ80" s="70"/>
    </row>
    <row r="81" spans="1:36">
      <c r="A81" s="48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51"/>
      <c r="F81" s="45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19"/>
        <v>0</v>
      </c>
      <c r="U81" s="19" t="b">
        <f t="shared" si="20"/>
        <v>0</v>
      </c>
      <c r="V81" s="19" t="b">
        <f t="shared" ca="1" si="21"/>
        <v>0</v>
      </c>
      <c r="X81" s="19" t="b">
        <f t="shared" ca="1" si="22"/>
        <v>0</v>
      </c>
      <c r="AI81" s="59"/>
      <c r="AJ81" s="70"/>
    </row>
    <row r="82" spans="1:36">
      <c r="A82" s="48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51"/>
      <c r="F82" s="45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19"/>
        <v>0</v>
      </c>
      <c r="U82" s="19" t="b">
        <f t="shared" si="20"/>
        <v>0</v>
      </c>
      <c r="V82" s="19" t="b">
        <f t="shared" ca="1" si="21"/>
        <v>0</v>
      </c>
      <c r="X82" s="19" t="b">
        <f t="shared" ca="1" si="22"/>
        <v>0</v>
      </c>
      <c r="AI82" s="59"/>
      <c r="AJ82" s="70"/>
    </row>
    <row r="83" spans="1:36">
      <c r="A83" s="48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51"/>
      <c r="F83" s="45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19"/>
        <v>0</v>
      </c>
      <c r="U83" s="19" t="b">
        <f t="shared" si="20"/>
        <v>0</v>
      </c>
      <c r="V83" s="19" t="b">
        <f t="shared" ca="1" si="21"/>
        <v>0</v>
      </c>
      <c r="X83" s="19" t="b">
        <f t="shared" ca="1" si="22"/>
        <v>0</v>
      </c>
      <c r="AI83" s="59"/>
      <c r="AJ83" s="70"/>
    </row>
    <row r="84" spans="1:36">
      <c r="A84" s="48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51"/>
      <c r="F84" s="45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19"/>
        <v>0</v>
      </c>
      <c r="U84" s="19" t="b">
        <f t="shared" si="20"/>
        <v>0</v>
      </c>
      <c r="V84" s="19" t="b">
        <f t="shared" ca="1" si="21"/>
        <v>0</v>
      </c>
      <c r="X84" s="19" t="b">
        <f t="shared" ca="1" si="22"/>
        <v>0</v>
      </c>
      <c r="AI84" s="59"/>
      <c r="AJ84" s="70"/>
    </row>
    <row r="85" spans="1:36">
      <c r="A85" s="48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51"/>
      <c r="F85" s="45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19"/>
        <v>0</v>
      </c>
      <c r="U85" s="19" t="b">
        <f t="shared" si="20"/>
        <v>0</v>
      </c>
      <c r="V85" s="19" t="b">
        <f t="shared" ca="1" si="21"/>
        <v>0</v>
      </c>
      <c r="X85" s="19" t="b">
        <f t="shared" ca="1" si="22"/>
        <v>0</v>
      </c>
      <c r="AI85" s="59"/>
      <c r="AJ85" s="70"/>
    </row>
    <row r="86" spans="1:36">
      <c r="A86" s="48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51"/>
      <c r="F86" s="45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19"/>
        <v>0</v>
      </c>
      <c r="U86" s="19" t="b">
        <f t="shared" si="20"/>
        <v>0</v>
      </c>
      <c r="V86" s="19" t="b">
        <f t="shared" ca="1" si="21"/>
        <v>0</v>
      </c>
      <c r="X86" s="19" t="b">
        <f t="shared" ca="1" si="22"/>
        <v>0</v>
      </c>
      <c r="AI86" s="59"/>
      <c r="AJ86" s="70"/>
    </row>
    <row r="87" spans="1:36">
      <c r="A87" s="48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51"/>
      <c r="F87" s="45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19"/>
        <v>0</v>
      </c>
      <c r="U87" s="19" t="b">
        <f t="shared" si="20"/>
        <v>0</v>
      </c>
      <c r="V87" s="19" t="b">
        <f t="shared" ca="1" si="21"/>
        <v>0</v>
      </c>
      <c r="X87" s="19" t="e">
        <f t="shared" ca="1" si="22"/>
        <v>#N/A</v>
      </c>
      <c r="AI87" s="59"/>
      <c r="AJ87" s="70"/>
    </row>
    <row r="88" spans="1:36">
      <c r="A88" s="48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51"/>
      <c r="F88" s="45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19"/>
        <v>0</v>
      </c>
      <c r="U88" s="19" t="b">
        <f t="shared" si="20"/>
        <v>0</v>
      </c>
      <c r="V88" s="19" t="b">
        <f t="shared" ca="1" si="21"/>
        <v>0</v>
      </c>
      <c r="AI88" s="59"/>
      <c r="AJ88" s="70"/>
    </row>
    <row r="89" spans="1:36">
      <c r="A89" s="48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51"/>
      <c r="F89" s="45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19"/>
        <v>0</v>
      </c>
      <c r="U89" s="19" t="b">
        <f t="shared" si="20"/>
        <v>0</v>
      </c>
      <c r="V89" s="19" t="b">
        <f t="shared" ca="1" si="21"/>
        <v>0</v>
      </c>
      <c r="AI89" s="59"/>
      <c r="AJ89" s="70"/>
    </row>
    <row r="90" spans="1:36">
      <c r="A90" s="48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51"/>
      <c r="F90" s="45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19"/>
        <v>0</v>
      </c>
      <c r="U90" s="19" t="b">
        <f t="shared" si="20"/>
        <v>0</v>
      </c>
      <c r="V90" s="19" t="b">
        <f t="shared" ca="1" si="21"/>
        <v>0</v>
      </c>
      <c r="AI90" s="59"/>
      <c r="AJ90" s="70"/>
    </row>
    <row r="91" spans="1:36">
      <c r="A91" s="48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51"/>
      <c r="F91" s="45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19"/>
        <v>0</v>
      </c>
      <c r="U91" s="19" t="b">
        <f t="shared" si="20"/>
        <v>0</v>
      </c>
      <c r="V91" s="19" t="b">
        <f t="shared" ca="1" si="21"/>
        <v>0</v>
      </c>
      <c r="AI91" s="59"/>
      <c r="AJ91" s="70"/>
    </row>
    <row r="92" spans="1:36">
      <c r="A92" s="48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51"/>
      <c r="F92" s="45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19"/>
        <v>0</v>
      </c>
      <c r="U92" s="19" t="b">
        <f t="shared" si="20"/>
        <v>0</v>
      </c>
      <c r="V92" s="19" t="b">
        <f t="shared" ca="1" si="21"/>
        <v>0</v>
      </c>
      <c r="AI92" s="59"/>
      <c r="AJ92" s="70"/>
    </row>
    <row r="93" spans="1:36">
      <c r="A93" s="48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51"/>
      <c r="F93" s="45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19"/>
        <v>0</v>
      </c>
      <c r="U93" s="19" t="b">
        <f t="shared" si="20"/>
        <v>0</v>
      </c>
      <c r="V93" s="19" t="b">
        <f t="shared" ca="1" si="21"/>
        <v>0</v>
      </c>
      <c r="AI93" s="59"/>
      <c r="AJ93" s="70"/>
    </row>
    <row r="94" spans="1:36">
      <c r="A94" s="48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51"/>
      <c r="F94" s="45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19"/>
        <v>0</v>
      </c>
      <c r="U94" s="19" t="b">
        <f t="shared" si="20"/>
        <v>0</v>
      </c>
      <c r="V94" s="19" t="b">
        <f t="shared" ca="1" si="21"/>
        <v>0</v>
      </c>
      <c r="AI94" s="59"/>
      <c r="AJ94" s="70"/>
    </row>
    <row r="95" spans="1:36">
      <c r="A95" s="48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51"/>
      <c r="F95" s="45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19"/>
        <v>0</v>
      </c>
      <c r="U95" s="19" t="b">
        <f t="shared" si="20"/>
        <v>0</v>
      </c>
      <c r="V95" s="19" t="b">
        <f t="shared" ca="1" si="21"/>
        <v>0</v>
      </c>
      <c r="AI95" s="59"/>
      <c r="AJ95" s="70"/>
    </row>
    <row r="96" spans="1:36">
      <c r="A96" s="48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51"/>
      <c r="F96" s="45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19"/>
        <v>0</v>
      </c>
      <c r="U96" s="19" t="b">
        <f t="shared" si="20"/>
        <v>0</v>
      </c>
      <c r="V96" s="19" t="b">
        <f t="shared" ca="1" si="21"/>
        <v>0</v>
      </c>
      <c r="AI96" s="59"/>
      <c r="AJ96" s="70"/>
    </row>
    <row r="97" spans="1:36">
      <c r="A97" s="48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51"/>
      <c r="F97" s="45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19"/>
        <v>0</v>
      </c>
      <c r="U97" s="19" t="b">
        <f t="shared" si="20"/>
        <v>0</v>
      </c>
      <c r="V97" s="19" t="b">
        <f t="shared" ca="1" si="21"/>
        <v>0</v>
      </c>
      <c r="AI97" s="59"/>
      <c r="AJ97" s="70"/>
    </row>
    <row r="98" spans="1:36">
      <c r="A98" s="48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51"/>
      <c r="F98" s="45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19"/>
        <v>0</v>
      </c>
      <c r="U98" s="19" t="b">
        <f t="shared" si="20"/>
        <v>0</v>
      </c>
      <c r="V98" s="19" t="b">
        <f t="shared" ca="1" si="21"/>
        <v>0</v>
      </c>
      <c r="AI98" s="59"/>
      <c r="AJ98" s="70"/>
    </row>
    <row r="99" spans="1:36">
      <c r="A99" s="48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51"/>
      <c r="F99" s="45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19"/>
        <v>0</v>
      </c>
      <c r="U99" s="19" t="b">
        <f t="shared" si="20"/>
        <v>0</v>
      </c>
      <c r="V99" s="19" t="b">
        <f t="shared" ca="1" si="21"/>
        <v>0</v>
      </c>
      <c r="AI99" s="59"/>
      <c r="AJ99" s="70"/>
    </row>
    <row r="100" spans="1:36">
      <c r="A100" s="48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51"/>
      <c r="F100" s="45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19"/>
        <v>0</v>
      </c>
      <c r="U100" s="19" t="b">
        <f t="shared" si="20"/>
        <v>0</v>
      </c>
      <c r="V100" s="19" t="b">
        <f t="shared" ca="1" si="21"/>
        <v>0</v>
      </c>
      <c r="AI100" s="59"/>
      <c r="AJ100" s="70"/>
    </row>
    <row r="101" spans="1:36">
      <c r="A101" s="48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51"/>
      <c r="F101" s="45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19"/>
        <v>0</v>
      </c>
      <c r="U101" s="19" t="b">
        <f t="shared" si="20"/>
        <v>0</v>
      </c>
      <c r="V101" s="19" t="b">
        <f t="shared" ca="1" si="21"/>
        <v>0</v>
      </c>
      <c r="AI101" s="59"/>
      <c r="AJ101" s="70"/>
    </row>
    <row r="102" spans="1:36">
      <c r="A102" s="48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51"/>
      <c r="F102" s="45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19"/>
        <v>0</v>
      </c>
      <c r="U102" s="19" t="b">
        <f t="shared" si="20"/>
        <v>0</v>
      </c>
      <c r="V102" s="19" t="b">
        <f t="shared" ca="1" si="21"/>
        <v>0</v>
      </c>
      <c r="AI102" s="59"/>
      <c r="AJ102" s="70"/>
    </row>
    <row r="103" spans="1:36">
      <c r="A103" s="48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51"/>
      <c r="F103" s="45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19"/>
        <v>0</v>
      </c>
      <c r="U103" s="19" t="b">
        <f t="shared" si="20"/>
        <v>0</v>
      </c>
      <c r="V103" s="19" t="b">
        <f t="shared" ca="1" si="21"/>
        <v>0</v>
      </c>
      <c r="AI103" s="59"/>
      <c r="AJ103" s="70"/>
    </row>
    <row r="104" spans="1:36">
      <c r="A104" s="48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51"/>
      <c r="F104" s="45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19"/>
        <v>0</v>
      </c>
      <c r="U104" s="19" t="b">
        <f t="shared" si="20"/>
        <v>0</v>
      </c>
      <c r="V104" s="19" t="b">
        <f t="shared" ca="1" si="21"/>
        <v>0</v>
      </c>
      <c r="AI104" s="59"/>
      <c r="AJ104" s="70"/>
    </row>
    <row r="105" spans="1:36">
      <c r="A105" s="49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52"/>
      <c r="F105" s="46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19"/>
        <v>0</v>
      </c>
      <c r="U105" s="19" t="b">
        <f t="shared" si="20"/>
        <v>0</v>
      </c>
      <c r="V105" s="19" t="b">
        <f t="shared" ca="1" si="21"/>
        <v>0</v>
      </c>
      <c r="AI105" s="59"/>
      <c r="AJ105" s="70"/>
    </row>
  </sheetData>
  <phoneticPr fontId="2"/>
  <conditionalFormatting sqref="B2:C2">
    <cfRule type="expression" dxfId="43" priority="7">
      <formula>ISERROR(B2)</formula>
    </cfRule>
  </conditionalFormatting>
  <conditionalFormatting sqref="B6:B105">
    <cfRule type="expression" dxfId="42" priority="5">
      <formula>COUNTIF(FIELD_NAME,B6)&gt;1</formula>
    </cfRule>
    <cfRule type="expression" dxfId="41" priority="6">
      <formula>AND($B6&lt;&gt;"",ISNA(MATCH($B6,項目リスト,0)))</formula>
    </cfRule>
  </conditionalFormatting>
  <conditionalFormatting sqref="B6">
    <cfRule type="expression" dxfId="40" priority="4">
      <formula>$AI$6="N/A"</formula>
    </cfRule>
  </conditionalFormatting>
  <conditionalFormatting sqref="D1">
    <cfRule type="cellIs" dxfId="39" priority="3" operator="greaterThan">
      <formula>0</formula>
    </cfRule>
  </conditionalFormatting>
  <conditionalFormatting sqref="L8:P8">
    <cfRule type="expression" dxfId="38" priority="9">
      <formula>Y8</formula>
    </cfRule>
    <cfRule type="expression" dxfId="37" priority="10">
      <formula>Y7</formula>
    </cfRule>
  </conditionalFormatting>
  <conditionalFormatting sqref="L13:P22">
    <cfRule type="expression" dxfId="36" priority="1">
      <formula>Y13</formula>
    </cfRule>
    <cfRule type="expression" dxfId="35" priority="2">
      <formula>$AD13</formula>
    </cfRule>
  </conditionalFormatting>
  <conditionalFormatting sqref="L8">
    <cfRule type="expression" dxfId="34" priority="8">
      <formula>$AG$7</formula>
    </cfRule>
  </conditionalFormatting>
  <conditionalFormatting sqref="E6">
    <cfRule type="expression" dxfId="33" priority="11" stopIfTrue="1">
      <formula>$V6</formula>
    </cfRule>
  </conditionalFormatting>
  <conditionalFormatting sqref="E7">
    <cfRule type="expression" dxfId="32" priority="12" stopIfTrue="1">
      <formula>$V7</formula>
    </cfRule>
  </conditionalFormatting>
  <conditionalFormatting sqref="E8">
    <cfRule type="expression" dxfId="31" priority="13" stopIfTrue="1">
      <formula>$V8</formula>
    </cfRule>
  </conditionalFormatting>
  <conditionalFormatting sqref="E9">
    <cfRule type="expression" dxfId="30" priority="14" stopIfTrue="1">
      <formula>$V9</formula>
    </cfRule>
  </conditionalFormatting>
  <conditionalFormatting sqref="E10">
    <cfRule type="expression" dxfId="29" priority="15" stopIfTrue="1">
      <formula>$V10</formula>
    </cfRule>
  </conditionalFormatting>
  <dataValidations count="7">
    <dataValidation imeMode="off" allowBlank="1" showInputMessage="1" showErrorMessage="1" sqref="D5:F5 C2" xr:uid="{43B13057-CFE3-4C39-8B88-A28713B67410}"/>
    <dataValidation type="list" allowBlank="1" showInputMessage="1" showErrorMessage="1" sqref="F2" xr:uid="{034124CA-5584-4C05-AA8C-AD5A2F0FFEBF}">
      <formula1>"○,-"</formula1>
    </dataValidation>
    <dataValidation type="list" allowBlank="1" showInputMessage="1" showErrorMessage="1" sqref="L13:P22" xr:uid="{95738A1E-93A6-42A3-B4E8-5176C84868B3}">
      <formula1>FIELDリスト</formula1>
    </dataValidation>
    <dataValidation type="list" allowBlank="1" showInputMessage="1" showErrorMessage="1" sqref="L8:P8" xr:uid="{79737A1B-E239-4F3E-ACC8-33A6D5D31128}">
      <formula1>FIELDリストNN</formula1>
    </dataValidation>
    <dataValidation type="whole" imeMode="off" operator="equal" allowBlank="1" showInputMessage="1" showErrorMessage="1" error="NotNullの場合は[1]を入力する。" sqref="E6:E105" xr:uid="{C6A513FF-6637-4D0A-9D72-568A21E8DD28}">
      <formula1>1</formula1>
    </dataValidation>
    <dataValidation type="list" allowBlank="1" showInputMessage="1" showErrorMessage="1" sqref="B6:B105" xr:uid="{8CA117C7-763B-4EB3-9F5F-F57AAEEA97E0}">
      <formula1>項目リスト</formula1>
    </dataValidation>
    <dataValidation imeMode="on" allowBlank="1" showInputMessage="1" showErrorMessage="1" sqref="K12 A5 A1:A2 E2 K7 F6:H105" xr:uid="{2263A9FA-F679-49B9-B56C-64328490B1CB}"/>
  </dataValidations>
  <hyperlinks>
    <hyperlink ref="E1" location="一覧!R1C1" display="一覧へ" xr:uid="{8AB5F924-DF46-42CA-B1BA-3154859850B2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B721A-FEE9-4D11-881E-3D1D8FD45D79}">
  <sheetPr codeName="template2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5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INDEX(一覧!DATA_AREA,TABLE_NO,2)</f>
        <v>受注</v>
      </c>
      <c r="C2" s="20" t="str" cm="1">
        <f t="array" ref="C2">INDEX(一覧!DATA_AREA,TABLE_NO,3)</f>
        <v>orders</v>
      </c>
      <c r="D2" s="95">
        <v>2</v>
      </c>
      <c r="E2" s="89" t="s">
        <v>169</v>
      </c>
      <c r="F2" s="90" t="s">
        <v>172</v>
      </c>
      <c r="G2" s="40"/>
      <c r="AF2" s="7" t="s">
        <v>17</v>
      </c>
      <c r="AG2" s="7" t="b">
        <f>OR(ISERROR(TABLE_JP),ISERROR(TABLE_EN))</f>
        <v>0</v>
      </c>
    </row>
    <row r="3" spans="1:41">
      <c r="AE3" s="7" t="s">
        <v>8</v>
      </c>
      <c r="AF3" s="7" t="s">
        <v>26</v>
      </c>
      <c r="AG3" s="7" t="b">
        <f>AI6="N/A"</f>
        <v>0</v>
      </c>
    </row>
    <row r="4" spans="1:41" ht="20">
      <c r="A4" s="10" t="s">
        <v>46</v>
      </c>
      <c r="K4" s="10" t="s">
        <v>47</v>
      </c>
      <c r="T4" s="69" t="s">
        <v>159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44</v>
      </c>
      <c r="H5" s="3" t="s">
        <v>43</v>
      </c>
      <c r="T5" s="7" t="s">
        <v>19</v>
      </c>
      <c r="U5" s="7" t="s">
        <v>23</v>
      </c>
      <c r="V5" s="7" t="s">
        <v>45</v>
      </c>
      <c r="AF5" s="7" t="s">
        <v>23</v>
      </c>
      <c r="AG5" s="7" t="b">
        <f>OR(U6:U105)</f>
        <v>0</v>
      </c>
      <c r="AI5" s="59">
        <f>COUNTA(AI6:AI105)</f>
        <v>5</v>
      </c>
      <c r="AJ5" s="70">
        <f>COUNTA(AJ6:AJ105)</f>
        <v>3</v>
      </c>
    </row>
    <row r="6" spans="1:41" ht="15" customHeight="1">
      <c r="A6" s="47">
        <v>1</v>
      </c>
      <c r="B6" s="41" t="s">
        <v>31</v>
      </c>
      <c r="C6" s="34" t="str">
        <f ca="1">IFERROR(VLOOKUP(B6,項目!DATA_AREA,2,FALSE),"")</f>
        <v>received_order_no</v>
      </c>
      <c r="D6" s="34" t="str">
        <f ca="1">IFERROR(VLOOKUP(B6,項目!DATA_AREA,3,FALSE),"")</f>
        <v>varchar(10)</v>
      </c>
      <c r="E6" s="50">
        <v>1</v>
      </c>
      <c r="F6" s="44"/>
      <c r="G6" s="37" t="str">
        <f ca="1">IFERROR(VLOOKUP(B6,項目!DATA_AREA,4,FALSE),"")</f>
        <v>(LENGTH(received_order_no) = 10)</v>
      </c>
      <c r="H6" s="11" t="b">
        <f ca="1">IFERROR(VLOOKUP(B6,項目!DATA_AREA,5,FALSE),"")</f>
        <v>0</v>
      </c>
      <c r="K6" s="53" t="s">
        <v>51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69" t="s">
        <v>161</v>
      </c>
      <c r="AF6" s="7" t="s">
        <v>24</v>
      </c>
      <c r="AG6" s="7" t="b">
        <f ca="1">OR(V6:V105)</f>
        <v>0</v>
      </c>
      <c r="AI6" s="59" t="s">
        <v>168</v>
      </c>
      <c r="AJ6" s="70" t="s">
        <v>168</v>
      </c>
    </row>
    <row r="7" spans="1:41">
      <c r="A7" s="48">
        <v>2</v>
      </c>
      <c r="B7" s="42" t="s">
        <v>29</v>
      </c>
      <c r="C7" s="35" t="str">
        <f ca="1">IFERROR(VLOOKUP(B7,項目!DATA_AREA,2,FALSE),"")</f>
        <v>order_date</v>
      </c>
      <c r="D7" s="35" t="str">
        <f ca="1">IFERROR(VLOOKUP(B7,項目!DATA_AREA,3,FALSE),"")</f>
        <v>date</v>
      </c>
      <c r="E7" s="51">
        <v>1</v>
      </c>
      <c r="F7" s="45"/>
      <c r="G7" s="38">
        <f ca="1">IFERROR(VLOOKUP(B7,項目!DATA_AREA,4,FALSE),"")</f>
        <v>0</v>
      </c>
      <c r="H7" s="12" t="b">
        <f ca="1">IFERROR(VLOOKUP(B7,項目!DATA_AREA,5,FALSE),"")</f>
        <v>0</v>
      </c>
      <c r="K7" s="56" t="s">
        <v>12</v>
      </c>
      <c r="L7" s="57">
        <v>1</v>
      </c>
      <c r="M7" s="57">
        <v>2</v>
      </c>
      <c r="N7" s="57">
        <v>3</v>
      </c>
      <c r="O7" s="57">
        <v>4</v>
      </c>
      <c r="P7" s="58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0</v>
      </c>
      <c r="AI7" s="59" t="s">
        <v>29</v>
      </c>
      <c r="AJ7" s="70" t="s">
        <v>29</v>
      </c>
    </row>
    <row r="8" spans="1:41">
      <c r="A8" s="48">
        <v>3</v>
      </c>
      <c r="B8" s="42" t="s">
        <v>32</v>
      </c>
      <c r="C8" s="35" t="str">
        <f ca="1">IFERROR(VLOOKUP(B8,項目!DATA_AREA,2,FALSE),"")</f>
        <v>person_in_charge</v>
      </c>
      <c r="D8" s="35" t="str">
        <f ca="1">IFERROR(VLOOKUP(B8,項目!DATA_AREA,3,FALSE),"")</f>
        <v>varchar(30)</v>
      </c>
      <c r="E8" s="51"/>
      <c r="F8" s="45"/>
      <c r="G8" s="38">
        <f ca="1">IFERROR(VLOOKUP(B8,項目!DATA_AREA,4,FALSE),"")</f>
        <v>0</v>
      </c>
      <c r="H8" s="12" t="b">
        <f ca="1">IFERROR(VLOOKUP(B8,項目!DATA_AREA,5,FALSE),"")</f>
        <v>0</v>
      </c>
      <c r="K8" s="71" t="s">
        <v>14</v>
      </c>
      <c r="L8" s="72" t="s">
        <v>31</v>
      </c>
      <c r="M8" s="73"/>
      <c r="N8" s="73"/>
      <c r="O8" s="73"/>
      <c r="P8" s="74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59" t="s">
        <v>32</v>
      </c>
      <c r="AJ8" s="70" t="s">
        <v>33</v>
      </c>
      <c r="AK8" s="59" t="str">
        <f ca="1">VLOOKUP(L8,FIELD_NAME__,2,FALSE)</f>
        <v>received_order_no</v>
      </c>
      <c r="AL8" s="59" t="e">
        <f ca="1">VLOOKUP(M8,FIELD_NAME__,2,FALSE)</f>
        <v>#N/A</v>
      </c>
      <c r="AM8" s="59" t="e">
        <f ca="1">VLOOKUP(N8,FIELD_NAME__,2,FALSE)</f>
        <v>#N/A</v>
      </c>
      <c r="AN8" s="59" t="e">
        <f ca="1">VLOOKUP(O8,FIELD_NAME__,2,FALSE)</f>
        <v>#N/A</v>
      </c>
      <c r="AO8" s="59" t="e">
        <f ca="1">VLOOKUP(P8,FIELD_NAME__,2,FALSE)</f>
        <v>#N/A</v>
      </c>
    </row>
    <row r="9" spans="1:41">
      <c r="A9" s="48">
        <v>4</v>
      </c>
      <c r="B9" s="42" t="s">
        <v>33</v>
      </c>
      <c r="C9" s="35" t="str">
        <f ca="1">IFERROR(VLOOKUP(B9,項目!DATA_AREA,2,FALSE),"")</f>
        <v>customer_id</v>
      </c>
      <c r="D9" s="35" t="str">
        <f ca="1">IFERROR(VLOOKUP(B9,項目!DATA_AREA,3,FALSE),"")</f>
        <v>varchar(3)</v>
      </c>
      <c r="E9" s="51">
        <v>1</v>
      </c>
      <c r="F9" s="45"/>
      <c r="G9" s="38" t="str">
        <f ca="1">IFERROR(VLOOKUP(B9,項目!DATA_AREA,4,FALSE),"")</f>
        <v>(LENGTH(customer_id) = 3)</v>
      </c>
      <c r="H9" s="12" t="b">
        <f ca="1">IFERROR(VLOOKUP(B9,項目!DATA_AREA,5,FALSE),"")</f>
        <v>0</v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59" t="s">
        <v>33</v>
      </c>
      <c r="AJ9" s="70"/>
    </row>
    <row r="10" spans="1:41">
      <c r="A10" s="48">
        <v>5</v>
      </c>
      <c r="B10" s="42" t="s">
        <v>22</v>
      </c>
      <c r="C10" s="35" t="str">
        <f ca="1">IFERROR(VLOOKUP(B10,項目!DATA_AREA,2,FALSE),"")</f>
        <v>comment</v>
      </c>
      <c r="D10" s="35" t="str">
        <f ca="1">IFERROR(VLOOKUP(B10,項目!DATA_AREA,3,FALSE),"")</f>
        <v>text</v>
      </c>
      <c r="E10" s="51"/>
      <c r="F10" s="45"/>
      <c r="G10" s="38" t="str">
        <f ca="1">IFERROR(VLOOKUP(B10,項目!DATA_AREA,4,FALSE),"")</f>
        <v>(LENGTH(comment) &gt;= 10)</v>
      </c>
      <c r="H10" s="12" t="b">
        <f ca="1">IFERROR(VLOOKUP(B10,項目!DATA_AREA,5,FALSE),"")</f>
        <v>0</v>
      </c>
      <c r="R10" s="69" t="s">
        <v>160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53</v>
      </c>
      <c r="AF10" s="7" t="s">
        <v>164</v>
      </c>
      <c r="AG10" s="7" t="b">
        <f ca="1">OR($Y$13:$AC$22)</f>
        <v>0</v>
      </c>
      <c r="AI10" s="59" t="s">
        <v>22</v>
      </c>
      <c r="AJ10" s="70"/>
    </row>
    <row r="11" spans="1:41" ht="15" customHeight="1">
      <c r="A11" s="48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51"/>
      <c r="F11" s="45"/>
      <c r="G11" s="38" t="str">
        <f ca="1">IFERROR(VLOOKUP(B11,項目!DATA_AREA,4,FALSE),"")</f>
        <v/>
      </c>
      <c r="H11" s="12" t="str">
        <f ca="1">IFERROR(VLOOKUP(B11,項目!DATA_AREA,5,FALSE),"")</f>
        <v/>
      </c>
      <c r="K11" s="53" t="s">
        <v>52</v>
      </c>
      <c r="L11" s="63" t="s">
        <v>54</v>
      </c>
      <c r="R11" s="59" t="b">
        <f>_xlfn.CONCAT(UNIQUE_LIST)&lt;&gt;""</f>
        <v>0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163</v>
      </c>
      <c r="AG11" s="7" t="b">
        <f>OR($AD$13:$AD$22)</f>
        <v>0</v>
      </c>
      <c r="AI11" s="59"/>
      <c r="AJ11" s="70"/>
    </row>
    <row r="12" spans="1:41" ht="15" customHeight="1">
      <c r="A12" s="48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51"/>
      <c r="F12" s="45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60" t="s">
        <v>12</v>
      </c>
      <c r="L12" s="61">
        <v>1</v>
      </c>
      <c r="M12" s="61">
        <v>2</v>
      </c>
      <c r="N12" s="61">
        <v>3</v>
      </c>
      <c r="O12" s="61">
        <v>4</v>
      </c>
      <c r="P12" s="62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69" t="s">
        <v>162</v>
      </c>
      <c r="AD12" s="7" t="s">
        <v>163</v>
      </c>
      <c r="AI12" s="59"/>
      <c r="AJ12" s="70"/>
    </row>
    <row r="13" spans="1:41">
      <c r="A13" s="48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51"/>
      <c r="F13" s="45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5">
        <v>1</v>
      </c>
      <c r="L13" s="76"/>
      <c r="M13" s="77"/>
      <c r="N13" s="77"/>
      <c r="O13" s="77"/>
      <c r="P13" s="78"/>
      <c r="R13" s="87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165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59"/>
      <c r="AJ13" s="70"/>
      <c r="AK13" s="59" t="e">
        <f t="shared" ref="AK13:AK22" ca="1" si="9">VLOOKUP(L13,FIELD_NAME__,2,FALSE)</f>
        <v>#N/A</v>
      </c>
      <c r="AL13" s="59" t="e">
        <f t="shared" ref="AL13:AL22" ca="1" si="10">VLOOKUP(M13,FIELD_NAME__,2,FALSE)</f>
        <v>#N/A</v>
      </c>
      <c r="AM13" s="59" t="e">
        <f t="shared" ref="AM13:AM22" ca="1" si="11">VLOOKUP(N13,FIELD_NAME__,2,FALSE)</f>
        <v>#N/A</v>
      </c>
      <c r="AN13" s="59" t="e">
        <f t="shared" ref="AN13:AN22" ca="1" si="12">VLOOKUP(O13,FIELD_NAME__,2,FALSE)</f>
        <v>#N/A</v>
      </c>
      <c r="AO13" s="59" t="e">
        <f t="shared" ref="AO13:AO22" ca="1" si="13">VLOOKUP(P13,FIELD_NAME__,2,FALSE)</f>
        <v>#N/A</v>
      </c>
    </row>
    <row r="14" spans="1:41">
      <c r="A14" s="48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51"/>
      <c r="F14" s="45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9">
        <v>2</v>
      </c>
      <c r="L14" s="80"/>
      <c r="M14" s="81"/>
      <c r="N14" s="81"/>
      <c r="O14" s="81"/>
      <c r="P14" s="82"/>
      <c r="R14" s="87" t="str">
        <f t="shared" ref="R14:R22" si="14">_xlfn.CONCAT(L14:P14)</f>
        <v/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166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59"/>
      <c r="AJ14" s="70"/>
      <c r="AK14" s="59" t="e">
        <f t="shared" ca="1" si="9"/>
        <v>#N/A</v>
      </c>
      <c r="AL14" s="59" t="e">
        <f t="shared" ca="1" si="10"/>
        <v>#N/A</v>
      </c>
      <c r="AM14" s="59" t="e">
        <f t="shared" ca="1" si="11"/>
        <v>#N/A</v>
      </c>
      <c r="AN14" s="59" t="e">
        <f t="shared" ca="1" si="12"/>
        <v>#N/A</v>
      </c>
      <c r="AO14" s="59" t="e">
        <f t="shared" ca="1" si="13"/>
        <v>#N/A</v>
      </c>
    </row>
    <row r="15" spans="1:41">
      <c r="A15" s="48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51"/>
      <c r="F15" s="45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9">
        <v>3</v>
      </c>
      <c r="L15" s="80"/>
      <c r="M15" s="81"/>
      <c r="N15" s="81"/>
      <c r="O15" s="81"/>
      <c r="P15" s="82"/>
      <c r="R15" s="87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59"/>
      <c r="AJ15" s="70"/>
      <c r="AK15" s="59" t="e">
        <f t="shared" ca="1" si="9"/>
        <v>#N/A</v>
      </c>
      <c r="AL15" s="59" t="e">
        <f t="shared" ca="1" si="10"/>
        <v>#N/A</v>
      </c>
      <c r="AM15" s="59" t="e">
        <f t="shared" ca="1" si="11"/>
        <v>#N/A</v>
      </c>
      <c r="AN15" s="59" t="e">
        <f t="shared" ca="1" si="12"/>
        <v>#N/A</v>
      </c>
      <c r="AO15" s="59" t="e">
        <f t="shared" ca="1" si="13"/>
        <v>#N/A</v>
      </c>
    </row>
    <row r="16" spans="1:41">
      <c r="A16" s="48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51"/>
      <c r="F16" s="45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9">
        <v>4</v>
      </c>
      <c r="L16" s="80"/>
      <c r="M16" s="81"/>
      <c r="N16" s="81"/>
      <c r="O16" s="81"/>
      <c r="P16" s="82"/>
      <c r="R16" s="87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59"/>
      <c r="AJ16" s="70"/>
      <c r="AK16" s="59" t="e">
        <f t="shared" ca="1" si="9"/>
        <v>#N/A</v>
      </c>
      <c r="AL16" s="59" t="e">
        <f t="shared" ca="1" si="10"/>
        <v>#N/A</v>
      </c>
      <c r="AM16" s="59" t="e">
        <f t="shared" ca="1" si="11"/>
        <v>#N/A</v>
      </c>
      <c r="AN16" s="59" t="e">
        <f t="shared" ca="1" si="12"/>
        <v>#N/A</v>
      </c>
      <c r="AO16" s="59" t="e">
        <f t="shared" ca="1" si="13"/>
        <v>#N/A</v>
      </c>
    </row>
    <row r="17" spans="1:41">
      <c r="A17" s="48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51"/>
      <c r="F17" s="45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9">
        <v>5</v>
      </c>
      <c r="L17" s="80"/>
      <c r="M17" s="81"/>
      <c r="N17" s="81"/>
      <c r="O17" s="81"/>
      <c r="P17" s="82"/>
      <c r="R17" s="87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59"/>
      <c r="AJ17" s="70"/>
      <c r="AK17" s="59" t="e">
        <f t="shared" ca="1" si="9"/>
        <v>#N/A</v>
      </c>
      <c r="AL17" s="59" t="e">
        <f t="shared" ca="1" si="10"/>
        <v>#N/A</v>
      </c>
      <c r="AM17" s="59" t="e">
        <f t="shared" ca="1" si="11"/>
        <v>#N/A</v>
      </c>
      <c r="AN17" s="59" t="e">
        <f t="shared" ca="1" si="12"/>
        <v>#N/A</v>
      </c>
      <c r="AO17" s="59" t="e">
        <f t="shared" ca="1" si="13"/>
        <v>#N/A</v>
      </c>
    </row>
    <row r="18" spans="1:41">
      <c r="A18" s="48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51"/>
      <c r="F18" s="45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9">
        <v>6</v>
      </c>
      <c r="L18" s="80"/>
      <c r="M18" s="81"/>
      <c r="N18" s="81"/>
      <c r="O18" s="81"/>
      <c r="P18" s="82"/>
      <c r="R18" s="87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59"/>
      <c r="AJ18" s="70"/>
      <c r="AK18" s="59" t="e">
        <f t="shared" ca="1" si="9"/>
        <v>#N/A</v>
      </c>
      <c r="AL18" s="59" t="e">
        <f t="shared" ca="1" si="10"/>
        <v>#N/A</v>
      </c>
      <c r="AM18" s="59" t="e">
        <f t="shared" ca="1" si="11"/>
        <v>#N/A</v>
      </c>
      <c r="AN18" s="59" t="e">
        <f t="shared" ca="1" si="12"/>
        <v>#N/A</v>
      </c>
      <c r="AO18" s="59" t="e">
        <f t="shared" ca="1" si="13"/>
        <v>#N/A</v>
      </c>
    </row>
    <row r="19" spans="1:41">
      <c r="A19" s="48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51"/>
      <c r="F19" s="45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9">
        <v>7</v>
      </c>
      <c r="L19" s="80"/>
      <c r="M19" s="81"/>
      <c r="N19" s="81"/>
      <c r="O19" s="81"/>
      <c r="P19" s="82"/>
      <c r="R19" s="87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59"/>
      <c r="AJ19" s="70"/>
      <c r="AK19" s="59" t="e">
        <f t="shared" ca="1" si="9"/>
        <v>#N/A</v>
      </c>
      <c r="AL19" s="59" t="e">
        <f t="shared" ca="1" si="10"/>
        <v>#N/A</v>
      </c>
      <c r="AM19" s="59" t="e">
        <f t="shared" ca="1" si="11"/>
        <v>#N/A</v>
      </c>
      <c r="AN19" s="59" t="e">
        <f t="shared" ca="1" si="12"/>
        <v>#N/A</v>
      </c>
      <c r="AO19" s="59" t="e">
        <f t="shared" ca="1" si="13"/>
        <v>#N/A</v>
      </c>
    </row>
    <row r="20" spans="1:41">
      <c r="A20" s="48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51"/>
      <c r="F20" s="45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9">
        <v>8</v>
      </c>
      <c r="L20" s="80"/>
      <c r="M20" s="81"/>
      <c r="N20" s="81"/>
      <c r="O20" s="81"/>
      <c r="P20" s="82"/>
      <c r="R20" s="87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59"/>
      <c r="AJ20" s="70"/>
      <c r="AK20" s="59" t="e">
        <f t="shared" ca="1" si="9"/>
        <v>#N/A</v>
      </c>
      <c r="AL20" s="59" t="e">
        <f t="shared" ca="1" si="10"/>
        <v>#N/A</v>
      </c>
      <c r="AM20" s="59" t="e">
        <f t="shared" ca="1" si="11"/>
        <v>#N/A</v>
      </c>
      <c r="AN20" s="59" t="e">
        <f t="shared" ca="1" si="12"/>
        <v>#N/A</v>
      </c>
      <c r="AO20" s="59" t="e">
        <f t="shared" ca="1" si="13"/>
        <v>#N/A</v>
      </c>
    </row>
    <row r="21" spans="1:41">
      <c r="A21" s="48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51"/>
      <c r="F21" s="45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9">
        <v>9</v>
      </c>
      <c r="L21" s="80"/>
      <c r="M21" s="81"/>
      <c r="N21" s="81"/>
      <c r="O21" s="81"/>
      <c r="P21" s="82"/>
      <c r="R21" s="87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59"/>
      <c r="AJ21" s="70"/>
      <c r="AK21" s="59" t="e">
        <f t="shared" ca="1" si="9"/>
        <v>#N/A</v>
      </c>
      <c r="AL21" s="59" t="e">
        <f t="shared" ca="1" si="10"/>
        <v>#N/A</v>
      </c>
      <c r="AM21" s="59" t="e">
        <f t="shared" ca="1" si="11"/>
        <v>#N/A</v>
      </c>
      <c r="AN21" s="59" t="e">
        <f t="shared" ca="1" si="12"/>
        <v>#N/A</v>
      </c>
      <c r="AO21" s="59" t="e">
        <f t="shared" ca="1" si="13"/>
        <v>#N/A</v>
      </c>
    </row>
    <row r="22" spans="1:41">
      <c r="A22" s="48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51"/>
      <c r="F22" s="45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83">
        <v>10</v>
      </c>
      <c r="L22" s="84"/>
      <c r="M22" s="85"/>
      <c r="N22" s="85"/>
      <c r="O22" s="85"/>
      <c r="P22" s="86"/>
      <c r="R22" s="87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59"/>
      <c r="AJ22" s="70"/>
      <c r="AK22" s="59" t="e">
        <f t="shared" ca="1" si="9"/>
        <v>#N/A</v>
      </c>
      <c r="AL22" s="59" t="e">
        <f t="shared" ca="1" si="10"/>
        <v>#N/A</v>
      </c>
      <c r="AM22" s="59" t="e">
        <f t="shared" ca="1" si="11"/>
        <v>#N/A</v>
      </c>
      <c r="AN22" s="59" t="e">
        <f t="shared" ca="1" si="12"/>
        <v>#N/A</v>
      </c>
      <c r="AO22" s="59" t="e">
        <f t="shared" ca="1" si="13"/>
        <v>#N/A</v>
      </c>
    </row>
    <row r="23" spans="1:41">
      <c r="A23" s="48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51"/>
      <c r="F23" s="45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59"/>
      <c r="AJ23" s="70"/>
    </row>
    <row r="24" spans="1:41" ht="15" customHeight="1">
      <c r="A24" s="48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51"/>
      <c r="F24" s="45"/>
      <c r="G24" s="38" t="str">
        <f ca="1">IFERROR(VLOOKUP(B24,項目!DATA_AREA,4,FALSE),"")</f>
        <v/>
      </c>
      <c r="H24" s="12" t="str">
        <f ca="1">IFERROR(VLOOKUP(B24,項目!DATA_AREA,5,FALSE),"")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59"/>
      <c r="AJ24" s="70"/>
    </row>
    <row r="25" spans="1:41">
      <c r="A25" s="48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51"/>
      <c r="F25" s="45"/>
      <c r="G25" s="38" t="str">
        <f ca="1">IFERROR(VLOOKUP(B25,項目!DATA_AREA,4,FALSE),"")</f>
        <v/>
      </c>
      <c r="H25" s="12" t="str">
        <f ca="1">IFERROR(VLOOKUP(B25,項目!DATA_AREA,5,FALSE),"")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59"/>
      <c r="AJ25" s="70"/>
    </row>
    <row r="26" spans="1:41">
      <c r="A26" s="48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51"/>
      <c r="F26" s="45"/>
      <c r="G26" s="38" t="str">
        <f ca="1">IFERROR(VLOOKUP(B26,項目!DATA_AREA,4,FALSE),"")</f>
        <v/>
      </c>
      <c r="H26" s="12" t="str">
        <f ca="1">IFERROR(VLOOKUP(B26,項目!DATA_AREA,5,FALSE),"")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59"/>
      <c r="AJ26" s="70"/>
    </row>
    <row r="27" spans="1:41">
      <c r="A27" s="48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51"/>
      <c r="F27" s="45"/>
      <c r="G27" s="38" t="str">
        <f ca="1">IFERROR(VLOOKUP(B27,項目!DATA_AREA,4,FALSE),"")</f>
        <v/>
      </c>
      <c r="H27" s="12" t="str">
        <f ca="1">IFERROR(VLOOKUP(B27,項目!DATA_AREA,5,FALSE),"")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59"/>
      <c r="AJ27" s="70"/>
    </row>
    <row r="28" spans="1:41">
      <c r="A28" s="48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51"/>
      <c r="F28" s="45"/>
      <c r="G28" s="38" t="str">
        <f ca="1">IFERROR(VLOOKUP(B28,項目!DATA_AREA,4,FALSE),"")</f>
        <v/>
      </c>
      <c r="H28" s="12" t="str">
        <f ca="1">IFERROR(VLOOKUP(B28,項目!DATA_AREA,5,FALSE),"")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59"/>
      <c r="AJ28" s="70"/>
    </row>
    <row r="29" spans="1:41">
      <c r="A29" s="48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51"/>
      <c r="F29" s="45"/>
      <c r="G29" s="38" t="str">
        <f ca="1">IFERROR(VLOOKUP(B29,項目!DATA_AREA,4,FALSE),"")</f>
        <v/>
      </c>
      <c r="H29" s="12" t="str">
        <f ca="1">IFERROR(VLOOKUP(B29,項目!DATA_AREA,5,FALSE),"")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59"/>
      <c r="AJ29" s="70"/>
    </row>
    <row r="30" spans="1:41">
      <c r="A30" s="48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51"/>
      <c r="F30" s="45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59"/>
      <c r="AJ30" s="70"/>
    </row>
    <row r="31" spans="1:41">
      <c r="A31" s="48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51"/>
      <c r="F31" s="45"/>
      <c r="G31" s="38" t="str">
        <f ca="1">IFERROR(VLOOKUP(B31,項目!DATA_AREA,4,FALSE),"")</f>
        <v/>
      </c>
      <c r="H31" s="12" t="str">
        <f ca="1">IFERROR(VLOOKUP(B31,項目!DATA_AREA,5,FALSE),"")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59"/>
      <c r="AJ31" s="70"/>
    </row>
    <row r="32" spans="1:41">
      <c r="A32" s="48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51"/>
      <c r="F32" s="45"/>
      <c r="G32" s="38" t="str">
        <f ca="1">IFERROR(VLOOKUP(B32,項目!DATA_AREA,4,FALSE),"")</f>
        <v/>
      </c>
      <c r="H32" s="12" t="str">
        <f ca="1">IFERROR(VLOOKUP(B32,項目!DATA_AREA,5,FALSE),"")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59"/>
      <c r="AJ32" s="70"/>
    </row>
    <row r="33" spans="1:36">
      <c r="A33" s="48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51"/>
      <c r="F33" s="45"/>
      <c r="G33" s="38" t="str">
        <f ca="1">IFERROR(VLOOKUP(B33,項目!DATA_AREA,4,FALSE),"")</f>
        <v/>
      </c>
      <c r="H33" s="12" t="str">
        <f ca="1">IFERROR(VLOOKUP(B33,項目!DATA_AREA,5,FALSE),"")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59"/>
      <c r="AJ33" s="70"/>
    </row>
    <row r="34" spans="1:36">
      <c r="A34" s="48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51"/>
      <c r="F34" s="45"/>
      <c r="G34" s="38" t="str">
        <f ca="1">IFERROR(VLOOKUP(B34,項目!DATA_AREA,4,FALSE),"")</f>
        <v/>
      </c>
      <c r="H34" s="12" t="str">
        <f ca="1">IFERROR(VLOOKUP(B34,項目!DATA_AREA,5,FALSE),"")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59"/>
      <c r="AJ34" s="70"/>
    </row>
    <row r="35" spans="1:36">
      <c r="A35" s="48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51"/>
      <c r="F35" s="45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59"/>
      <c r="AJ35" s="70"/>
    </row>
    <row r="36" spans="1:36">
      <c r="A36" s="48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51"/>
      <c r="F36" s="45"/>
      <c r="G36" s="38" t="str">
        <f ca="1">IFERROR(VLOOKUP(B36,項目!DATA_AREA,4,FALSE),"")</f>
        <v/>
      </c>
      <c r="H36" s="12" t="str">
        <f ca="1">IFERROR(VLOOKUP(B36,項目!DATA_AREA,5,FALSE),"")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59"/>
      <c r="AJ36" s="70"/>
    </row>
    <row r="37" spans="1:36">
      <c r="A37" s="48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51"/>
      <c r="F37" s="45"/>
      <c r="G37" s="38" t="str">
        <f ca="1">IFERROR(VLOOKUP(B37,項目!DATA_AREA,4,FALSE),"")</f>
        <v/>
      </c>
      <c r="H37" s="12" t="str">
        <f ca="1">IFERROR(VLOOKUP(B37,項目!DATA_AREA,5,FALSE),"")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59"/>
      <c r="AJ37" s="70"/>
    </row>
    <row r="38" spans="1:36">
      <c r="A38" s="48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51"/>
      <c r="F38" s="45"/>
      <c r="G38" s="38" t="str">
        <f ca="1">IFERROR(VLOOKUP(B38,項目!DATA_AREA,4,FALSE),"")</f>
        <v/>
      </c>
      <c r="H38" s="12" t="str">
        <f ca="1">IFERROR(VLOOKUP(B38,項目!DATA_AREA,5,FALSE),"")</f>
        <v/>
      </c>
      <c r="T38" s="19" t="b">
        <f t="shared" ca="1" si="0"/>
        <v>0</v>
      </c>
      <c r="U38" s="19" t="b">
        <f t="shared" ref="U38:U69" si="16">COUNTIF(FIELD_NAME,B38)&gt;1</f>
        <v>0</v>
      </c>
      <c r="V38" s="19" t="b">
        <f t="shared" ca="1" si="3"/>
        <v>0</v>
      </c>
      <c r="AI38" s="59"/>
      <c r="AJ38" s="70"/>
    </row>
    <row r="39" spans="1:36">
      <c r="A39" s="48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51"/>
      <c r="F39" s="45"/>
      <c r="G39" s="38" t="str">
        <f ca="1">IFERROR(VLOOKUP(B39,項目!DATA_AREA,4,FALSE),"")</f>
        <v/>
      </c>
      <c r="H39" s="12" t="str">
        <f ca="1">IFERROR(VLOOKUP(B39,項目!DATA_AREA,5,FALSE),"")</f>
        <v/>
      </c>
      <c r="T39" s="19" t="b">
        <f t="shared" ca="1" si="0"/>
        <v>0</v>
      </c>
      <c r="U39" s="19" t="b">
        <f t="shared" si="16"/>
        <v>0</v>
      </c>
      <c r="V39" s="19" t="b">
        <f t="shared" ca="1" si="3"/>
        <v>0</v>
      </c>
      <c r="AI39" s="59"/>
      <c r="AJ39" s="70"/>
    </row>
    <row r="40" spans="1:36">
      <c r="A40" s="48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51"/>
      <c r="F40" s="45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0"/>
        <v>0</v>
      </c>
      <c r="U40" s="19" t="b">
        <f t="shared" si="16"/>
        <v>0</v>
      </c>
      <c r="V40" s="19" t="b">
        <f t="shared" ca="1" si="3"/>
        <v>0</v>
      </c>
      <c r="AI40" s="59"/>
      <c r="AJ40" s="70"/>
    </row>
    <row r="41" spans="1:36">
      <c r="A41" s="48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51"/>
      <c r="F41" s="45"/>
      <c r="G41" s="38" t="str">
        <f ca="1">IFERROR(VLOOKUP(B41,項目!DATA_AREA,4,FALSE),"")</f>
        <v/>
      </c>
      <c r="H41" s="12" t="str">
        <f ca="1">IFERROR(VLOOKUP(B41,項目!DATA_AREA,5,FALSE),"")</f>
        <v/>
      </c>
      <c r="T41" s="19" t="b">
        <f t="shared" ca="1" si="0"/>
        <v>0</v>
      </c>
      <c r="U41" s="19" t="b">
        <f t="shared" si="16"/>
        <v>0</v>
      </c>
      <c r="V41" s="19" t="b">
        <f t="shared" ca="1" si="3"/>
        <v>0</v>
      </c>
      <c r="AI41" s="59"/>
      <c r="AJ41" s="70"/>
    </row>
    <row r="42" spans="1:36">
      <c r="A42" s="48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51"/>
      <c r="F42" s="45"/>
      <c r="G42" s="38" t="str">
        <f ca="1">IFERROR(VLOOKUP(B42,項目!DATA_AREA,4,FALSE),"")</f>
        <v/>
      </c>
      <c r="H42" s="12" t="str">
        <f ca="1">IFERROR(VLOOKUP(B42,項目!DATA_AREA,5,FALSE),"")</f>
        <v/>
      </c>
      <c r="T42" s="19" t="b">
        <f t="shared" ca="1" si="0"/>
        <v>0</v>
      </c>
      <c r="U42" s="19" t="b">
        <f t="shared" si="16"/>
        <v>0</v>
      </c>
      <c r="V42" s="19" t="b">
        <f t="shared" ca="1" si="3"/>
        <v>0</v>
      </c>
      <c r="AI42" s="59"/>
      <c r="AJ42" s="70"/>
    </row>
    <row r="43" spans="1:36">
      <c r="A43" s="48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51"/>
      <c r="F43" s="45"/>
      <c r="G43" s="38" t="str">
        <f ca="1">IFERROR(VLOOKUP(B43,項目!DATA_AREA,4,FALSE),"")</f>
        <v/>
      </c>
      <c r="H43" s="12" t="str">
        <f ca="1">IFERROR(VLOOKUP(B43,項目!DATA_AREA,5,FALSE),"")</f>
        <v/>
      </c>
      <c r="T43" s="19" t="b">
        <f t="shared" ca="1" si="0"/>
        <v>0</v>
      </c>
      <c r="U43" s="19" t="b">
        <f t="shared" si="16"/>
        <v>0</v>
      </c>
      <c r="V43" s="19" t="b">
        <f t="shared" ca="1" si="3"/>
        <v>0</v>
      </c>
      <c r="AI43" s="59"/>
      <c r="AJ43" s="70"/>
    </row>
    <row r="44" spans="1:36">
      <c r="A44" s="48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51"/>
      <c r="F44" s="45"/>
      <c r="G44" s="38" t="str">
        <f ca="1">IFERROR(VLOOKUP(B44,項目!DATA_AREA,4,FALSE),"")</f>
        <v/>
      </c>
      <c r="H44" s="12" t="str">
        <f ca="1">IFERROR(VLOOKUP(B44,項目!DATA_AREA,5,FALSE),"")</f>
        <v/>
      </c>
      <c r="T44" s="19" t="b">
        <f t="shared" ca="1" si="0"/>
        <v>0</v>
      </c>
      <c r="U44" s="19" t="b">
        <f t="shared" si="16"/>
        <v>0</v>
      </c>
      <c r="V44" s="19" t="b">
        <f t="shared" ca="1" si="3"/>
        <v>0</v>
      </c>
      <c r="AI44" s="59"/>
      <c r="AJ44" s="70"/>
    </row>
    <row r="45" spans="1:36">
      <c r="A45" s="48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51"/>
      <c r="F45" s="45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0"/>
        <v>0</v>
      </c>
      <c r="U45" s="19" t="b">
        <f t="shared" si="16"/>
        <v>0</v>
      </c>
      <c r="V45" s="19" t="b">
        <f t="shared" ca="1" si="3"/>
        <v>0</v>
      </c>
      <c r="AI45" s="59"/>
      <c r="AJ45" s="70"/>
    </row>
    <row r="46" spans="1:36">
      <c r="A46" s="48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51"/>
      <c r="F46" s="45"/>
      <c r="G46" s="38" t="str">
        <f ca="1">IFERROR(VLOOKUP(B46,項目!DATA_AREA,4,FALSE),"")</f>
        <v/>
      </c>
      <c r="H46" s="12" t="str">
        <f ca="1">IFERROR(VLOOKUP(B46,項目!DATA_AREA,5,FALSE),"")</f>
        <v/>
      </c>
      <c r="T46" s="19" t="b">
        <f t="shared" ca="1" si="0"/>
        <v>0</v>
      </c>
      <c r="U46" s="19" t="b">
        <f t="shared" si="16"/>
        <v>0</v>
      </c>
      <c r="V46" s="19" t="b">
        <f t="shared" ca="1" si="3"/>
        <v>0</v>
      </c>
      <c r="AI46" s="59"/>
      <c r="AJ46" s="70"/>
    </row>
    <row r="47" spans="1:36">
      <c r="A47" s="48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51"/>
      <c r="F47" s="45"/>
      <c r="G47" s="38" t="str">
        <f ca="1">IFERROR(VLOOKUP(B47,項目!DATA_AREA,4,FALSE),"")</f>
        <v/>
      </c>
      <c r="H47" s="12" t="str">
        <f ca="1">IFERROR(VLOOKUP(B47,項目!DATA_AREA,5,FALSE),"")</f>
        <v/>
      </c>
      <c r="T47" s="19" t="b">
        <f t="shared" ca="1" si="0"/>
        <v>0</v>
      </c>
      <c r="U47" s="19" t="b">
        <f t="shared" si="16"/>
        <v>0</v>
      </c>
      <c r="V47" s="19" t="b">
        <f t="shared" ca="1" si="3"/>
        <v>0</v>
      </c>
      <c r="AI47" s="59"/>
      <c r="AJ47" s="70"/>
    </row>
    <row r="48" spans="1:36">
      <c r="A48" s="48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51"/>
      <c r="F48" s="45"/>
      <c r="G48" s="38" t="str">
        <f ca="1">IFERROR(VLOOKUP(B48,項目!DATA_AREA,4,FALSE),"")</f>
        <v/>
      </c>
      <c r="H48" s="12" t="str">
        <f ca="1">IFERROR(VLOOKUP(B48,項目!DATA_AREA,5,FALSE),"")</f>
        <v/>
      </c>
      <c r="T48" s="19" t="b">
        <f t="shared" ca="1" si="0"/>
        <v>0</v>
      </c>
      <c r="U48" s="19" t="b">
        <f t="shared" si="16"/>
        <v>0</v>
      </c>
      <c r="V48" s="19" t="b">
        <f t="shared" ca="1" si="3"/>
        <v>0</v>
      </c>
      <c r="AI48" s="59"/>
      <c r="AJ48" s="70"/>
    </row>
    <row r="49" spans="1:36">
      <c r="A49" s="48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51"/>
      <c r="F49" s="45"/>
      <c r="G49" s="38" t="str">
        <f ca="1">IFERROR(VLOOKUP(B49,項目!DATA_AREA,4,FALSE),"")</f>
        <v/>
      </c>
      <c r="H49" s="12" t="str">
        <f ca="1">IFERROR(VLOOKUP(B49,項目!DATA_AREA,5,FALSE),"")</f>
        <v/>
      </c>
      <c r="T49" s="19" t="b">
        <f t="shared" ca="1" si="0"/>
        <v>0</v>
      </c>
      <c r="U49" s="19" t="b">
        <f t="shared" si="16"/>
        <v>0</v>
      </c>
      <c r="V49" s="19" t="b">
        <f t="shared" ca="1" si="3"/>
        <v>0</v>
      </c>
      <c r="AI49" s="59"/>
      <c r="AJ49" s="70"/>
    </row>
    <row r="50" spans="1:36">
      <c r="A50" s="48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51"/>
      <c r="F50" s="45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0"/>
        <v>0</v>
      </c>
      <c r="U50" s="19" t="b">
        <f t="shared" si="16"/>
        <v>0</v>
      </c>
      <c r="V50" s="19" t="b">
        <f t="shared" ca="1" si="3"/>
        <v>0</v>
      </c>
      <c r="X50" s="7" t="s">
        <v>13</v>
      </c>
      <c r="AI50" s="59"/>
      <c r="AJ50" s="70"/>
    </row>
    <row r="51" spans="1:36">
      <c r="A51" s="48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51"/>
      <c r="F51" s="45"/>
      <c r="G51" s="38" t="str">
        <f ca="1">IFERROR(VLOOKUP(B51,項目!DATA_AREA,4,FALSE),"")</f>
        <v/>
      </c>
      <c r="H51" s="12" t="str">
        <f ca="1">IFERROR(VLOOKUP(B51,項目!DATA_AREA,5,FALSE),"")</f>
        <v/>
      </c>
      <c r="T51" s="19" t="b">
        <f t="shared" ca="1" si="0"/>
        <v>0</v>
      </c>
      <c r="U51" s="19" t="b">
        <f t="shared" si="16"/>
        <v>0</v>
      </c>
      <c r="V51" s="19" t="b">
        <f t="shared" ca="1" si="3"/>
        <v>0</v>
      </c>
      <c r="X51" s="7" t="s">
        <v>19</v>
      </c>
      <c r="AI51" s="59"/>
      <c r="AJ51" s="70"/>
    </row>
    <row r="52" spans="1:36">
      <c r="A52" s="48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51"/>
      <c r="F52" s="45"/>
      <c r="G52" s="38" t="str">
        <f ca="1">IFERROR(VLOOKUP(B52,項目!DATA_AREA,4,FALSE),"")</f>
        <v/>
      </c>
      <c r="H52" s="12" t="str">
        <f ca="1">IFERROR(VLOOKUP(B52,項目!DATA_AREA,5,FALSE),"")</f>
        <v/>
      </c>
      <c r="T52" s="19" t="b">
        <f t="shared" ca="1" si="0"/>
        <v>0</v>
      </c>
      <c r="U52" s="19" t="b">
        <f t="shared" si="16"/>
        <v>0</v>
      </c>
      <c r="V52" s="19" t="b">
        <f t="shared" ca="1" si="3"/>
        <v>0</v>
      </c>
      <c r="X52" s="19" t="b">
        <f t="shared" ref="X52:AB61" si="17">AND(N41&lt;&gt;"",ISNA(MATCH(N41,テーブル項目KEY,0)))</f>
        <v>0</v>
      </c>
      <c r="Y52" s="19" t="b">
        <f t="shared" si="17"/>
        <v>0</v>
      </c>
      <c r="Z52" s="19" t="b">
        <f t="shared" si="17"/>
        <v>0</v>
      </c>
      <c r="AA52" s="19" t="b">
        <f t="shared" si="17"/>
        <v>0</v>
      </c>
      <c r="AB52" s="19" t="b">
        <f t="shared" si="17"/>
        <v>0</v>
      </c>
      <c r="AI52" s="59"/>
      <c r="AJ52" s="70"/>
    </row>
    <row r="53" spans="1:36">
      <c r="A53" s="48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51"/>
      <c r="F53" s="45"/>
      <c r="G53" s="38" t="str">
        <f ca="1">IFERROR(VLOOKUP(B53,項目!DATA_AREA,4,FALSE),"")</f>
        <v/>
      </c>
      <c r="H53" s="12" t="str">
        <f ca="1">IFERROR(VLOOKUP(B53,項目!DATA_AREA,5,FALSE),"")</f>
        <v/>
      </c>
      <c r="T53" s="19" t="b">
        <f t="shared" ca="1" si="0"/>
        <v>0</v>
      </c>
      <c r="U53" s="19" t="b">
        <f t="shared" si="16"/>
        <v>0</v>
      </c>
      <c r="V53" s="19" t="b">
        <f t="shared" ca="1" si="3"/>
        <v>0</v>
      </c>
      <c r="X53" s="19" t="b">
        <f t="shared" si="17"/>
        <v>0</v>
      </c>
      <c r="Y53" s="19" t="b">
        <f t="shared" si="17"/>
        <v>0</v>
      </c>
      <c r="Z53" s="19" t="b">
        <f t="shared" si="17"/>
        <v>0</v>
      </c>
      <c r="AA53" s="19" t="b">
        <f t="shared" si="17"/>
        <v>0</v>
      </c>
      <c r="AB53" s="19" t="b">
        <f t="shared" si="17"/>
        <v>0</v>
      </c>
      <c r="AI53" s="59"/>
      <c r="AJ53" s="70"/>
    </row>
    <row r="54" spans="1:36">
      <c r="A54" s="48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51"/>
      <c r="F54" s="45"/>
      <c r="G54" s="38" t="str">
        <f ca="1">IFERROR(VLOOKUP(B54,項目!DATA_AREA,4,FALSE),"")</f>
        <v/>
      </c>
      <c r="H54" s="12" t="str">
        <f ca="1">IFERROR(VLOOKUP(B54,項目!DATA_AREA,5,FALSE),"")</f>
        <v/>
      </c>
      <c r="T54" s="19" t="b">
        <f t="shared" ca="1" si="0"/>
        <v>0</v>
      </c>
      <c r="U54" s="19" t="b">
        <f t="shared" si="16"/>
        <v>0</v>
      </c>
      <c r="V54" s="19" t="b">
        <f t="shared" ca="1" si="3"/>
        <v>0</v>
      </c>
      <c r="X54" s="19" t="b">
        <f t="shared" si="17"/>
        <v>0</v>
      </c>
      <c r="Y54" s="19" t="b">
        <f t="shared" si="17"/>
        <v>0</v>
      </c>
      <c r="Z54" s="19" t="b">
        <f t="shared" si="17"/>
        <v>0</v>
      </c>
      <c r="AA54" s="19" t="b">
        <f t="shared" si="17"/>
        <v>0</v>
      </c>
      <c r="AB54" s="19" t="b">
        <f t="shared" si="17"/>
        <v>0</v>
      </c>
      <c r="AI54" s="59"/>
      <c r="AJ54" s="70"/>
    </row>
    <row r="55" spans="1:36">
      <c r="A55" s="48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51"/>
      <c r="F55" s="45"/>
      <c r="G55" s="38" t="str">
        <f ca="1">IFERROR(VLOOKUP(B55,項目!DATA_AREA,4,FALSE),"")</f>
        <v/>
      </c>
      <c r="H55" s="12" t="str">
        <f ca="1">IFERROR(VLOOKUP(B55,項目!DATA_AREA,5,FALSE),"")</f>
        <v/>
      </c>
      <c r="T55" s="19" t="b">
        <f t="shared" ca="1" si="0"/>
        <v>0</v>
      </c>
      <c r="U55" s="19" t="b">
        <f t="shared" si="16"/>
        <v>0</v>
      </c>
      <c r="V55" s="19" t="b">
        <f t="shared" ca="1" si="3"/>
        <v>0</v>
      </c>
      <c r="X55" s="19" t="b">
        <f t="shared" si="17"/>
        <v>0</v>
      </c>
      <c r="Y55" s="19" t="b">
        <f t="shared" si="17"/>
        <v>0</v>
      </c>
      <c r="Z55" s="19" t="b">
        <f t="shared" si="17"/>
        <v>0</v>
      </c>
      <c r="AA55" s="19" t="b">
        <f t="shared" si="17"/>
        <v>0</v>
      </c>
      <c r="AB55" s="19" t="b">
        <f t="shared" si="17"/>
        <v>0</v>
      </c>
      <c r="AI55" s="59"/>
      <c r="AJ55" s="70"/>
    </row>
    <row r="56" spans="1:36">
      <c r="A56" s="48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51"/>
      <c r="F56" s="45"/>
      <c r="G56" s="38" t="str">
        <f ca="1">IFERROR(VLOOKUP(B56,項目!DATA_AREA,4,FALSE),"")</f>
        <v/>
      </c>
      <c r="H56" s="12" t="str">
        <f ca="1">IFERROR(VLOOKUP(B56,項目!DATA_AREA,5,FALSE),"")</f>
        <v/>
      </c>
      <c r="T56" s="19" t="b">
        <f t="shared" ca="1" si="0"/>
        <v>0</v>
      </c>
      <c r="U56" s="19" t="b">
        <f t="shared" si="16"/>
        <v>0</v>
      </c>
      <c r="V56" s="19" t="b">
        <f t="shared" ca="1" si="3"/>
        <v>0</v>
      </c>
      <c r="X56" s="19" t="b">
        <f t="shared" si="17"/>
        <v>0</v>
      </c>
      <c r="Y56" s="19" t="b">
        <f t="shared" si="17"/>
        <v>0</v>
      </c>
      <c r="Z56" s="19" t="b">
        <f t="shared" si="17"/>
        <v>0</v>
      </c>
      <c r="AA56" s="19" t="b">
        <f t="shared" si="17"/>
        <v>0</v>
      </c>
      <c r="AB56" s="19" t="b">
        <f t="shared" si="17"/>
        <v>0</v>
      </c>
      <c r="AI56" s="59"/>
      <c r="AJ56" s="70"/>
    </row>
    <row r="57" spans="1:36">
      <c r="A57" s="48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51"/>
      <c r="F57" s="45"/>
      <c r="G57" s="38" t="str">
        <f ca="1">IFERROR(VLOOKUP(B57,項目!DATA_AREA,4,FALSE),"")</f>
        <v/>
      </c>
      <c r="H57" s="12" t="str">
        <f ca="1">IFERROR(VLOOKUP(B57,項目!DATA_AREA,5,FALSE),"")</f>
        <v/>
      </c>
      <c r="T57" s="19" t="b">
        <f t="shared" ca="1" si="0"/>
        <v>0</v>
      </c>
      <c r="U57" s="19" t="b">
        <f t="shared" si="16"/>
        <v>0</v>
      </c>
      <c r="V57" s="19" t="b">
        <f t="shared" ca="1" si="3"/>
        <v>0</v>
      </c>
      <c r="X57" s="19" t="b">
        <f t="shared" si="17"/>
        <v>0</v>
      </c>
      <c r="Y57" s="19" t="b">
        <f t="shared" si="17"/>
        <v>0</v>
      </c>
      <c r="Z57" s="19" t="b">
        <f t="shared" si="17"/>
        <v>0</v>
      </c>
      <c r="AA57" s="19" t="b">
        <f t="shared" si="17"/>
        <v>0</v>
      </c>
      <c r="AB57" s="19" t="b">
        <f t="shared" si="17"/>
        <v>0</v>
      </c>
      <c r="AI57" s="59"/>
      <c r="AJ57" s="70"/>
    </row>
    <row r="58" spans="1:36">
      <c r="A58" s="48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51"/>
      <c r="F58" s="45"/>
      <c r="G58" s="38" t="str">
        <f ca="1">IFERROR(VLOOKUP(B58,項目!DATA_AREA,4,FALSE),"")</f>
        <v/>
      </c>
      <c r="H58" s="12" t="str">
        <f ca="1">IFERROR(VLOOKUP(B58,項目!DATA_AREA,5,FALSE),"")</f>
        <v/>
      </c>
      <c r="T58" s="19" t="b">
        <f t="shared" ca="1" si="0"/>
        <v>0</v>
      </c>
      <c r="U58" s="19" t="b">
        <f t="shared" si="16"/>
        <v>0</v>
      </c>
      <c r="V58" s="19" t="b">
        <f t="shared" ca="1" si="3"/>
        <v>0</v>
      </c>
      <c r="X58" s="19" t="b">
        <f t="shared" si="17"/>
        <v>0</v>
      </c>
      <c r="Y58" s="19" t="b">
        <f t="shared" si="17"/>
        <v>0</v>
      </c>
      <c r="Z58" s="19" t="b">
        <f t="shared" si="17"/>
        <v>0</v>
      </c>
      <c r="AA58" s="19" t="b">
        <f t="shared" si="17"/>
        <v>0</v>
      </c>
      <c r="AB58" s="19" t="b">
        <f t="shared" si="17"/>
        <v>0</v>
      </c>
      <c r="AI58" s="59"/>
      <c r="AJ58" s="70"/>
    </row>
    <row r="59" spans="1:36">
      <c r="A59" s="48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51"/>
      <c r="F59" s="45"/>
      <c r="G59" s="38" t="str">
        <f ca="1">IFERROR(VLOOKUP(B59,項目!DATA_AREA,4,FALSE),"")</f>
        <v/>
      </c>
      <c r="H59" s="12" t="str">
        <f ca="1">IFERROR(VLOOKUP(B59,項目!DATA_AREA,5,FALSE),"")</f>
        <v/>
      </c>
      <c r="T59" s="19" t="b">
        <f t="shared" ca="1" si="0"/>
        <v>0</v>
      </c>
      <c r="U59" s="19" t="b">
        <f t="shared" si="16"/>
        <v>0</v>
      </c>
      <c r="V59" s="19" t="b">
        <f t="shared" ca="1" si="3"/>
        <v>0</v>
      </c>
      <c r="X59" s="19" t="b">
        <f t="shared" si="17"/>
        <v>0</v>
      </c>
      <c r="Y59" s="19" t="b">
        <f t="shared" si="17"/>
        <v>0</v>
      </c>
      <c r="Z59" s="19" t="b">
        <f t="shared" si="17"/>
        <v>0</v>
      </c>
      <c r="AA59" s="19" t="b">
        <f t="shared" si="17"/>
        <v>0</v>
      </c>
      <c r="AB59" s="19" t="b">
        <f t="shared" si="17"/>
        <v>0</v>
      </c>
      <c r="AI59" s="59"/>
      <c r="AJ59" s="70"/>
    </row>
    <row r="60" spans="1:36">
      <c r="A60" s="48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51"/>
      <c r="F60" s="45"/>
      <c r="G60" s="38" t="str">
        <f ca="1">IFERROR(VLOOKUP(B60,項目!DATA_AREA,4,FALSE),"")</f>
        <v/>
      </c>
      <c r="H60" s="12" t="str">
        <f ca="1">IFERROR(VLOOKUP(B60,項目!DATA_AREA,5,FALSE),"")</f>
        <v/>
      </c>
      <c r="T60" s="19" t="b">
        <f t="shared" ca="1" si="0"/>
        <v>0</v>
      </c>
      <c r="U60" s="19" t="b">
        <f t="shared" si="16"/>
        <v>0</v>
      </c>
      <c r="V60" s="19" t="b">
        <f t="shared" ca="1" si="3"/>
        <v>0</v>
      </c>
      <c r="X60" s="19" t="b">
        <f t="shared" si="17"/>
        <v>0</v>
      </c>
      <c r="Y60" s="19" t="b">
        <f t="shared" si="17"/>
        <v>0</v>
      </c>
      <c r="Z60" s="19" t="b">
        <f t="shared" si="17"/>
        <v>0</v>
      </c>
      <c r="AA60" s="19" t="b">
        <f t="shared" si="17"/>
        <v>0</v>
      </c>
      <c r="AB60" s="19" t="b">
        <f t="shared" si="17"/>
        <v>0</v>
      </c>
      <c r="AI60" s="59"/>
      <c r="AJ60" s="70"/>
    </row>
    <row r="61" spans="1:36">
      <c r="A61" s="48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51"/>
      <c r="F61" s="45"/>
      <c r="G61" s="38" t="str">
        <f ca="1">IFERROR(VLOOKUP(B61,項目!DATA_AREA,4,FALSE),"")</f>
        <v/>
      </c>
      <c r="H61" s="12" t="str">
        <f ca="1">IFERROR(VLOOKUP(B61,項目!DATA_AREA,5,FALSE),"")</f>
        <v/>
      </c>
      <c r="T61" s="19" t="b">
        <f t="shared" ca="1" si="0"/>
        <v>0</v>
      </c>
      <c r="U61" s="19" t="b">
        <f t="shared" si="16"/>
        <v>0</v>
      </c>
      <c r="V61" s="19" t="b">
        <f t="shared" ca="1" si="3"/>
        <v>0</v>
      </c>
      <c r="X61" s="19" t="b">
        <f t="shared" si="17"/>
        <v>0</v>
      </c>
      <c r="Y61" s="19" t="b">
        <f t="shared" si="17"/>
        <v>0</v>
      </c>
      <c r="Z61" s="19" t="b">
        <f t="shared" si="17"/>
        <v>0</v>
      </c>
      <c r="AA61" s="19" t="b">
        <f t="shared" si="17"/>
        <v>0</v>
      </c>
      <c r="AB61" s="19" t="b">
        <f t="shared" si="17"/>
        <v>0</v>
      </c>
      <c r="AI61" s="59"/>
      <c r="AJ61" s="70"/>
    </row>
    <row r="62" spans="1:36">
      <c r="A62" s="48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51"/>
      <c r="F62" s="45"/>
      <c r="G62" s="38" t="str">
        <f ca="1">IFERROR(VLOOKUP(B62,項目!DATA_AREA,4,FALSE),"")</f>
        <v/>
      </c>
      <c r="H62" s="12" t="str">
        <f ca="1">IFERROR(VLOOKUP(B62,項目!DATA_AREA,5,FALSE),"")</f>
        <v/>
      </c>
      <c r="T62" s="19" t="b">
        <f t="shared" ca="1" si="0"/>
        <v>0</v>
      </c>
      <c r="U62" s="19" t="b">
        <f t="shared" si="16"/>
        <v>0</v>
      </c>
      <c r="V62" s="19" t="b">
        <f t="shared" ca="1" si="3"/>
        <v>0</v>
      </c>
      <c r="AI62" s="59"/>
      <c r="AJ62" s="70"/>
    </row>
    <row r="63" spans="1:36">
      <c r="A63" s="48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51"/>
      <c r="F63" s="45"/>
      <c r="G63" s="38" t="str">
        <f ca="1">IFERROR(VLOOKUP(B63,項目!DATA_AREA,4,FALSE),"")</f>
        <v/>
      </c>
      <c r="H63" s="12" t="str">
        <f ca="1">IFERROR(VLOOKUP(B63,項目!DATA_AREA,5,FALSE),"")</f>
        <v/>
      </c>
      <c r="T63" s="19" t="b">
        <f t="shared" ca="1" si="0"/>
        <v>0</v>
      </c>
      <c r="U63" s="19" t="b">
        <f t="shared" si="16"/>
        <v>0</v>
      </c>
      <c r="V63" s="19" t="b">
        <f t="shared" ca="1" si="3"/>
        <v>0</v>
      </c>
      <c r="AI63" s="59"/>
      <c r="AJ63" s="70"/>
    </row>
    <row r="64" spans="1:36">
      <c r="A64" s="48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51"/>
      <c r="F64" s="45"/>
      <c r="G64" s="38" t="str">
        <f ca="1">IFERROR(VLOOKUP(B64,項目!DATA_AREA,4,FALSE),"")</f>
        <v/>
      </c>
      <c r="H64" s="12" t="str">
        <f ca="1">IFERROR(VLOOKUP(B64,項目!DATA_AREA,5,FALSE),"")</f>
        <v/>
      </c>
      <c r="T64" s="19" t="b">
        <f t="shared" ca="1" si="0"/>
        <v>0</v>
      </c>
      <c r="U64" s="19" t="b">
        <f t="shared" si="16"/>
        <v>0</v>
      </c>
      <c r="V64" s="19" t="b">
        <f t="shared" ca="1" si="3"/>
        <v>0</v>
      </c>
      <c r="X64" s="7" t="s">
        <v>23</v>
      </c>
      <c r="AI64" s="59"/>
      <c r="AJ64" s="70"/>
    </row>
    <row r="65" spans="1:36">
      <c r="A65" s="48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51"/>
      <c r="F65" s="45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0"/>
        <v>0</v>
      </c>
      <c r="U65" s="19" t="b">
        <f t="shared" si="16"/>
        <v>0</v>
      </c>
      <c r="V65" s="19" t="b">
        <f t="shared" ca="1" si="3"/>
        <v>0</v>
      </c>
      <c r="X65" s="19" t="b">
        <f t="shared" ref="X65:AB74" si="18">COUNTIF($N41:$R41,N41)&gt;1</f>
        <v>0</v>
      </c>
      <c r="Y65" s="19" t="b">
        <f t="shared" si="18"/>
        <v>0</v>
      </c>
      <c r="Z65" s="19" t="b">
        <f t="shared" si="18"/>
        <v>0</v>
      </c>
      <c r="AA65" s="19" t="b">
        <f t="shared" si="18"/>
        <v>0</v>
      </c>
      <c r="AB65" s="19" t="b">
        <f t="shared" si="18"/>
        <v>0</v>
      </c>
      <c r="AI65" s="59"/>
      <c r="AJ65" s="70"/>
    </row>
    <row r="66" spans="1:36">
      <c r="A66" s="48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51"/>
      <c r="F66" s="45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0"/>
        <v>0</v>
      </c>
      <c r="U66" s="19" t="b">
        <f t="shared" si="16"/>
        <v>0</v>
      </c>
      <c r="V66" s="19" t="b">
        <f t="shared" ca="1" si="3"/>
        <v>0</v>
      </c>
      <c r="X66" s="19" t="b">
        <f t="shared" si="18"/>
        <v>0</v>
      </c>
      <c r="Y66" s="19" t="b">
        <f t="shared" si="18"/>
        <v>0</v>
      </c>
      <c r="Z66" s="19" t="b">
        <f t="shared" si="18"/>
        <v>0</v>
      </c>
      <c r="AA66" s="19" t="b">
        <f t="shared" si="18"/>
        <v>0</v>
      </c>
      <c r="AB66" s="19" t="b">
        <f t="shared" si="18"/>
        <v>0</v>
      </c>
      <c r="AI66" s="59"/>
      <c r="AJ66" s="70"/>
    </row>
    <row r="67" spans="1:36">
      <c r="A67" s="48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51"/>
      <c r="F67" s="45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0"/>
        <v>0</v>
      </c>
      <c r="U67" s="19" t="b">
        <f t="shared" si="16"/>
        <v>0</v>
      </c>
      <c r="V67" s="19" t="b">
        <f t="shared" ca="1" si="3"/>
        <v>0</v>
      </c>
      <c r="X67" s="19" t="b">
        <f t="shared" si="18"/>
        <v>0</v>
      </c>
      <c r="Y67" s="19" t="b">
        <f t="shared" si="18"/>
        <v>0</v>
      </c>
      <c r="Z67" s="19" t="b">
        <f t="shared" si="18"/>
        <v>0</v>
      </c>
      <c r="AA67" s="19" t="b">
        <f t="shared" si="18"/>
        <v>0</v>
      </c>
      <c r="AB67" s="19" t="b">
        <f t="shared" si="18"/>
        <v>0</v>
      </c>
      <c r="AI67" s="59"/>
      <c r="AJ67" s="70"/>
    </row>
    <row r="68" spans="1:36">
      <c r="A68" s="48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51"/>
      <c r="F68" s="45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0"/>
        <v>0</v>
      </c>
      <c r="U68" s="19" t="b">
        <f t="shared" si="16"/>
        <v>0</v>
      </c>
      <c r="V68" s="19" t="b">
        <f t="shared" ca="1" si="3"/>
        <v>0</v>
      </c>
      <c r="X68" s="19" t="b">
        <f t="shared" si="18"/>
        <v>0</v>
      </c>
      <c r="Y68" s="19" t="b">
        <f t="shared" si="18"/>
        <v>0</v>
      </c>
      <c r="Z68" s="19" t="b">
        <f t="shared" si="18"/>
        <v>0</v>
      </c>
      <c r="AA68" s="19" t="b">
        <f t="shared" si="18"/>
        <v>0</v>
      </c>
      <c r="AB68" s="19" t="b">
        <f t="shared" si="18"/>
        <v>0</v>
      </c>
      <c r="AI68" s="59"/>
      <c r="AJ68" s="70"/>
    </row>
    <row r="69" spans="1:36">
      <c r="A69" s="48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51"/>
      <c r="F69" s="45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0"/>
        <v>0</v>
      </c>
      <c r="U69" s="19" t="b">
        <f t="shared" si="16"/>
        <v>0</v>
      </c>
      <c r="V69" s="19" t="b">
        <f t="shared" ca="1" si="3"/>
        <v>0</v>
      </c>
      <c r="X69" s="19" t="b">
        <f t="shared" si="18"/>
        <v>0</v>
      </c>
      <c r="Y69" s="19" t="b">
        <f t="shared" si="18"/>
        <v>0</v>
      </c>
      <c r="Z69" s="19" t="b">
        <f t="shared" si="18"/>
        <v>0</v>
      </c>
      <c r="AA69" s="19" t="b">
        <f t="shared" si="18"/>
        <v>0</v>
      </c>
      <c r="AB69" s="19" t="b">
        <f t="shared" si="18"/>
        <v>0</v>
      </c>
      <c r="AI69" s="59"/>
      <c r="AJ69" s="70"/>
    </row>
    <row r="70" spans="1:36">
      <c r="A70" s="48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51"/>
      <c r="F70" s="45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19">AND(B70&lt;&gt;"",ISNA(MATCH(B70,項目リスト,0)))</f>
        <v>0</v>
      </c>
      <c r="U70" s="19" t="b">
        <f t="shared" ref="U70:U105" si="20">COUNTIF(FIELD_NAME,B70)&gt;1</f>
        <v>0</v>
      </c>
      <c r="V70" s="19" t="b">
        <f t="shared" ca="1" si="3"/>
        <v>0</v>
      </c>
      <c r="X70" s="19" t="b">
        <f t="shared" si="18"/>
        <v>0</v>
      </c>
      <c r="Y70" s="19" t="b">
        <f t="shared" si="18"/>
        <v>0</v>
      </c>
      <c r="Z70" s="19" t="b">
        <f t="shared" si="18"/>
        <v>0</v>
      </c>
      <c r="AA70" s="19" t="b">
        <f t="shared" si="18"/>
        <v>0</v>
      </c>
      <c r="AB70" s="19" t="b">
        <f t="shared" si="18"/>
        <v>0</v>
      </c>
      <c r="AI70" s="59"/>
      <c r="AJ70" s="70"/>
    </row>
    <row r="71" spans="1:36">
      <c r="A71" s="48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51"/>
      <c r="F71" s="45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19"/>
        <v>0</v>
      </c>
      <c r="U71" s="19" t="b">
        <f t="shared" si="20"/>
        <v>0</v>
      </c>
      <c r="V71" s="19" t="b">
        <f t="shared" ca="1" si="3"/>
        <v>0</v>
      </c>
      <c r="X71" s="19" t="b">
        <f t="shared" si="18"/>
        <v>0</v>
      </c>
      <c r="Y71" s="19" t="b">
        <f t="shared" si="18"/>
        <v>0</v>
      </c>
      <c r="Z71" s="19" t="b">
        <f t="shared" si="18"/>
        <v>0</v>
      </c>
      <c r="AA71" s="19" t="b">
        <f t="shared" si="18"/>
        <v>0</v>
      </c>
      <c r="AB71" s="19" t="b">
        <f t="shared" si="18"/>
        <v>0</v>
      </c>
      <c r="AI71" s="59"/>
      <c r="AJ71" s="70"/>
    </row>
    <row r="72" spans="1:36">
      <c r="A72" s="48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51"/>
      <c r="F72" s="45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19"/>
        <v>0</v>
      </c>
      <c r="U72" s="19" t="b">
        <f t="shared" si="20"/>
        <v>0</v>
      </c>
      <c r="V72" s="19" t="b">
        <f t="shared" ca="1" si="3"/>
        <v>0</v>
      </c>
      <c r="X72" s="19" t="b">
        <f t="shared" si="18"/>
        <v>0</v>
      </c>
      <c r="Y72" s="19" t="b">
        <f t="shared" si="18"/>
        <v>0</v>
      </c>
      <c r="Z72" s="19" t="b">
        <f t="shared" si="18"/>
        <v>0</v>
      </c>
      <c r="AA72" s="19" t="b">
        <f t="shared" si="18"/>
        <v>0</v>
      </c>
      <c r="AB72" s="19" t="b">
        <f t="shared" si="18"/>
        <v>0</v>
      </c>
      <c r="AI72" s="59"/>
      <c r="AJ72" s="70"/>
    </row>
    <row r="73" spans="1:36">
      <c r="A73" s="48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51"/>
      <c r="F73" s="45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19"/>
        <v>0</v>
      </c>
      <c r="U73" s="19" t="b">
        <f t="shared" si="20"/>
        <v>0</v>
      </c>
      <c r="V73" s="19" t="b">
        <f t="shared" ref="V73:V105" ca="1" si="21">AND(E73="",H73&lt;&gt;"",H73)</f>
        <v>0</v>
      </c>
      <c r="X73" s="19" t="b">
        <f t="shared" si="18"/>
        <v>0</v>
      </c>
      <c r="Y73" s="19" t="b">
        <f t="shared" si="18"/>
        <v>0</v>
      </c>
      <c r="Z73" s="19" t="b">
        <f t="shared" si="18"/>
        <v>0</v>
      </c>
      <c r="AA73" s="19" t="b">
        <f t="shared" si="18"/>
        <v>0</v>
      </c>
      <c r="AB73" s="19" t="b">
        <f t="shared" si="18"/>
        <v>0</v>
      </c>
      <c r="AI73" s="59"/>
      <c r="AJ73" s="70"/>
    </row>
    <row r="74" spans="1:36">
      <c r="A74" s="48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51"/>
      <c r="F74" s="45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19"/>
        <v>0</v>
      </c>
      <c r="U74" s="19" t="b">
        <f t="shared" si="20"/>
        <v>0</v>
      </c>
      <c r="V74" s="19" t="b">
        <f t="shared" ca="1" si="21"/>
        <v>0</v>
      </c>
      <c r="X74" s="19" t="b">
        <f t="shared" si="18"/>
        <v>0</v>
      </c>
      <c r="Y74" s="19" t="b">
        <f t="shared" si="18"/>
        <v>0</v>
      </c>
      <c r="Z74" s="19" t="b">
        <f t="shared" si="18"/>
        <v>0</v>
      </c>
      <c r="AA74" s="19" t="b">
        <f t="shared" si="18"/>
        <v>0</v>
      </c>
      <c r="AB74" s="19" t="b">
        <f t="shared" si="18"/>
        <v>0</v>
      </c>
      <c r="AI74" s="59"/>
      <c r="AJ74" s="70"/>
    </row>
    <row r="75" spans="1:36">
      <c r="A75" s="48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51"/>
      <c r="F75" s="45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19"/>
        <v>0</v>
      </c>
      <c r="U75" s="19" t="b">
        <f t="shared" si="20"/>
        <v>0</v>
      </c>
      <c r="V75" s="19" t="b">
        <f t="shared" ca="1" si="21"/>
        <v>0</v>
      </c>
      <c r="AI75" s="59"/>
      <c r="AJ75" s="70"/>
    </row>
    <row r="76" spans="1:36">
      <c r="A76" s="48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51"/>
      <c r="F76" s="45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19"/>
        <v>0</v>
      </c>
      <c r="U76" s="19" t="b">
        <f t="shared" si="20"/>
        <v>0</v>
      </c>
      <c r="V76" s="19" t="b">
        <f t="shared" ca="1" si="21"/>
        <v>0</v>
      </c>
      <c r="AI76" s="59"/>
      <c r="AJ76" s="70"/>
    </row>
    <row r="77" spans="1:36">
      <c r="A77" s="48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51"/>
      <c r="F77" s="45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19"/>
        <v>0</v>
      </c>
      <c r="U77" s="19" t="b">
        <f t="shared" si="20"/>
        <v>0</v>
      </c>
      <c r="V77" s="19" t="b">
        <f t="shared" ca="1" si="21"/>
        <v>0</v>
      </c>
      <c r="X77" s="7" t="s">
        <v>25</v>
      </c>
      <c r="AI77" s="59"/>
      <c r="AJ77" s="70"/>
    </row>
    <row r="78" spans="1:36">
      <c r="A78" s="48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51"/>
      <c r="F78" s="45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19"/>
        <v>0</v>
      </c>
      <c r="U78" s="19" t="b">
        <f t="shared" si="20"/>
        <v>0</v>
      </c>
      <c r="V78" s="19" t="b">
        <f t="shared" ca="1" si="21"/>
        <v>0</v>
      </c>
      <c r="X78" s="19" t="b">
        <f t="shared" ref="X78:X87" ca="1" si="22">AND($AK6&lt;&gt;"",COUNTIF($AK$6:$AK$15,$AK6)&gt;1)</f>
        <v>0</v>
      </c>
      <c r="AI78" s="59"/>
      <c r="AJ78" s="70"/>
    </row>
    <row r="79" spans="1:36">
      <c r="A79" s="48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51"/>
      <c r="F79" s="45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19"/>
        <v>0</v>
      </c>
      <c r="U79" s="19" t="b">
        <f t="shared" si="20"/>
        <v>0</v>
      </c>
      <c r="V79" s="19" t="b">
        <f t="shared" ca="1" si="21"/>
        <v>0</v>
      </c>
      <c r="X79" s="19" t="b">
        <f t="shared" ca="1" si="22"/>
        <v>0</v>
      </c>
      <c r="AI79" s="59"/>
      <c r="AJ79" s="70"/>
    </row>
    <row r="80" spans="1:36">
      <c r="A80" s="48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51"/>
      <c r="F80" s="45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19"/>
        <v>0</v>
      </c>
      <c r="U80" s="19" t="b">
        <f t="shared" si="20"/>
        <v>0</v>
      </c>
      <c r="V80" s="19" t="b">
        <f t="shared" ca="1" si="21"/>
        <v>0</v>
      </c>
      <c r="X80" s="19" t="b">
        <f t="shared" ca="1" si="22"/>
        <v>0</v>
      </c>
      <c r="AI80" s="59"/>
      <c r="AJ80" s="70"/>
    </row>
    <row r="81" spans="1:36">
      <c r="A81" s="48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51"/>
      <c r="F81" s="45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19"/>
        <v>0</v>
      </c>
      <c r="U81" s="19" t="b">
        <f t="shared" si="20"/>
        <v>0</v>
      </c>
      <c r="V81" s="19" t="b">
        <f t="shared" ca="1" si="21"/>
        <v>0</v>
      </c>
      <c r="X81" s="19" t="b">
        <f t="shared" ca="1" si="22"/>
        <v>0</v>
      </c>
      <c r="AI81" s="59"/>
      <c r="AJ81" s="70"/>
    </row>
    <row r="82" spans="1:36">
      <c r="A82" s="48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51"/>
      <c r="F82" s="45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19"/>
        <v>0</v>
      </c>
      <c r="U82" s="19" t="b">
        <f t="shared" si="20"/>
        <v>0</v>
      </c>
      <c r="V82" s="19" t="b">
        <f t="shared" ca="1" si="21"/>
        <v>0</v>
      </c>
      <c r="X82" s="19" t="b">
        <f t="shared" ca="1" si="22"/>
        <v>0</v>
      </c>
      <c r="AI82" s="59"/>
      <c r="AJ82" s="70"/>
    </row>
    <row r="83" spans="1:36">
      <c r="A83" s="48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51"/>
      <c r="F83" s="45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19"/>
        <v>0</v>
      </c>
      <c r="U83" s="19" t="b">
        <f t="shared" si="20"/>
        <v>0</v>
      </c>
      <c r="V83" s="19" t="b">
        <f t="shared" ca="1" si="21"/>
        <v>0</v>
      </c>
      <c r="X83" s="19" t="b">
        <f t="shared" ca="1" si="22"/>
        <v>0</v>
      </c>
      <c r="AI83" s="59"/>
      <c r="AJ83" s="70"/>
    </row>
    <row r="84" spans="1:36">
      <c r="A84" s="48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51"/>
      <c r="F84" s="45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19"/>
        <v>0</v>
      </c>
      <c r="U84" s="19" t="b">
        <f t="shared" si="20"/>
        <v>0</v>
      </c>
      <c r="V84" s="19" t="b">
        <f t="shared" ca="1" si="21"/>
        <v>0</v>
      </c>
      <c r="X84" s="19" t="b">
        <f t="shared" ca="1" si="22"/>
        <v>0</v>
      </c>
      <c r="AI84" s="59"/>
      <c r="AJ84" s="70"/>
    </row>
    <row r="85" spans="1:36">
      <c r="A85" s="48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51"/>
      <c r="F85" s="45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19"/>
        <v>0</v>
      </c>
      <c r="U85" s="19" t="b">
        <f t="shared" si="20"/>
        <v>0</v>
      </c>
      <c r="V85" s="19" t="b">
        <f t="shared" ca="1" si="21"/>
        <v>0</v>
      </c>
      <c r="X85" s="19" t="e">
        <f t="shared" ca="1" si="22"/>
        <v>#N/A</v>
      </c>
      <c r="AI85" s="59"/>
      <c r="AJ85" s="70"/>
    </row>
    <row r="86" spans="1:36">
      <c r="A86" s="48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51"/>
      <c r="F86" s="45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19"/>
        <v>0</v>
      </c>
      <c r="U86" s="19" t="b">
        <f t="shared" si="20"/>
        <v>0</v>
      </c>
      <c r="V86" s="19" t="b">
        <f t="shared" ca="1" si="21"/>
        <v>0</v>
      </c>
      <c r="X86" s="19" t="e">
        <f t="shared" ca="1" si="22"/>
        <v>#N/A</v>
      </c>
      <c r="AI86" s="59"/>
      <c r="AJ86" s="70"/>
    </row>
    <row r="87" spans="1:36">
      <c r="A87" s="48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51"/>
      <c r="F87" s="45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19"/>
        <v>0</v>
      </c>
      <c r="U87" s="19" t="b">
        <f t="shared" si="20"/>
        <v>0</v>
      </c>
      <c r="V87" s="19" t="b">
        <f t="shared" ca="1" si="21"/>
        <v>0</v>
      </c>
      <c r="X87" s="19" t="e">
        <f t="shared" ca="1" si="22"/>
        <v>#N/A</v>
      </c>
      <c r="AI87" s="59"/>
      <c r="AJ87" s="70"/>
    </row>
    <row r="88" spans="1:36">
      <c r="A88" s="48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51"/>
      <c r="F88" s="45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19"/>
        <v>0</v>
      </c>
      <c r="U88" s="19" t="b">
        <f t="shared" si="20"/>
        <v>0</v>
      </c>
      <c r="V88" s="19" t="b">
        <f t="shared" ca="1" si="21"/>
        <v>0</v>
      </c>
      <c r="AI88" s="59"/>
      <c r="AJ88" s="70"/>
    </row>
    <row r="89" spans="1:36">
      <c r="A89" s="48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51"/>
      <c r="F89" s="45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19"/>
        <v>0</v>
      </c>
      <c r="U89" s="19" t="b">
        <f t="shared" si="20"/>
        <v>0</v>
      </c>
      <c r="V89" s="19" t="b">
        <f t="shared" ca="1" si="21"/>
        <v>0</v>
      </c>
      <c r="AI89" s="59"/>
      <c r="AJ89" s="70"/>
    </row>
    <row r="90" spans="1:36">
      <c r="A90" s="48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51"/>
      <c r="F90" s="45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19"/>
        <v>0</v>
      </c>
      <c r="U90" s="19" t="b">
        <f t="shared" si="20"/>
        <v>0</v>
      </c>
      <c r="V90" s="19" t="b">
        <f t="shared" ca="1" si="21"/>
        <v>0</v>
      </c>
      <c r="AI90" s="59"/>
      <c r="AJ90" s="70"/>
    </row>
    <row r="91" spans="1:36">
      <c r="A91" s="48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51"/>
      <c r="F91" s="45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19"/>
        <v>0</v>
      </c>
      <c r="U91" s="19" t="b">
        <f t="shared" si="20"/>
        <v>0</v>
      </c>
      <c r="V91" s="19" t="b">
        <f t="shared" ca="1" si="21"/>
        <v>0</v>
      </c>
      <c r="AI91" s="59"/>
      <c r="AJ91" s="70"/>
    </row>
    <row r="92" spans="1:36">
      <c r="A92" s="48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51"/>
      <c r="F92" s="45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19"/>
        <v>0</v>
      </c>
      <c r="U92" s="19" t="b">
        <f t="shared" si="20"/>
        <v>0</v>
      </c>
      <c r="V92" s="19" t="b">
        <f t="shared" ca="1" si="21"/>
        <v>0</v>
      </c>
      <c r="AI92" s="59"/>
      <c r="AJ92" s="70"/>
    </row>
    <row r="93" spans="1:36">
      <c r="A93" s="48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51"/>
      <c r="F93" s="45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19"/>
        <v>0</v>
      </c>
      <c r="U93" s="19" t="b">
        <f t="shared" si="20"/>
        <v>0</v>
      </c>
      <c r="V93" s="19" t="b">
        <f t="shared" ca="1" si="21"/>
        <v>0</v>
      </c>
      <c r="AI93" s="59"/>
      <c r="AJ93" s="70"/>
    </row>
    <row r="94" spans="1:36">
      <c r="A94" s="48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51"/>
      <c r="F94" s="45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19"/>
        <v>0</v>
      </c>
      <c r="U94" s="19" t="b">
        <f t="shared" si="20"/>
        <v>0</v>
      </c>
      <c r="V94" s="19" t="b">
        <f t="shared" ca="1" si="21"/>
        <v>0</v>
      </c>
      <c r="AI94" s="59"/>
      <c r="AJ94" s="70"/>
    </row>
    <row r="95" spans="1:36">
      <c r="A95" s="48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51"/>
      <c r="F95" s="45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19"/>
        <v>0</v>
      </c>
      <c r="U95" s="19" t="b">
        <f t="shared" si="20"/>
        <v>0</v>
      </c>
      <c r="V95" s="19" t="b">
        <f t="shared" ca="1" si="21"/>
        <v>0</v>
      </c>
      <c r="AI95" s="59"/>
      <c r="AJ95" s="70"/>
    </row>
    <row r="96" spans="1:36">
      <c r="A96" s="48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51"/>
      <c r="F96" s="45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19"/>
        <v>0</v>
      </c>
      <c r="U96" s="19" t="b">
        <f t="shared" si="20"/>
        <v>0</v>
      </c>
      <c r="V96" s="19" t="b">
        <f t="shared" ca="1" si="21"/>
        <v>0</v>
      </c>
      <c r="AI96" s="59"/>
      <c r="AJ96" s="70"/>
    </row>
    <row r="97" spans="1:36">
      <c r="A97" s="48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51"/>
      <c r="F97" s="45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19"/>
        <v>0</v>
      </c>
      <c r="U97" s="19" t="b">
        <f t="shared" si="20"/>
        <v>0</v>
      </c>
      <c r="V97" s="19" t="b">
        <f t="shared" ca="1" si="21"/>
        <v>0</v>
      </c>
      <c r="AI97" s="59"/>
      <c r="AJ97" s="70"/>
    </row>
    <row r="98" spans="1:36">
      <c r="A98" s="48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51"/>
      <c r="F98" s="45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19"/>
        <v>0</v>
      </c>
      <c r="U98" s="19" t="b">
        <f t="shared" si="20"/>
        <v>0</v>
      </c>
      <c r="V98" s="19" t="b">
        <f t="shared" ca="1" si="21"/>
        <v>0</v>
      </c>
      <c r="AI98" s="59"/>
      <c r="AJ98" s="70"/>
    </row>
    <row r="99" spans="1:36">
      <c r="A99" s="48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51"/>
      <c r="F99" s="45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19"/>
        <v>0</v>
      </c>
      <c r="U99" s="19" t="b">
        <f t="shared" si="20"/>
        <v>0</v>
      </c>
      <c r="V99" s="19" t="b">
        <f t="shared" ca="1" si="21"/>
        <v>0</v>
      </c>
      <c r="AI99" s="59"/>
      <c r="AJ99" s="70"/>
    </row>
    <row r="100" spans="1:36">
      <c r="A100" s="48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51"/>
      <c r="F100" s="45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19"/>
        <v>0</v>
      </c>
      <c r="U100" s="19" t="b">
        <f t="shared" si="20"/>
        <v>0</v>
      </c>
      <c r="V100" s="19" t="b">
        <f t="shared" ca="1" si="21"/>
        <v>0</v>
      </c>
      <c r="AI100" s="59"/>
      <c r="AJ100" s="70"/>
    </row>
    <row r="101" spans="1:36">
      <c r="A101" s="48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51"/>
      <c r="F101" s="45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19"/>
        <v>0</v>
      </c>
      <c r="U101" s="19" t="b">
        <f t="shared" si="20"/>
        <v>0</v>
      </c>
      <c r="V101" s="19" t="b">
        <f t="shared" ca="1" si="21"/>
        <v>0</v>
      </c>
      <c r="AI101" s="59"/>
      <c r="AJ101" s="70"/>
    </row>
    <row r="102" spans="1:36">
      <c r="A102" s="48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51"/>
      <c r="F102" s="45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19"/>
        <v>0</v>
      </c>
      <c r="U102" s="19" t="b">
        <f t="shared" si="20"/>
        <v>0</v>
      </c>
      <c r="V102" s="19" t="b">
        <f t="shared" ca="1" si="21"/>
        <v>0</v>
      </c>
      <c r="AI102" s="59"/>
      <c r="AJ102" s="70"/>
    </row>
    <row r="103" spans="1:36">
      <c r="A103" s="48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51"/>
      <c r="F103" s="45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19"/>
        <v>0</v>
      </c>
      <c r="U103" s="19" t="b">
        <f t="shared" si="20"/>
        <v>0</v>
      </c>
      <c r="V103" s="19" t="b">
        <f t="shared" ca="1" si="21"/>
        <v>0</v>
      </c>
      <c r="AI103" s="59"/>
      <c r="AJ103" s="70"/>
    </row>
    <row r="104" spans="1:36">
      <c r="A104" s="48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51"/>
      <c r="F104" s="45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19"/>
        <v>0</v>
      </c>
      <c r="U104" s="19" t="b">
        <f t="shared" si="20"/>
        <v>0</v>
      </c>
      <c r="V104" s="19" t="b">
        <f t="shared" ca="1" si="21"/>
        <v>0</v>
      </c>
      <c r="AI104" s="59"/>
      <c r="AJ104" s="70"/>
    </row>
    <row r="105" spans="1:36">
      <c r="A105" s="49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52"/>
      <c r="F105" s="46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19"/>
        <v>0</v>
      </c>
      <c r="U105" s="19" t="b">
        <f t="shared" si="20"/>
        <v>0</v>
      </c>
      <c r="V105" s="19" t="b">
        <f t="shared" ca="1" si="21"/>
        <v>0</v>
      </c>
      <c r="AI105" s="59"/>
      <c r="AJ105" s="70"/>
    </row>
  </sheetData>
  <phoneticPr fontId="2"/>
  <conditionalFormatting sqref="B2:C2">
    <cfRule type="expression" dxfId="28" priority="7">
      <formula>ISERROR(B2)</formula>
    </cfRule>
  </conditionalFormatting>
  <conditionalFormatting sqref="B6:B105">
    <cfRule type="expression" dxfId="27" priority="5">
      <formula>COUNTIF(FIELD_NAME,B6)&gt;1</formula>
    </cfRule>
    <cfRule type="expression" dxfId="26" priority="6">
      <formula>AND($B6&lt;&gt;"",ISNA(MATCH($B6,項目リスト,0)))</formula>
    </cfRule>
  </conditionalFormatting>
  <conditionalFormatting sqref="B6">
    <cfRule type="expression" dxfId="25" priority="4">
      <formula>$AI$6="N/A"</formula>
    </cfRule>
  </conditionalFormatting>
  <conditionalFormatting sqref="D1">
    <cfRule type="cellIs" dxfId="24" priority="3" operator="greaterThan">
      <formula>0</formula>
    </cfRule>
  </conditionalFormatting>
  <conditionalFormatting sqref="L8:P8">
    <cfRule type="expression" dxfId="23" priority="9">
      <formula>Y8</formula>
    </cfRule>
    <cfRule type="expression" dxfId="22" priority="10">
      <formula>Y7</formula>
    </cfRule>
  </conditionalFormatting>
  <conditionalFormatting sqref="L13:P22">
    <cfRule type="expression" dxfId="21" priority="1">
      <formula>Y13</formula>
    </cfRule>
    <cfRule type="expression" dxfId="20" priority="2">
      <formula>$AD13</formula>
    </cfRule>
  </conditionalFormatting>
  <conditionalFormatting sqref="L8">
    <cfRule type="expression" dxfId="19" priority="8">
      <formula>$AG$7</formula>
    </cfRule>
  </conditionalFormatting>
  <conditionalFormatting sqref="E6">
    <cfRule type="expression" dxfId="18" priority="11" stopIfTrue="1">
      <formula>$V6</formula>
    </cfRule>
  </conditionalFormatting>
  <conditionalFormatting sqref="E7">
    <cfRule type="expression" dxfId="17" priority="12" stopIfTrue="1">
      <formula>$V7</formula>
    </cfRule>
  </conditionalFormatting>
  <conditionalFormatting sqref="E8">
    <cfRule type="expression" dxfId="16" priority="13" stopIfTrue="1">
      <formula>$V8</formula>
    </cfRule>
  </conditionalFormatting>
  <conditionalFormatting sqref="E9">
    <cfRule type="expression" dxfId="15" priority="14" stopIfTrue="1">
      <formula>$V9</formula>
    </cfRule>
  </conditionalFormatting>
  <conditionalFormatting sqref="E10">
    <cfRule type="expression" dxfId="14" priority="15" stopIfTrue="1">
      <formula>$V10</formula>
    </cfRule>
  </conditionalFormatting>
  <dataValidations count="7">
    <dataValidation imeMode="off" allowBlank="1" showInputMessage="1" showErrorMessage="1" sqref="D5:F5 C2" xr:uid="{A4A17CCA-35BB-48F4-A1B5-E7B542574D2A}"/>
    <dataValidation type="list" allowBlank="1" showInputMessage="1" showErrorMessage="1" sqref="F2" xr:uid="{FFB9AFCD-915A-4E58-8039-B4AFBD94475C}">
      <formula1>"○,-"</formula1>
    </dataValidation>
    <dataValidation type="list" allowBlank="1" showInputMessage="1" showErrorMessage="1" sqref="L13:P22" xr:uid="{CE90212E-AE66-4B29-BA84-87BBC0BFBAA9}">
      <formula1>FIELDリスト</formula1>
    </dataValidation>
    <dataValidation type="list" allowBlank="1" showInputMessage="1" showErrorMessage="1" sqref="L8:P8" xr:uid="{3BCBB504-7BE7-4E47-B38C-A7E5CC72EC13}">
      <formula1>FIELDリストNN</formula1>
    </dataValidation>
    <dataValidation type="whole" imeMode="off" operator="equal" allowBlank="1" showInputMessage="1" showErrorMessage="1" error="NotNullの場合は[1]を入力する。" sqref="E6:E105" xr:uid="{6C6D57F4-9114-4F11-A79B-EF2DB6F7D16E}">
      <formula1>1</formula1>
    </dataValidation>
    <dataValidation type="list" allowBlank="1" showInputMessage="1" showErrorMessage="1" sqref="B6:B105" xr:uid="{5AD907CE-385C-43B4-AE2E-87500B53724A}">
      <formula1>項目リスト</formula1>
    </dataValidation>
    <dataValidation imeMode="on" allowBlank="1" showInputMessage="1" showErrorMessage="1" sqref="K12 A5 A1:A2 E2 K7 F6:H105" xr:uid="{E1FEB62F-B5E9-428D-A0DD-9DE30445FA0D}"/>
  </dataValidations>
  <hyperlinks>
    <hyperlink ref="E1" location="一覧!R1C1" display="一覧へ" xr:uid="{9ADC62AF-8133-46D5-B86E-E6E22DC37CD6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50391-3FA3-4D22-932B-27B9332A72F9}">
  <sheetPr codeName="template3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5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INDEX(一覧!DATA_AREA,TABLE_NO,2)</f>
        <v>受注明細</v>
      </c>
      <c r="C2" s="20" t="str" cm="1">
        <f t="array" ref="C2">INDEX(一覧!DATA_AREA,TABLE_NO,3)</f>
        <v>order_details</v>
      </c>
      <c r="D2" s="95">
        <v>3</v>
      </c>
      <c r="E2" s="89" t="s">
        <v>169</v>
      </c>
      <c r="F2" s="90" t="s">
        <v>172</v>
      </c>
      <c r="G2" s="40"/>
      <c r="AF2" s="7" t="s">
        <v>17</v>
      </c>
      <c r="AG2" s="7" t="b">
        <f>OR(ISERROR(TABLE_JP),ISERROR(TABLE_EN))</f>
        <v>0</v>
      </c>
    </row>
    <row r="3" spans="1:41">
      <c r="AE3" s="7" t="s">
        <v>8</v>
      </c>
      <c r="AF3" s="7" t="s">
        <v>26</v>
      </c>
      <c r="AG3" s="7" t="b">
        <f>AI6="N/A"</f>
        <v>0</v>
      </c>
    </row>
    <row r="4" spans="1:41" ht="20">
      <c r="A4" s="10" t="s">
        <v>46</v>
      </c>
      <c r="K4" s="10" t="s">
        <v>47</v>
      </c>
      <c r="T4" s="69" t="s">
        <v>159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44</v>
      </c>
      <c r="H5" s="3" t="s">
        <v>43</v>
      </c>
      <c r="T5" s="7" t="s">
        <v>19</v>
      </c>
      <c r="U5" s="7" t="s">
        <v>23</v>
      </c>
      <c r="V5" s="7" t="s">
        <v>45</v>
      </c>
      <c r="AF5" s="7" t="s">
        <v>23</v>
      </c>
      <c r="AG5" s="7" t="b">
        <f>OR(U6:U105)</f>
        <v>0</v>
      </c>
      <c r="AI5" s="59">
        <f>COUNTA(AI6:AI105)</f>
        <v>4</v>
      </c>
      <c r="AJ5" s="70">
        <f>COUNTA(AJ6:AJ105)</f>
        <v>2</v>
      </c>
    </row>
    <row r="6" spans="1:41" ht="15" customHeight="1">
      <c r="A6" s="47">
        <v>1</v>
      </c>
      <c r="B6" s="41" t="s">
        <v>31</v>
      </c>
      <c r="C6" s="34" t="str">
        <f ca="1">IFERROR(VLOOKUP(B6,項目!DATA_AREA,2,FALSE),"")</f>
        <v>received_order_no</v>
      </c>
      <c r="D6" s="34" t="str">
        <f ca="1">IFERROR(VLOOKUP(B6,項目!DATA_AREA,3,FALSE),"")</f>
        <v>varchar(10)</v>
      </c>
      <c r="E6" s="50">
        <v>1</v>
      </c>
      <c r="F6" s="44"/>
      <c r="G6" s="37" t="str">
        <f ca="1">IFERROR(VLOOKUP(B6,項目!DATA_AREA,4,FALSE),"")</f>
        <v>(LENGTH(received_order_no) = 10)</v>
      </c>
      <c r="H6" s="11" t="b">
        <f ca="1">IFERROR(VLOOKUP(B6,項目!DATA_AREA,5,FALSE),"")</f>
        <v>0</v>
      </c>
      <c r="K6" s="53" t="s">
        <v>51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69" t="s">
        <v>161</v>
      </c>
      <c r="AF6" s="7" t="s">
        <v>24</v>
      </c>
      <c r="AG6" s="7" t="b">
        <f ca="1">OR(V6:V105)</f>
        <v>0</v>
      </c>
      <c r="AI6" s="59" t="s">
        <v>168</v>
      </c>
      <c r="AJ6" s="70" t="s">
        <v>168</v>
      </c>
    </row>
    <row r="7" spans="1:41">
      <c r="A7" s="48">
        <v>2</v>
      </c>
      <c r="B7" s="42" t="s">
        <v>28</v>
      </c>
      <c r="C7" s="35" t="str">
        <f ca="1">IFERROR(VLOOKUP(B7,項目!DATA_AREA,2,FALSE),"")</f>
        <v>product_no</v>
      </c>
      <c r="D7" s="35" t="str">
        <f ca="1">IFERROR(VLOOKUP(B7,項目!DATA_AREA,3,FALSE),"")</f>
        <v>varchar(10)</v>
      </c>
      <c r="E7" s="51">
        <v>1</v>
      </c>
      <c r="F7" s="45"/>
      <c r="G7" s="38" t="str">
        <f ca="1">IFERROR(VLOOKUP(B7,項目!DATA_AREA,4,FALSE),"")</f>
        <v>(LENGTH(product_no) &gt;= 9)</v>
      </c>
      <c r="H7" s="12" t="b">
        <f ca="1">IFERROR(VLOOKUP(B7,項目!DATA_AREA,5,FALSE),"")</f>
        <v>0</v>
      </c>
      <c r="K7" s="56" t="s">
        <v>12</v>
      </c>
      <c r="L7" s="57">
        <v>1</v>
      </c>
      <c r="M7" s="57">
        <v>2</v>
      </c>
      <c r="N7" s="57">
        <v>3</v>
      </c>
      <c r="O7" s="57">
        <v>4</v>
      </c>
      <c r="P7" s="58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0</v>
      </c>
      <c r="AI7" s="59" t="s">
        <v>28</v>
      </c>
      <c r="AJ7" s="70" t="s">
        <v>28</v>
      </c>
    </row>
    <row r="8" spans="1:41">
      <c r="A8" s="48">
        <v>3</v>
      </c>
      <c r="B8" s="42" t="s">
        <v>30</v>
      </c>
      <c r="C8" s="35" t="str">
        <f ca="1">IFERROR(VLOOKUP(B8,項目!DATA_AREA,2,FALSE),"")</f>
        <v>quantity</v>
      </c>
      <c r="D8" s="35" t="str">
        <f ca="1">IFERROR(VLOOKUP(B8,項目!DATA_AREA,3,FALSE),"")</f>
        <v>integer</v>
      </c>
      <c r="E8" s="51"/>
      <c r="F8" s="45"/>
      <c r="G8" s="38" t="str">
        <f ca="1">IFERROR(VLOOKUP(B8,項目!DATA_AREA,4,FALSE),"")</f>
        <v>(0 &lt;= quantity AND quantity &lt;= 99999)</v>
      </c>
      <c r="H8" s="12" t="b">
        <f ca="1">IFERROR(VLOOKUP(B8,項目!DATA_AREA,5,FALSE),"")</f>
        <v>0</v>
      </c>
      <c r="K8" s="71" t="s">
        <v>14</v>
      </c>
      <c r="L8" s="72" t="s">
        <v>31</v>
      </c>
      <c r="M8" s="73" t="s">
        <v>28</v>
      </c>
      <c r="N8" s="73"/>
      <c r="O8" s="73"/>
      <c r="P8" s="74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59" t="s">
        <v>30</v>
      </c>
      <c r="AJ8" s="70"/>
      <c r="AK8" s="59" t="str">
        <f ca="1">VLOOKUP(L8,FIELD_NAME__,2,FALSE)</f>
        <v>received_order_no</v>
      </c>
      <c r="AL8" s="59" t="str">
        <f ca="1">VLOOKUP(M8,FIELD_NAME__,2,FALSE)</f>
        <v>product_no</v>
      </c>
      <c r="AM8" s="59" t="e">
        <f ca="1">VLOOKUP(N8,FIELD_NAME__,2,FALSE)</f>
        <v>#N/A</v>
      </c>
      <c r="AN8" s="59" t="e">
        <f ca="1">VLOOKUP(O8,FIELD_NAME__,2,FALSE)</f>
        <v>#N/A</v>
      </c>
      <c r="AO8" s="59" t="e">
        <f ca="1">VLOOKUP(P8,FIELD_NAME__,2,FALSE)</f>
        <v>#N/A</v>
      </c>
    </row>
    <row r="9" spans="1:41">
      <c r="A9" s="48">
        <v>4</v>
      </c>
      <c r="B9" s="42" t="s">
        <v>4</v>
      </c>
      <c r="C9" s="35" t="str">
        <f ca="1">IFERROR(VLOOKUP(B9,項目!DATA_AREA,2,FALSE),"")</f>
        <v>price</v>
      </c>
      <c r="D9" s="35" t="str">
        <f ca="1">IFERROR(VLOOKUP(B9,項目!DATA_AREA,3,FALSE),"")</f>
        <v>integer</v>
      </c>
      <c r="E9" s="51"/>
      <c r="F9" s="45"/>
      <c r="G9" s="38" t="str">
        <f ca="1">IFERROR(VLOOKUP(B9,項目!DATA_AREA,4,FALSE),"")</f>
        <v>(price &gt;= 0)</v>
      </c>
      <c r="H9" s="12" t="b">
        <f ca="1">IFERROR(VLOOKUP(B9,項目!DATA_AREA,5,FALSE),"")</f>
        <v>0</v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59" t="s">
        <v>4</v>
      </c>
      <c r="AJ9" s="70"/>
    </row>
    <row r="10" spans="1:41">
      <c r="A10" s="48">
        <v>5</v>
      </c>
      <c r="B10" s="42"/>
      <c r="C10" s="35" t="str">
        <f ca="1">IFERROR(VLOOKUP(B10,項目!DATA_AREA,2,FALSE),"")</f>
        <v/>
      </c>
      <c r="D10" s="35" t="str">
        <f ca="1">IFERROR(VLOOKUP(B10,項目!DATA_AREA,3,FALSE),"")</f>
        <v/>
      </c>
      <c r="E10" s="51"/>
      <c r="F10" s="45"/>
      <c r="G10" s="38" t="str">
        <f ca="1">IFERROR(VLOOKUP(B10,項目!DATA_AREA,4,FALSE),"")</f>
        <v/>
      </c>
      <c r="H10" s="12" t="str">
        <f ca="1">IFERROR(VLOOKUP(B10,項目!DATA_AREA,5,FALSE),"")</f>
        <v/>
      </c>
      <c r="R10" s="69" t="s">
        <v>160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53</v>
      </c>
      <c r="AF10" s="7" t="s">
        <v>164</v>
      </c>
      <c r="AG10" s="7" t="b">
        <f ca="1">OR($Y$13:$AC$22)</f>
        <v>0</v>
      </c>
      <c r="AI10" s="59"/>
      <c r="AJ10" s="70"/>
    </row>
    <row r="11" spans="1:41" ht="15" customHeight="1">
      <c r="A11" s="48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51"/>
      <c r="F11" s="45"/>
      <c r="G11" s="38" t="str">
        <f ca="1">IFERROR(VLOOKUP(B11,項目!DATA_AREA,4,FALSE),"")</f>
        <v/>
      </c>
      <c r="H11" s="12" t="str">
        <f ca="1">IFERROR(VLOOKUP(B11,項目!DATA_AREA,5,FALSE),"")</f>
        <v/>
      </c>
      <c r="K11" s="53" t="s">
        <v>52</v>
      </c>
      <c r="L11" s="63" t="s">
        <v>54</v>
      </c>
      <c r="R11" s="59" t="b">
        <f>_xlfn.CONCAT(UNIQUE_LIST)&lt;&gt;""</f>
        <v>0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163</v>
      </c>
      <c r="AG11" s="7" t="b">
        <f>OR($AD$13:$AD$22)</f>
        <v>0</v>
      </c>
      <c r="AI11" s="59"/>
      <c r="AJ11" s="70"/>
    </row>
    <row r="12" spans="1:41" ht="15" customHeight="1">
      <c r="A12" s="48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51"/>
      <c r="F12" s="45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60" t="s">
        <v>12</v>
      </c>
      <c r="L12" s="61">
        <v>1</v>
      </c>
      <c r="M12" s="61">
        <v>2</v>
      </c>
      <c r="N12" s="61">
        <v>3</v>
      </c>
      <c r="O12" s="61">
        <v>4</v>
      </c>
      <c r="P12" s="62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69" t="s">
        <v>162</v>
      </c>
      <c r="AD12" s="7" t="s">
        <v>163</v>
      </c>
      <c r="AI12" s="59"/>
      <c r="AJ12" s="70"/>
    </row>
    <row r="13" spans="1:41">
      <c r="A13" s="48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51"/>
      <c r="F13" s="45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5">
        <v>1</v>
      </c>
      <c r="L13" s="76"/>
      <c r="M13" s="77"/>
      <c r="N13" s="77"/>
      <c r="O13" s="77"/>
      <c r="P13" s="78"/>
      <c r="R13" s="87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165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59"/>
      <c r="AJ13" s="70"/>
      <c r="AK13" s="59" t="e">
        <f t="shared" ref="AK13:AK22" ca="1" si="9">VLOOKUP(L13,FIELD_NAME__,2,FALSE)</f>
        <v>#N/A</v>
      </c>
      <c r="AL13" s="59" t="e">
        <f t="shared" ref="AL13:AL22" ca="1" si="10">VLOOKUP(M13,FIELD_NAME__,2,FALSE)</f>
        <v>#N/A</v>
      </c>
      <c r="AM13" s="59" t="e">
        <f t="shared" ref="AM13:AM22" ca="1" si="11">VLOOKUP(N13,FIELD_NAME__,2,FALSE)</f>
        <v>#N/A</v>
      </c>
      <c r="AN13" s="59" t="e">
        <f t="shared" ref="AN13:AN22" ca="1" si="12">VLOOKUP(O13,FIELD_NAME__,2,FALSE)</f>
        <v>#N/A</v>
      </c>
      <c r="AO13" s="59" t="e">
        <f t="shared" ref="AO13:AO22" ca="1" si="13">VLOOKUP(P13,FIELD_NAME__,2,FALSE)</f>
        <v>#N/A</v>
      </c>
    </row>
    <row r="14" spans="1:41">
      <c r="A14" s="48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51"/>
      <c r="F14" s="45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9">
        <v>2</v>
      </c>
      <c r="L14" s="80"/>
      <c r="M14" s="81"/>
      <c r="N14" s="81"/>
      <c r="O14" s="81"/>
      <c r="P14" s="82"/>
      <c r="R14" s="87" t="str">
        <f t="shared" ref="R14:R22" si="14">_xlfn.CONCAT(L14:P14)</f>
        <v/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166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59"/>
      <c r="AJ14" s="70"/>
      <c r="AK14" s="59" t="e">
        <f t="shared" ca="1" si="9"/>
        <v>#N/A</v>
      </c>
      <c r="AL14" s="59" t="e">
        <f t="shared" ca="1" si="10"/>
        <v>#N/A</v>
      </c>
      <c r="AM14" s="59" t="e">
        <f t="shared" ca="1" si="11"/>
        <v>#N/A</v>
      </c>
      <c r="AN14" s="59" t="e">
        <f t="shared" ca="1" si="12"/>
        <v>#N/A</v>
      </c>
      <c r="AO14" s="59" t="e">
        <f t="shared" ca="1" si="13"/>
        <v>#N/A</v>
      </c>
    </row>
    <row r="15" spans="1:41">
      <c r="A15" s="48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51"/>
      <c r="F15" s="45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9">
        <v>3</v>
      </c>
      <c r="L15" s="80"/>
      <c r="M15" s="81"/>
      <c r="N15" s="81"/>
      <c r="O15" s="81"/>
      <c r="P15" s="82"/>
      <c r="R15" s="87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59"/>
      <c r="AJ15" s="70"/>
      <c r="AK15" s="59" t="e">
        <f t="shared" ca="1" si="9"/>
        <v>#N/A</v>
      </c>
      <c r="AL15" s="59" t="e">
        <f t="shared" ca="1" si="10"/>
        <v>#N/A</v>
      </c>
      <c r="AM15" s="59" t="e">
        <f t="shared" ca="1" si="11"/>
        <v>#N/A</v>
      </c>
      <c r="AN15" s="59" t="e">
        <f t="shared" ca="1" si="12"/>
        <v>#N/A</v>
      </c>
      <c r="AO15" s="59" t="e">
        <f t="shared" ca="1" si="13"/>
        <v>#N/A</v>
      </c>
    </row>
    <row r="16" spans="1:41">
      <c r="A16" s="48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51"/>
      <c r="F16" s="45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9">
        <v>4</v>
      </c>
      <c r="L16" s="80"/>
      <c r="M16" s="81"/>
      <c r="N16" s="81"/>
      <c r="O16" s="81"/>
      <c r="P16" s="82"/>
      <c r="R16" s="87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59"/>
      <c r="AJ16" s="70"/>
      <c r="AK16" s="59" t="e">
        <f t="shared" ca="1" si="9"/>
        <v>#N/A</v>
      </c>
      <c r="AL16" s="59" t="e">
        <f t="shared" ca="1" si="10"/>
        <v>#N/A</v>
      </c>
      <c r="AM16" s="59" t="e">
        <f t="shared" ca="1" si="11"/>
        <v>#N/A</v>
      </c>
      <c r="AN16" s="59" t="e">
        <f t="shared" ca="1" si="12"/>
        <v>#N/A</v>
      </c>
      <c r="AO16" s="59" t="e">
        <f t="shared" ca="1" si="13"/>
        <v>#N/A</v>
      </c>
    </row>
    <row r="17" spans="1:41">
      <c r="A17" s="48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51"/>
      <c r="F17" s="45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9">
        <v>5</v>
      </c>
      <c r="L17" s="80"/>
      <c r="M17" s="81"/>
      <c r="N17" s="81"/>
      <c r="O17" s="81"/>
      <c r="P17" s="82"/>
      <c r="R17" s="87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59"/>
      <c r="AJ17" s="70"/>
      <c r="AK17" s="59" t="e">
        <f t="shared" ca="1" si="9"/>
        <v>#N/A</v>
      </c>
      <c r="AL17" s="59" t="e">
        <f t="shared" ca="1" si="10"/>
        <v>#N/A</v>
      </c>
      <c r="AM17" s="59" t="e">
        <f t="shared" ca="1" si="11"/>
        <v>#N/A</v>
      </c>
      <c r="AN17" s="59" t="e">
        <f t="shared" ca="1" si="12"/>
        <v>#N/A</v>
      </c>
      <c r="AO17" s="59" t="e">
        <f t="shared" ca="1" si="13"/>
        <v>#N/A</v>
      </c>
    </row>
    <row r="18" spans="1:41">
      <c r="A18" s="48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51"/>
      <c r="F18" s="45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9">
        <v>6</v>
      </c>
      <c r="L18" s="80"/>
      <c r="M18" s="81"/>
      <c r="N18" s="81"/>
      <c r="O18" s="81"/>
      <c r="P18" s="82"/>
      <c r="R18" s="87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59"/>
      <c r="AJ18" s="70"/>
      <c r="AK18" s="59" t="e">
        <f t="shared" ca="1" si="9"/>
        <v>#N/A</v>
      </c>
      <c r="AL18" s="59" t="e">
        <f t="shared" ca="1" si="10"/>
        <v>#N/A</v>
      </c>
      <c r="AM18" s="59" t="e">
        <f t="shared" ca="1" si="11"/>
        <v>#N/A</v>
      </c>
      <c r="AN18" s="59" t="e">
        <f t="shared" ca="1" si="12"/>
        <v>#N/A</v>
      </c>
      <c r="AO18" s="59" t="e">
        <f t="shared" ca="1" si="13"/>
        <v>#N/A</v>
      </c>
    </row>
    <row r="19" spans="1:41">
      <c r="A19" s="48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51"/>
      <c r="F19" s="45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9">
        <v>7</v>
      </c>
      <c r="L19" s="80"/>
      <c r="M19" s="81"/>
      <c r="N19" s="81"/>
      <c r="O19" s="81"/>
      <c r="P19" s="82"/>
      <c r="R19" s="87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59"/>
      <c r="AJ19" s="70"/>
      <c r="AK19" s="59" t="e">
        <f t="shared" ca="1" si="9"/>
        <v>#N/A</v>
      </c>
      <c r="AL19" s="59" t="e">
        <f t="shared" ca="1" si="10"/>
        <v>#N/A</v>
      </c>
      <c r="AM19" s="59" t="e">
        <f t="shared" ca="1" si="11"/>
        <v>#N/A</v>
      </c>
      <c r="AN19" s="59" t="e">
        <f t="shared" ca="1" si="12"/>
        <v>#N/A</v>
      </c>
      <c r="AO19" s="59" t="e">
        <f t="shared" ca="1" si="13"/>
        <v>#N/A</v>
      </c>
    </row>
    <row r="20" spans="1:41">
      <c r="A20" s="48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51"/>
      <c r="F20" s="45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9">
        <v>8</v>
      </c>
      <c r="L20" s="80"/>
      <c r="M20" s="81"/>
      <c r="N20" s="81"/>
      <c r="O20" s="81"/>
      <c r="P20" s="82"/>
      <c r="R20" s="87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59"/>
      <c r="AJ20" s="70"/>
      <c r="AK20" s="59" t="e">
        <f t="shared" ca="1" si="9"/>
        <v>#N/A</v>
      </c>
      <c r="AL20" s="59" t="e">
        <f t="shared" ca="1" si="10"/>
        <v>#N/A</v>
      </c>
      <c r="AM20" s="59" t="e">
        <f t="shared" ca="1" si="11"/>
        <v>#N/A</v>
      </c>
      <c r="AN20" s="59" t="e">
        <f t="shared" ca="1" si="12"/>
        <v>#N/A</v>
      </c>
      <c r="AO20" s="59" t="e">
        <f t="shared" ca="1" si="13"/>
        <v>#N/A</v>
      </c>
    </row>
    <row r="21" spans="1:41">
      <c r="A21" s="48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51"/>
      <c r="F21" s="45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9">
        <v>9</v>
      </c>
      <c r="L21" s="80"/>
      <c r="M21" s="81"/>
      <c r="N21" s="81"/>
      <c r="O21" s="81"/>
      <c r="P21" s="82"/>
      <c r="R21" s="87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59"/>
      <c r="AJ21" s="70"/>
      <c r="AK21" s="59" t="e">
        <f t="shared" ca="1" si="9"/>
        <v>#N/A</v>
      </c>
      <c r="AL21" s="59" t="e">
        <f t="shared" ca="1" si="10"/>
        <v>#N/A</v>
      </c>
      <c r="AM21" s="59" t="e">
        <f t="shared" ca="1" si="11"/>
        <v>#N/A</v>
      </c>
      <c r="AN21" s="59" t="e">
        <f t="shared" ca="1" si="12"/>
        <v>#N/A</v>
      </c>
      <c r="AO21" s="59" t="e">
        <f t="shared" ca="1" si="13"/>
        <v>#N/A</v>
      </c>
    </row>
    <row r="22" spans="1:41">
      <c r="A22" s="48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51"/>
      <c r="F22" s="45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83">
        <v>10</v>
      </c>
      <c r="L22" s="84"/>
      <c r="M22" s="85"/>
      <c r="N22" s="85"/>
      <c r="O22" s="85"/>
      <c r="P22" s="86"/>
      <c r="R22" s="87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59"/>
      <c r="AJ22" s="70"/>
      <c r="AK22" s="59" t="e">
        <f t="shared" ca="1" si="9"/>
        <v>#N/A</v>
      </c>
      <c r="AL22" s="59" t="e">
        <f t="shared" ca="1" si="10"/>
        <v>#N/A</v>
      </c>
      <c r="AM22" s="59" t="e">
        <f t="shared" ca="1" si="11"/>
        <v>#N/A</v>
      </c>
      <c r="AN22" s="59" t="e">
        <f t="shared" ca="1" si="12"/>
        <v>#N/A</v>
      </c>
      <c r="AO22" s="59" t="e">
        <f t="shared" ca="1" si="13"/>
        <v>#N/A</v>
      </c>
    </row>
    <row r="23" spans="1:41">
      <c r="A23" s="48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51"/>
      <c r="F23" s="45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59"/>
      <c r="AJ23" s="70"/>
    </row>
    <row r="24" spans="1:41" ht="15" customHeight="1">
      <c r="A24" s="48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51"/>
      <c r="F24" s="45"/>
      <c r="G24" s="38" t="str">
        <f ca="1">IFERROR(VLOOKUP(B24,項目!DATA_AREA,4,FALSE),"")</f>
        <v/>
      </c>
      <c r="H24" s="12" t="str">
        <f ca="1">IFERROR(VLOOKUP(B24,項目!DATA_AREA,5,FALSE),"")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59"/>
      <c r="AJ24" s="70"/>
    </row>
    <row r="25" spans="1:41">
      <c r="A25" s="48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51"/>
      <c r="F25" s="45"/>
      <c r="G25" s="38" t="str">
        <f ca="1">IFERROR(VLOOKUP(B25,項目!DATA_AREA,4,FALSE),"")</f>
        <v/>
      </c>
      <c r="H25" s="12" t="str">
        <f ca="1">IFERROR(VLOOKUP(B25,項目!DATA_AREA,5,FALSE),"")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59"/>
      <c r="AJ25" s="70"/>
    </row>
    <row r="26" spans="1:41">
      <c r="A26" s="48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51"/>
      <c r="F26" s="45"/>
      <c r="G26" s="38" t="str">
        <f ca="1">IFERROR(VLOOKUP(B26,項目!DATA_AREA,4,FALSE),"")</f>
        <v/>
      </c>
      <c r="H26" s="12" t="str">
        <f ca="1">IFERROR(VLOOKUP(B26,項目!DATA_AREA,5,FALSE),"")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59"/>
      <c r="AJ26" s="70"/>
    </row>
    <row r="27" spans="1:41">
      <c r="A27" s="48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51"/>
      <c r="F27" s="45"/>
      <c r="G27" s="38" t="str">
        <f ca="1">IFERROR(VLOOKUP(B27,項目!DATA_AREA,4,FALSE),"")</f>
        <v/>
      </c>
      <c r="H27" s="12" t="str">
        <f ca="1">IFERROR(VLOOKUP(B27,項目!DATA_AREA,5,FALSE),"")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59"/>
      <c r="AJ27" s="70"/>
    </row>
    <row r="28" spans="1:41">
      <c r="A28" s="48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51"/>
      <c r="F28" s="45"/>
      <c r="G28" s="38" t="str">
        <f ca="1">IFERROR(VLOOKUP(B28,項目!DATA_AREA,4,FALSE),"")</f>
        <v/>
      </c>
      <c r="H28" s="12" t="str">
        <f ca="1">IFERROR(VLOOKUP(B28,項目!DATA_AREA,5,FALSE),"")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59"/>
      <c r="AJ28" s="70"/>
    </row>
    <row r="29" spans="1:41">
      <c r="A29" s="48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51"/>
      <c r="F29" s="45"/>
      <c r="G29" s="38" t="str">
        <f ca="1">IFERROR(VLOOKUP(B29,項目!DATA_AREA,4,FALSE),"")</f>
        <v/>
      </c>
      <c r="H29" s="12" t="str">
        <f ca="1">IFERROR(VLOOKUP(B29,項目!DATA_AREA,5,FALSE),"")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59"/>
      <c r="AJ29" s="70"/>
    </row>
    <row r="30" spans="1:41">
      <c r="A30" s="48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51"/>
      <c r="F30" s="45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59"/>
      <c r="AJ30" s="70"/>
    </row>
    <row r="31" spans="1:41">
      <c r="A31" s="48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51"/>
      <c r="F31" s="45"/>
      <c r="G31" s="38" t="str">
        <f ca="1">IFERROR(VLOOKUP(B31,項目!DATA_AREA,4,FALSE),"")</f>
        <v/>
      </c>
      <c r="H31" s="12" t="str">
        <f ca="1">IFERROR(VLOOKUP(B31,項目!DATA_AREA,5,FALSE),"")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59"/>
      <c r="AJ31" s="70"/>
    </row>
    <row r="32" spans="1:41">
      <c r="A32" s="48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51"/>
      <c r="F32" s="45"/>
      <c r="G32" s="38" t="str">
        <f ca="1">IFERROR(VLOOKUP(B32,項目!DATA_AREA,4,FALSE),"")</f>
        <v/>
      </c>
      <c r="H32" s="12" t="str">
        <f ca="1">IFERROR(VLOOKUP(B32,項目!DATA_AREA,5,FALSE),"")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59"/>
      <c r="AJ32" s="70"/>
    </row>
    <row r="33" spans="1:36">
      <c r="A33" s="48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51"/>
      <c r="F33" s="45"/>
      <c r="G33" s="38" t="str">
        <f ca="1">IFERROR(VLOOKUP(B33,項目!DATA_AREA,4,FALSE),"")</f>
        <v/>
      </c>
      <c r="H33" s="12" t="str">
        <f ca="1">IFERROR(VLOOKUP(B33,項目!DATA_AREA,5,FALSE),"")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59"/>
      <c r="AJ33" s="70"/>
    </row>
    <row r="34" spans="1:36">
      <c r="A34" s="48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51"/>
      <c r="F34" s="45"/>
      <c r="G34" s="38" t="str">
        <f ca="1">IFERROR(VLOOKUP(B34,項目!DATA_AREA,4,FALSE),"")</f>
        <v/>
      </c>
      <c r="H34" s="12" t="str">
        <f ca="1">IFERROR(VLOOKUP(B34,項目!DATA_AREA,5,FALSE),"")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59"/>
      <c r="AJ34" s="70"/>
    </row>
    <row r="35" spans="1:36">
      <c r="A35" s="48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51"/>
      <c r="F35" s="45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59"/>
      <c r="AJ35" s="70"/>
    </row>
    <row r="36" spans="1:36">
      <c r="A36" s="48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51"/>
      <c r="F36" s="45"/>
      <c r="G36" s="38" t="str">
        <f ca="1">IFERROR(VLOOKUP(B36,項目!DATA_AREA,4,FALSE),"")</f>
        <v/>
      </c>
      <c r="H36" s="12" t="str">
        <f ca="1">IFERROR(VLOOKUP(B36,項目!DATA_AREA,5,FALSE),"")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59"/>
      <c r="AJ36" s="70"/>
    </row>
    <row r="37" spans="1:36">
      <c r="A37" s="48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51"/>
      <c r="F37" s="45"/>
      <c r="G37" s="38" t="str">
        <f ca="1">IFERROR(VLOOKUP(B37,項目!DATA_AREA,4,FALSE),"")</f>
        <v/>
      </c>
      <c r="H37" s="12" t="str">
        <f ca="1">IFERROR(VLOOKUP(B37,項目!DATA_AREA,5,FALSE),"")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59"/>
      <c r="AJ37" s="70"/>
    </row>
    <row r="38" spans="1:36">
      <c r="A38" s="48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51"/>
      <c r="F38" s="45"/>
      <c r="G38" s="38" t="str">
        <f ca="1">IFERROR(VLOOKUP(B38,項目!DATA_AREA,4,FALSE),"")</f>
        <v/>
      </c>
      <c r="H38" s="12" t="str">
        <f ca="1">IFERROR(VLOOKUP(B38,項目!DATA_AREA,5,FALSE),"")</f>
        <v/>
      </c>
      <c r="T38" s="19" t="b">
        <f t="shared" ca="1" si="0"/>
        <v>0</v>
      </c>
      <c r="U38" s="19" t="b">
        <f t="shared" ref="U38:U69" si="16">COUNTIF(FIELD_NAME,B38)&gt;1</f>
        <v>0</v>
      </c>
      <c r="V38" s="19" t="b">
        <f t="shared" ca="1" si="3"/>
        <v>0</v>
      </c>
      <c r="AI38" s="59"/>
      <c r="AJ38" s="70"/>
    </row>
    <row r="39" spans="1:36">
      <c r="A39" s="48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51"/>
      <c r="F39" s="45"/>
      <c r="G39" s="38" t="str">
        <f ca="1">IFERROR(VLOOKUP(B39,項目!DATA_AREA,4,FALSE),"")</f>
        <v/>
      </c>
      <c r="H39" s="12" t="str">
        <f ca="1">IFERROR(VLOOKUP(B39,項目!DATA_AREA,5,FALSE),"")</f>
        <v/>
      </c>
      <c r="T39" s="19" t="b">
        <f t="shared" ca="1" si="0"/>
        <v>0</v>
      </c>
      <c r="U39" s="19" t="b">
        <f t="shared" si="16"/>
        <v>0</v>
      </c>
      <c r="V39" s="19" t="b">
        <f t="shared" ca="1" si="3"/>
        <v>0</v>
      </c>
      <c r="AI39" s="59"/>
      <c r="AJ39" s="70"/>
    </row>
    <row r="40" spans="1:36">
      <c r="A40" s="48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51"/>
      <c r="F40" s="45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0"/>
        <v>0</v>
      </c>
      <c r="U40" s="19" t="b">
        <f t="shared" si="16"/>
        <v>0</v>
      </c>
      <c r="V40" s="19" t="b">
        <f t="shared" ca="1" si="3"/>
        <v>0</v>
      </c>
      <c r="AI40" s="59"/>
      <c r="AJ40" s="70"/>
    </row>
    <row r="41" spans="1:36">
      <c r="A41" s="48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51"/>
      <c r="F41" s="45"/>
      <c r="G41" s="38" t="str">
        <f ca="1">IFERROR(VLOOKUP(B41,項目!DATA_AREA,4,FALSE),"")</f>
        <v/>
      </c>
      <c r="H41" s="12" t="str">
        <f ca="1">IFERROR(VLOOKUP(B41,項目!DATA_AREA,5,FALSE),"")</f>
        <v/>
      </c>
      <c r="T41" s="19" t="b">
        <f t="shared" ca="1" si="0"/>
        <v>0</v>
      </c>
      <c r="U41" s="19" t="b">
        <f t="shared" si="16"/>
        <v>0</v>
      </c>
      <c r="V41" s="19" t="b">
        <f t="shared" ca="1" si="3"/>
        <v>0</v>
      </c>
      <c r="AI41" s="59"/>
      <c r="AJ41" s="70"/>
    </row>
    <row r="42" spans="1:36">
      <c r="A42" s="48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51"/>
      <c r="F42" s="45"/>
      <c r="G42" s="38" t="str">
        <f ca="1">IFERROR(VLOOKUP(B42,項目!DATA_AREA,4,FALSE),"")</f>
        <v/>
      </c>
      <c r="H42" s="12" t="str">
        <f ca="1">IFERROR(VLOOKUP(B42,項目!DATA_AREA,5,FALSE),"")</f>
        <v/>
      </c>
      <c r="T42" s="19" t="b">
        <f t="shared" ca="1" si="0"/>
        <v>0</v>
      </c>
      <c r="U42" s="19" t="b">
        <f t="shared" si="16"/>
        <v>0</v>
      </c>
      <c r="V42" s="19" t="b">
        <f t="shared" ca="1" si="3"/>
        <v>0</v>
      </c>
      <c r="AI42" s="59"/>
      <c r="AJ42" s="70"/>
    </row>
    <row r="43" spans="1:36">
      <c r="A43" s="48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51"/>
      <c r="F43" s="45"/>
      <c r="G43" s="38" t="str">
        <f ca="1">IFERROR(VLOOKUP(B43,項目!DATA_AREA,4,FALSE),"")</f>
        <v/>
      </c>
      <c r="H43" s="12" t="str">
        <f ca="1">IFERROR(VLOOKUP(B43,項目!DATA_AREA,5,FALSE),"")</f>
        <v/>
      </c>
      <c r="T43" s="19" t="b">
        <f t="shared" ca="1" si="0"/>
        <v>0</v>
      </c>
      <c r="U43" s="19" t="b">
        <f t="shared" si="16"/>
        <v>0</v>
      </c>
      <c r="V43" s="19" t="b">
        <f t="shared" ca="1" si="3"/>
        <v>0</v>
      </c>
      <c r="AI43" s="59"/>
      <c r="AJ43" s="70"/>
    </row>
    <row r="44" spans="1:36">
      <c r="A44" s="48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51"/>
      <c r="F44" s="45"/>
      <c r="G44" s="38" t="str">
        <f ca="1">IFERROR(VLOOKUP(B44,項目!DATA_AREA,4,FALSE),"")</f>
        <v/>
      </c>
      <c r="H44" s="12" t="str">
        <f ca="1">IFERROR(VLOOKUP(B44,項目!DATA_AREA,5,FALSE),"")</f>
        <v/>
      </c>
      <c r="T44" s="19" t="b">
        <f t="shared" ca="1" si="0"/>
        <v>0</v>
      </c>
      <c r="U44" s="19" t="b">
        <f t="shared" si="16"/>
        <v>0</v>
      </c>
      <c r="V44" s="19" t="b">
        <f t="shared" ca="1" si="3"/>
        <v>0</v>
      </c>
      <c r="AI44" s="59"/>
      <c r="AJ44" s="70"/>
    </row>
    <row r="45" spans="1:36">
      <c r="A45" s="48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51"/>
      <c r="F45" s="45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0"/>
        <v>0</v>
      </c>
      <c r="U45" s="19" t="b">
        <f t="shared" si="16"/>
        <v>0</v>
      </c>
      <c r="V45" s="19" t="b">
        <f t="shared" ca="1" si="3"/>
        <v>0</v>
      </c>
      <c r="AI45" s="59"/>
      <c r="AJ45" s="70"/>
    </row>
    <row r="46" spans="1:36">
      <c r="A46" s="48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51"/>
      <c r="F46" s="45"/>
      <c r="G46" s="38" t="str">
        <f ca="1">IFERROR(VLOOKUP(B46,項目!DATA_AREA,4,FALSE),"")</f>
        <v/>
      </c>
      <c r="H46" s="12" t="str">
        <f ca="1">IFERROR(VLOOKUP(B46,項目!DATA_AREA,5,FALSE),"")</f>
        <v/>
      </c>
      <c r="T46" s="19" t="b">
        <f t="shared" ca="1" si="0"/>
        <v>0</v>
      </c>
      <c r="U46" s="19" t="b">
        <f t="shared" si="16"/>
        <v>0</v>
      </c>
      <c r="V46" s="19" t="b">
        <f t="shared" ca="1" si="3"/>
        <v>0</v>
      </c>
      <c r="AI46" s="59"/>
      <c r="AJ46" s="70"/>
    </row>
    <row r="47" spans="1:36">
      <c r="A47" s="48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51"/>
      <c r="F47" s="45"/>
      <c r="G47" s="38" t="str">
        <f ca="1">IFERROR(VLOOKUP(B47,項目!DATA_AREA,4,FALSE),"")</f>
        <v/>
      </c>
      <c r="H47" s="12" t="str">
        <f ca="1">IFERROR(VLOOKUP(B47,項目!DATA_AREA,5,FALSE),"")</f>
        <v/>
      </c>
      <c r="T47" s="19" t="b">
        <f t="shared" ca="1" si="0"/>
        <v>0</v>
      </c>
      <c r="U47" s="19" t="b">
        <f t="shared" si="16"/>
        <v>0</v>
      </c>
      <c r="V47" s="19" t="b">
        <f t="shared" ca="1" si="3"/>
        <v>0</v>
      </c>
      <c r="AI47" s="59"/>
      <c r="AJ47" s="70"/>
    </row>
    <row r="48" spans="1:36">
      <c r="A48" s="48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51"/>
      <c r="F48" s="45"/>
      <c r="G48" s="38" t="str">
        <f ca="1">IFERROR(VLOOKUP(B48,項目!DATA_AREA,4,FALSE),"")</f>
        <v/>
      </c>
      <c r="H48" s="12" t="str">
        <f ca="1">IFERROR(VLOOKUP(B48,項目!DATA_AREA,5,FALSE),"")</f>
        <v/>
      </c>
      <c r="T48" s="19" t="b">
        <f t="shared" ca="1" si="0"/>
        <v>0</v>
      </c>
      <c r="U48" s="19" t="b">
        <f t="shared" si="16"/>
        <v>0</v>
      </c>
      <c r="V48" s="19" t="b">
        <f t="shared" ca="1" si="3"/>
        <v>0</v>
      </c>
      <c r="AI48" s="59"/>
      <c r="AJ48" s="70"/>
    </row>
    <row r="49" spans="1:36">
      <c r="A49" s="48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51"/>
      <c r="F49" s="45"/>
      <c r="G49" s="38" t="str">
        <f ca="1">IFERROR(VLOOKUP(B49,項目!DATA_AREA,4,FALSE),"")</f>
        <v/>
      </c>
      <c r="H49" s="12" t="str">
        <f ca="1">IFERROR(VLOOKUP(B49,項目!DATA_AREA,5,FALSE),"")</f>
        <v/>
      </c>
      <c r="T49" s="19" t="b">
        <f t="shared" ca="1" si="0"/>
        <v>0</v>
      </c>
      <c r="U49" s="19" t="b">
        <f t="shared" si="16"/>
        <v>0</v>
      </c>
      <c r="V49" s="19" t="b">
        <f t="shared" ca="1" si="3"/>
        <v>0</v>
      </c>
      <c r="AI49" s="59"/>
      <c r="AJ49" s="70"/>
    </row>
    <row r="50" spans="1:36">
      <c r="A50" s="48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51"/>
      <c r="F50" s="45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0"/>
        <v>0</v>
      </c>
      <c r="U50" s="19" t="b">
        <f t="shared" si="16"/>
        <v>0</v>
      </c>
      <c r="V50" s="19" t="b">
        <f t="shared" ca="1" si="3"/>
        <v>0</v>
      </c>
      <c r="X50" s="7" t="s">
        <v>13</v>
      </c>
      <c r="AI50" s="59"/>
      <c r="AJ50" s="70"/>
    </row>
    <row r="51" spans="1:36">
      <c r="A51" s="48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51"/>
      <c r="F51" s="45"/>
      <c r="G51" s="38" t="str">
        <f ca="1">IFERROR(VLOOKUP(B51,項目!DATA_AREA,4,FALSE),"")</f>
        <v/>
      </c>
      <c r="H51" s="12" t="str">
        <f ca="1">IFERROR(VLOOKUP(B51,項目!DATA_AREA,5,FALSE),"")</f>
        <v/>
      </c>
      <c r="T51" s="19" t="b">
        <f t="shared" ca="1" si="0"/>
        <v>0</v>
      </c>
      <c r="U51" s="19" t="b">
        <f t="shared" si="16"/>
        <v>0</v>
      </c>
      <c r="V51" s="19" t="b">
        <f t="shared" ca="1" si="3"/>
        <v>0</v>
      </c>
      <c r="X51" s="7" t="s">
        <v>19</v>
      </c>
      <c r="AI51" s="59"/>
      <c r="AJ51" s="70"/>
    </row>
    <row r="52" spans="1:36">
      <c r="A52" s="48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51"/>
      <c r="F52" s="45"/>
      <c r="G52" s="38" t="str">
        <f ca="1">IFERROR(VLOOKUP(B52,項目!DATA_AREA,4,FALSE),"")</f>
        <v/>
      </c>
      <c r="H52" s="12" t="str">
        <f ca="1">IFERROR(VLOOKUP(B52,項目!DATA_AREA,5,FALSE),"")</f>
        <v/>
      </c>
      <c r="T52" s="19" t="b">
        <f t="shared" ca="1" si="0"/>
        <v>0</v>
      </c>
      <c r="U52" s="19" t="b">
        <f t="shared" si="16"/>
        <v>0</v>
      </c>
      <c r="V52" s="19" t="b">
        <f t="shared" ca="1" si="3"/>
        <v>0</v>
      </c>
      <c r="X52" s="19" t="b">
        <f t="shared" ref="X52:AB61" si="17">AND(N41&lt;&gt;"",ISNA(MATCH(N41,テーブル項目KEY,0)))</f>
        <v>0</v>
      </c>
      <c r="Y52" s="19" t="b">
        <f t="shared" si="17"/>
        <v>0</v>
      </c>
      <c r="Z52" s="19" t="b">
        <f t="shared" si="17"/>
        <v>0</v>
      </c>
      <c r="AA52" s="19" t="b">
        <f t="shared" si="17"/>
        <v>0</v>
      </c>
      <c r="AB52" s="19" t="b">
        <f t="shared" si="17"/>
        <v>0</v>
      </c>
      <c r="AI52" s="59"/>
      <c r="AJ52" s="70"/>
    </row>
    <row r="53" spans="1:36">
      <c r="A53" s="48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51"/>
      <c r="F53" s="45"/>
      <c r="G53" s="38" t="str">
        <f ca="1">IFERROR(VLOOKUP(B53,項目!DATA_AREA,4,FALSE),"")</f>
        <v/>
      </c>
      <c r="H53" s="12" t="str">
        <f ca="1">IFERROR(VLOOKUP(B53,項目!DATA_AREA,5,FALSE),"")</f>
        <v/>
      </c>
      <c r="T53" s="19" t="b">
        <f t="shared" ca="1" si="0"/>
        <v>0</v>
      </c>
      <c r="U53" s="19" t="b">
        <f t="shared" si="16"/>
        <v>0</v>
      </c>
      <c r="V53" s="19" t="b">
        <f t="shared" ca="1" si="3"/>
        <v>0</v>
      </c>
      <c r="X53" s="19" t="b">
        <f t="shared" si="17"/>
        <v>0</v>
      </c>
      <c r="Y53" s="19" t="b">
        <f t="shared" si="17"/>
        <v>0</v>
      </c>
      <c r="Z53" s="19" t="b">
        <f t="shared" si="17"/>
        <v>0</v>
      </c>
      <c r="AA53" s="19" t="b">
        <f t="shared" si="17"/>
        <v>0</v>
      </c>
      <c r="AB53" s="19" t="b">
        <f t="shared" si="17"/>
        <v>0</v>
      </c>
      <c r="AI53" s="59"/>
      <c r="AJ53" s="70"/>
    </row>
    <row r="54" spans="1:36">
      <c r="A54" s="48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51"/>
      <c r="F54" s="45"/>
      <c r="G54" s="38" t="str">
        <f ca="1">IFERROR(VLOOKUP(B54,項目!DATA_AREA,4,FALSE),"")</f>
        <v/>
      </c>
      <c r="H54" s="12" t="str">
        <f ca="1">IFERROR(VLOOKUP(B54,項目!DATA_AREA,5,FALSE),"")</f>
        <v/>
      </c>
      <c r="T54" s="19" t="b">
        <f t="shared" ca="1" si="0"/>
        <v>0</v>
      </c>
      <c r="U54" s="19" t="b">
        <f t="shared" si="16"/>
        <v>0</v>
      </c>
      <c r="V54" s="19" t="b">
        <f t="shared" ca="1" si="3"/>
        <v>0</v>
      </c>
      <c r="X54" s="19" t="b">
        <f t="shared" si="17"/>
        <v>0</v>
      </c>
      <c r="Y54" s="19" t="b">
        <f t="shared" si="17"/>
        <v>0</v>
      </c>
      <c r="Z54" s="19" t="b">
        <f t="shared" si="17"/>
        <v>0</v>
      </c>
      <c r="AA54" s="19" t="b">
        <f t="shared" si="17"/>
        <v>0</v>
      </c>
      <c r="AB54" s="19" t="b">
        <f t="shared" si="17"/>
        <v>0</v>
      </c>
      <c r="AI54" s="59"/>
      <c r="AJ54" s="70"/>
    </row>
    <row r="55" spans="1:36">
      <c r="A55" s="48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51"/>
      <c r="F55" s="45"/>
      <c r="G55" s="38" t="str">
        <f ca="1">IFERROR(VLOOKUP(B55,項目!DATA_AREA,4,FALSE),"")</f>
        <v/>
      </c>
      <c r="H55" s="12" t="str">
        <f ca="1">IFERROR(VLOOKUP(B55,項目!DATA_AREA,5,FALSE),"")</f>
        <v/>
      </c>
      <c r="T55" s="19" t="b">
        <f t="shared" ca="1" si="0"/>
        <v>0</v>
      </c>
      <c r="U55" s="19" t="b">
        <f t="shared" si="16"/>
        <v>0</v>
      </c>
      <c r="V55" s="19" t="b">
        <f t="shared" ca="1" si="3"/>
        <v>0</v>
      </c>
      <c r="X55" s="19" t="b">
        <f t="shared" si="17"/>
        <v>0</v>
      </c>
      <c r="Y55" s="19" t="b">
        <f t="shared" si="17"/>
        <v>0</v>
      </c>
      <c r="Z55" s="19" t="b">
        <f t="shared" si="17"/>
        <v>0</v>
      </c>
      <c r="AA55" s="19" t="b">
        <f t="shared" si="17"/>
        <v>0</v>
      </c>
      <c r="AB55" s="19" t="b">
        <f t="shared" si="17"/>
        <v>0</v>
      </c>
      <c r="AI55" s="59"/>
      <c r="AJ55" s="70"/>
    </row>
    <row r="56" spans="1:36">
      <c r="A56" s="48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51"/>
      <c r="F56" s="45"/>
      <c r="G56" s="38" t="str">
        <f ca="1">IFERROR(VLOOKUP(B56,項目!DATA_AREA,4,FALSE),"")</f>
        <v/>
      </c>
      <c r="H56" s="12" t="str">
        <f ca="1">IFERROR(VLOOKUP(B56,項目!DATA_AREA,5,FALSE),"")</f>
        <v/>
      </c>
      <c r="T56" s="19" t="b">
        <f t="shared" ca="1" si="0"/>
        <v>0</v>
      </c>
      <c r="U56" s="19" t="b">
        <f t="shared" si="16"/>
        <v>0</v>
      </c>
      <c r="V56" s="19" t="b">
        <f t="shared" ca="1" si="3"/>
        <v>0</v>
      </c>
      <c r="X56" s="19" t="b">
        <f t="shared" si="17"/>
        <v>0</v>
      </c>
      <c r="Y56" s="19" t="b">
        <f t="shared" si="17"/>
        <v>0</v>
      </c>
      <c r="Z56" s="19" t="b">
        <f t="shared" si="17"/>
        <v>0</v>
      </c>
      <c r="AA56" s="19" t="b">
        <f t="shared" si="17"/>
        <v>0</v>
      </c>
      <c r="AB56" s="19" t="b">
        <f t="shared" si="17"/>
        <v>0</v>
      </c>
      <c r="AI56" s="59"/>
      <c r="AJ56" s="70"/>
    </row>
    <row r="57" spans="1:36">
      <c r="A57" s="48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51"/>
      <c r="F57" s="45"/>
      <c r="G57" s="38" t="str">
        <f ca="1">IFERROR(VLOOKUP(B57,項目!DATA_AREA,4,FALSE),"")</f>
        <v/>
      </c>
      <c r="H57" s="12" t="str">
        <f ca="1">IFERROR(VLOOKUP(B57,項目!DATA_AREA,5,FALSE),"")</f>
        <v/>
      </c>
      <c r="T57" s="19" t="b">
        <f t="shared" ca="1" si="0"/>
        <v>0</v>
      </c>
      <c r="U57" s="19" t="b">
        <f t="shared" si="16"/>
        <v>0</v>
      </c>
      <c r="V57" s="19" t="b">
        <f t="shared" ca="1" si="3"/>
        <v>0</v>
      </c>
      <c r="X57" s="19" t="b">
        <f t="shared" si="17"/>
        <v>0</v>
      </c>
      <c r="Y57" s="19" t="b">
        <f t="shared" si="17"/>
        <v>0</v>
      </c>
      <c r="Z57" s="19" t="b">
        <f t="shared" si="17"/>
        <v>0</v>
      </c>
      <c r="AA57" s="19" t="b">
        <f t="shared" si="17"/>
        <v>0</v>
      </c>
      <c r="AB57" s="19" t="b">
        <f t="shared" si="17"/>
        <v>0</v>
      </c>
      <c r="AI57" s="59"/>
      <c r="AJ57" s="70"/>
    </row>
    <row r="58" spans="1:36">
      <c r="A58" s="48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51"/>
      <c r="F58" s="45"/>
      <c r="G58" s="38" t="str">
        <f ca="1">IFERROR(VLOOKUP(B58,項目!DATA_AREA,4,FALSE),"")</f>
        <v/>
      </c>
      <c r="H58" s="12" t="str">
        <f ca="1">IFERROR(VLOOKUP(B58,項目!DATA_AREA,5,FALSE),"")</f>
        <v/>
      </c>
      <c r="T58" s="19" t="b">
        <f t="shared" ca="1" si="0"/>
        <v>0</v>
      </c>
      <c r="U58" s="19" t="b">
        <f t="shared" si="16"/>
        <v>0</v>
      </c>
      <c r="V58" s="19" t="b">
        <f t="shared" ca="1" si="3"/>
        <v>0</v>
      </c>
      <c r="X58" s="19" t="b">
        <f t="shared" si="17"/>
        <v>0</v>
      </c>
      <c r="Y58" s="19" t="b">
        <f t="shared" si="17"/>
        <v>0</v>
      </c>
      <c r="Z58" s="19" t="b">
        <f t="shared" si="17"/>
        <v>0</v>
      </c>
      <c r="AA58" s="19" t="b">
        <f t="shared" si="17"/>
        <v>0</v>
      </c>
      <c r="AB58" s="19" t="b">
        <f t="shared" si="17"/>
        <v>0</v>
      </c>
      <c r="AI58" s="59"/>
      <c r="AJ58" s="70"/>
    </row>
    <row r="59" spans="1:36">
      <c r="A59" s="48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51"/>
      <c r="F59" s="45"/>
      <c r="G59" s="38" t="str">
        <f ca="1">IFERROR(VLOOKUP(B59,項目!DATA_AREA,4,FALSE),"")</f>
        <v/>
      </c>
      <c r="H59" s="12" t="str">
        <f ca="1">IFERROR(VLOOKUP(B59,項目!DATA_AREA,5,FALSE),"")</f>
        <v/>
      </c>
      <c r="T59" s="19" t="b">
        <f t="shared" ca="1" si="0"/>
        <v>0</v>
      </c>
      <c r="U59" s="19" t="b">
        <f t="shared" si="16"/>
        <v>0</v>
      </c>
      <c r="V59" s="19" t="b">
        <f t="shared" ca="1" si="3"/>
        <v>0</v>
      </c>
      <c r="X59" s="19" t="b">
        <f t="shared" si="17"/>
        <v>0</v>
      </c>
      <c r="Y59" s="19" t="b">
        <f t="shared" si="17"/>
        <v>0</v>
      </c>
      <c r="Z59" s="19" t="b">
        <f t="shared" si="17"/>
        <v>0</v>
      </c>
      <c r="AA59" s="19" t="b">
        <f t="shared" si="17"/>
        <v>0</v>
      </c>
      <c r="AB59" s="19" t="b">
        <f t="shared" si="17"/>
        <v>0</v>
      </c>
      <c r="AI59" s="59"/>
      <c r="AJ59" s="70"/>
    </row>
    <row r="60" spans="1:36">
      <c r="A60" s="48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51"/>
      <c r="F60" s="45"/>
      <c r="G60" s="38" t="str">
        <f ca="1">IFERROR(VLOOKUP(B60,項目!DATA_AREA,4,FALSE),"")</f>
        <v/>
      </c>
      <c r="H60" s="12" t="str">
        <f ca="1">IFERROR(VLOOKUP(B60,項目!DATA_AREA,5,FALSE),"")</f>
        <v/>
      </c>
      <c r="T60" s="19" t="b">
        <f t="shared" ca="1" si="0"/>
        <v>0</v>
      </c>
      <c r="U60" s="19" t="b">
        <f t="shared" si="16"/>
        <v>0</v>
      </c>
      <c r="V60" s="19" t="b">
        <f t="shared" ca="1" si="3"/>
        <v>0</v>
      </c>
      <c r="X60" s="19" t="b">
        <f t="shared" si="17"/>
        <v>0</v>
      </c>
      <c r="Y60" s="19" t="b">
        <f t="shared" si="17"/>
        <v>0</v>
      </c>
      <c r="Z60" s="19" t="b">
        <f t="shared" si="17"/>
        <v>0</v>
      </c>
      <c r="AA60" s="19" t="b">
        <f t="shared" si="17"/>
        <v>0</v>
      </c>
      <c r="AB60" s="19" t="b">
        <f t="shared" si="17"/>
        <v>0</v>
      </c>
      <c r="AI60" s="59"/>
      <c r="AJ60" s="70"/>
    </row>
    <row r="61" spans="1:36">
      <c r="A61" s="48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51"/>
      <c r="F61" s="45"/>
      <c r="G61" s="38" t="str">
        <f ca="1">IFERROR(VLOOKUP(B61,項目!DATA_AREA,4,FALSE),"")</f>
        <v/>
      </c>
      <c r="H61" s="12" t="str">
        <f ca="1">IFERROR(VLOOKUP(B61,項目!DATA_AREA,5,FALSE),"")</f>
        <v/>
      </c>
      <c r="T61" s="19" t="b">
        <f t="shared" ca="1" si="0"/>
        <v>0</v>
      </c>
      <c r="U61" s="19" t="b">
        <f t="shared" si="16"/>
        <v>0</v>
      </c>
      <c r="V61" s="19" t="b">
        <f t="shared" ca="1" si="3"/>
        <v>0</v>
      </c>
      <c r="X61" s="19" t="b">
        <f t="shared" si="17"/>
        <v>0</v>
      </c>
      <c r="Y61" s="19" t="b">
        <f t="shared" si="17"/>
        <v>0</v>
      </c>
      <c r="Z61" s="19" t="b">
        <f t="shared" si="17"/>
        <v>0</v>
      </c>
      <c r="AA61" s="19" t="b">
        <f t="shared" si="17"/>
        <v>0</v>
      </c>
      <c r="AB61" s="19" t="b">
        <f t="shared" si="17"/>
        <v>0</v>
      </c>
      <c r="AI61" s="59"/>
      <c r="AJ61" s="70"/>
    </row>
    <row r="62" spans="1:36">
      <c r="A62" s="48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51"/>
      <c r="F62" s="45"/>
      <c r="G62" s="38" t="str">
        <f ca="1">IFERROR(VLOOKUP(B62,項目!DATA_AREA,4,FALSE),"")</f>
        <v/>
      </c>
      <c r="H62" s="12" t="str">
        <f ca="1">IFERROR(VLOOKUP(B62,項目!DATA_AREA,5,FALSE),"")</f>
        <v/>
      </c>
      <c r="T62" s="19" t="b">
        <f t="shared" ca="1" si="0"/>
        <v>0</v>
      </c>
      <c r="U62" s="19" t="b">
        <f t="shared" si="16"/>
        <v>0</v>
      </c>
      <c r="V62" s="19" t="b">
        <f t="shared" ca="1" si="3"/>
        <v>0</v>
      </c>
      <c r="AI62" s="59"/>
      <c r="AJ62" s="70"/>
    </row>
    <row r="63" spans="1:36">
      <c r="A63" s="48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51"/>
      <c r="F63" s="45"/>
      <c r="G63" s="38" t="str">
        <f ca="1">IFERROR(VLOOKUP(B63,項目!DATA_AREA,4,FALSE),"")</f>
        <v/>
      </c>
      <c r="H63" s="12" t="str">
        <f ca="1">IFERROR(VLOOKUP(B63,項目!DATA_AREA,5,FALSE),"")</f>
        <v/>
      </c>
      <c r="T63" s="19" t="b">
        <f t="shared" ca="1" si="0"/>
        <v>0</v>
      </c>
      <c r="U63" s="19" t="b">
        <f t="shared" si="16"/>
        <v>0</v>
      </c>
      <c r="V63" s="19" t="b">
        <f t="shared" ca="1" si="3"/>
        <v>0</v>
      </c>
      <c r="AI63" s="59"/>
      <c r="AJ63" s="70"/>
    </row>
    <row r="64" spans="1:36">
      <c r="A64" s="48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51"/>
      <c r="F64" s="45"/>
      <c r="G64" s="38" t="str">
        <f ca="1">IFERROR(VLOOKUP(B64,項目!DATA_AREA,4,FALSE),"")</f>
        <v/>
      </c>
      <c r="H64" s="12" t="str">
        <f ca="1">IFERROR(VLOOKUP(B64,項目!DATA_AREA,5,FALSE),"")</f>
        <v/>
      </c>
      <c r="T64" s="19" t="b">
        <f t="shared" ca="1" si="0"/>
        <v>0</v>
      </c>
      <c r="U64" s="19" t="b">
        <f t="shared" si="16"/>
        <v>0</v>
      </c>
      <c r="V64" s="19" t="b">
        <f t="shared" ca="1" si="3"/>
        <v>0</v>
      </c>
      <c r="X64" s="7" t="s">
        <v>23</v>
      </c>
      <c r="AI64" s="59"/>
      <c r="AJ64" s="70"/>
    </row>
    <row r="65" spans="1:36">
      <c r="A65" s="48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51"/>
      <c r="F65" s="45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0"/>
        <v>0</v>
      </c>
      <c r="U65" s="19" t="b">
        <f t="shared" si="16"/>
        <v>0</v>
      </c>
      <c r="V65" s="19" t="b">
        <f t="shared" ca="1" si="3"/>
        <v>0</v>
      </c>
      <c r="X65" s="19" t="b">
        <f t="shared" ref="X65:AB74" si="18">COUNTIF($N41:$R41,N41)&gt;1</f>
        <v>0</v>
      </c>
      <c r="Y65" s="19" t="b">
        <f t="shared" si="18"/>
        <v>0</v>
      </c>
      <c r="Z65" s="19" t="b">
        <f t="shared" si="18"/>
        <v>0</v>
      </c>
      <c r="AA65" s="19" t="b">
        <f t="shared" si="18"/>
        <v>0</v>
      </c>
      <c r="AB65" s="19" t="b">
        <f t="shared" si="18"/>
        <v>0</v>
      </c>
      <c r="AI65" s="59"/>
      <c r="AJ65" s="70"/>
    </row>
    <row r="66" spans="1:36">
      <c r="A66" s="48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51"/>
      <c r="F66" s="45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0"/>
        <v>0</v>
      </c>
      <c r="U66" s="19" t="b">
        <f t="shared" si="16"/>
        <v>0</v>
      </c>
      <c r="V66" s="19" t="b">
        <f t="shared" ca="1" si="3"/>
        <v>0</v>
      </c>
      <c r="X66" s="19" t="b">
        <f t="shared" si="18"/>
        <v>0</v>
      </c>
      <c r="Y66" s="19" t="b">
        <f t="shared" si="18"/>
        <v>0</v>
      </c>
      <c r="Z66" s="19" t="b">
        <f t="shared" si="18"/>
        <v>0</v>
      </c>
      <c r="AA66" s="19" t="b">
        <f t="shared" si="18"/>
        <v>0</v>
      </c>
      <c r="AB66" s="19" t="b">
        <f t="shared" si="18"/>
        <v>0</v>
      </c>
      <c r="AI66" s="59"/>
      <c r="AJ66" s="70"/>
    </row>
    <row r="67" spans="1:36">
      <c r="A67" s="48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51"/>
      <c r="F67" s="45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0"/>
        <v>0</v>
      </c>
      <c r="U67" s="19" t="b">
        <f t="shared" si="16"/>
        <v>0</v>
      </c>
      <c r="V67" s="19" t="b">
        <f t="shared" ca="1" si="3"/>
        <v>0</v>
      </c>
      <c r="X67" s="19" t="b">
        <f t="shared" si="18"/>
        <v>0</v>
      </c>
      <c r="Y67" s="19" t="b">
        <f t="shared" si="18"/>
        <v>0</v>
      </c>
      <c r="Z67" s="19" t="b">
        <f t="shared" si="18"/>
        <v>0</v>
      </c>
      <c r="AA67" s="19" t="b">
        <f t="shared" si="18"/>
        <v>0</v>
      </c>
      <c r="AB67" s="19" t="b">
        <f t="shared" si="18"/>
        <v>0</v>
      </c>
      <c r="AI67" s="59"/>
      <c r="AJ67" s="70"/>
    </row>
    <row r="68" spans="1:36">
      <c r="A68" s="48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51"/>
      <c r="F68" s="45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0"/>
        <v>0</v>
      </c>
      <c r="U68" s="19" t="b">
        <f t="shared" si="16"/>
        <v>0</v>
      </c>
      <c r="V68" s="19" t="b">
        <f t="shared" ca="1" si="3"/>
        <v>0</v>
      </c>
      <c r="X68" s="19" t="b">
        <f t="shared" si="18"/>
        <v>0</v>
      </c>
      <c r="Y68" s="19" t="b">
        <f t="shared" si="18"/>
        <v>0</v>
      </c>
      <c r="Z68" s="19" t="b">
        <f t="shared" si="18"/>
        <v>0</v>
      </c>
      <c r="AA68" s="19" t="b">
        <f t="shared" si="18"/>
        <v>0</v>
      </c>
      <c r="AB68" s="19" t="b">
        <f t="shared" si="18"/>
        <v>0</v>
      </c>
      <c r="AI68" s="59"/>
      <c r="AJ68" s="70"/>
    </row>
    <row r="69" spans="1:36">
      <c r="A69" s="48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51"/>
      <c r="F69" s="45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0"/>
        <v>0</v>
      </c>
      <c r="U69" s="19" t="b">
        <f t="shared" si="16"/>
        <v>0</v>
      </c>
      <c r="V69" s="19" t="b">
        <f t="shared" ca="1" si="3"/>
        <v>0</v>
      </c>
      <c r="X69" s="19" t="b">
        <f t="shared" si="18"/>
        <v>0</v>
      </c>
      <c r="Y69" s="19" t="b">
        <f t="shared" si="18"/>
        <v>0</v>
      </c>
      <c r="Z69" s="19" t="b">
        <f t="shared" si="18"/>
        <v>0</v>
      </c>
      <c r="AA69" s="19" t="b">
        <f t="shared" si="18"/>
        <v>0</v>
      </c>
      <c r="AB69" s="19" t="b">
        <f t="shared" si="18"/>
        <v>0</v>
      </c>
      <c r="AI69" s="59"/>
      <c r="AJ69" s="70"/>
    </row>
    <row r="70" spans="1:36">
      <c r="A70" s="48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51"/>
      <c r="F70" s="45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19">AND(B70&lt;&gt;"",ISNA(MATCH(B70,項目リスト,0)))</f>
        <v>0</v>
      </c>
      <c r="U70" s="19" t="b">
        <f t="shared" ref="U70:U105" si="20">COUNTIF(FIELD_NAME,B70)&gt;1</f>
        <v>0</v>
      </c>
      <c r="V70" s="19" t="b">
        <f t="shared" ca="1" si="3"/>
        <v>0</v>
      </c>
      <c r="X70" s="19" t="b">
        <f t="shared" si="18"/>
        <v>0</v>
      </c>
      <c r="Y70" s="19" t="b">
        <f t="shared" si="18"/>
        <v>0</v>
      </c>
      <c r="Z70" s="19" t="b">
        <f t="shared" si="18"/>
        <v>0</v>
      </c>
      <c r="AA70" s="19" t="b">
        <f t="shared" si="18"/>
        <v>0</v>
      </c>
      <c r="AB70" s="19" t="b">
        <f t="shared" si="18"/>
        <v>0</v>
      </c>
      <c r="AI70" s="59"/>
      <c r="AJ70" s="70"/>
    </row>
    <row r="71" spans="1:36">
      <c r="A71" s="48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51"/>
      <c r="F71" s="45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19"/>
        <v>0</v>
      </c>
      <c r="U71" s="19" t="b">
        <f t="shared" si="20"/>
        <v>0</v>
      </c>
      <c r="V71" s="19" t="b">
        <f t="shared" ca="1" si="3"/>
        <v>0</v>
      </c>
      <c r="X71" s="19" t="b">
        <f t="shared" si="18"/>
        <v>0</v>
      </c>
      <c r="Y71" s="19" t="b">
        <f t="shared" si="18"/>
        <v>0</v>
      </c>
      <c r="Z71" s="19" t="b">
        <f t="shared" si="18"/>
        <v>0</v>
      </c>
      <c r="AA71" s="19" t="b">
        <f t="shared" si="18"/>
        <v>0</v>
      </c>
      <c r="AB71" s="19" t="b">
        <f t="shared" si="18"/>
        <v>0</v>
      </c>
      <c r="AI71" s="59"/>
      <c r="AJ71" s="70"/>
    </row>
    <row r="72" spans="1:36">
      <c r="A72" s="48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51"/>
      <c r="F72" s="45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19"/>
        <v>0</v>
      </c>
      <c r="U72" s="19" t="b">
        <f t="shared" si="20"/>
        <v>0</v>
      </c>
      <c r="V72" s="19" t="b">
        <f t="shared" ca="1" si="3"/>
        <v>0</v>
      </c>
      <c r="X72" s="19" t="b">
        <f t="shared" si="18"/>
        <v>0</v>
      </c>
      <c r="Y72" s="19" t="b">
        <f t="shared" si="18"/>
        <v>0</v>
      </c>
      <c r="Z72" s="19" t="b">
        <f t="shared" si="18"/>
        <v>0</v>
      </c>
      <c r="AA72" s="19" t="b">
        <f t="shared" si="18"/>
        <v>0</v>
      </c>
      <c r="AB72" s="19" t="b">
        <f t="shared" si="18"/>
        <v>0</v>
      </c>
      <c r="AI72" s="59"/>
      <c r="AJ72" s="70"/>
    </row>
    <row r="73" spans="1:36">
      <c r="A73" s="48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51"/>
      <c r="F73" s="45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19"/>
        <v>0</v>
      </c>
      <c r="U73" s="19" t="b">
        <f t="shared" si="20"/>
        <v>0</v>
      </c>
      <c r="V73" s="19" t="b">
        <f t="shared" ref="V73:V105" ca="1" si="21">AND(E73="",H73&lt;&gt;"",H73)</f>
        <v>0</v>
      </c>
      <c r="X73" s="19" t="b">
        <f t="shared" si="18"/>
        <v>0</v>
      </c>
      <c r="Y73" s="19" t="b">
        <f t="shared" si="18"/>
        <v>0</v>
      </c>
      <c r="Z73" s="19" t="b">
        <f t="shared" si="18"/>
        <v>0</v>
      </c>
      <c r="AA73" s="19" t="b">
        <f t="shared" si="18"/>
        <v>0</v>
      </c>
      <c r="AB73" s="19" t="b">
        <f t="shared" si="18"/>
        <v>0</v>
      </c>
      <c r="AI73" s="59"/>
      <c r="AJ73" s="70"/>
    </row>
    <row r="74" spans="1:36">
      <c r="A74" s="48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51"/>
      <c r="F74" s="45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19"/>
        <v>0</v>
      </c>
      <c r="U74" s="19" t="b">
        <f t="shared" si="20"/>
        <v>0</v>
      </c>
      <c r="V74" s="19" t="b">
        <f t="shared" ca="1" si="21"/>
        <v>0</v>
      </c>
      <c r="X74" s="19" t="b">
        <f t="shared" si="18"/>
        <v>0</v>
      </c>
      <c r="Y74" s="19" t="b">
        <f t="shared" si="18"/>
        <v>0</v>
      </c>
      <c r="Z74" s="19" t="b">
        <f t="shared" si="18"/>
        <v>0</v>
      </c>
      <c r="AA74" s="19" t="b">
        <f t="shared" si="18"/>
        <v>0</v>
      </c>
      <c r="AB74" s="19" t="b">
        <f t="shared" si="18"/>
        <v>0</v>
      </c>
      <c r="AI74" s="59"/>
      <c r="AJ74" s="70"/>
    </row>
    <row r="75" spans="1:36">
      <c r="A75" s="48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51"/>
      <c r="F75" s="45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19"/>
        <v>0</v>
      </c>
      <c r="U75" s="19" t="b">
        <f t="shared" si="20"/>
        <v>0</v>
      </c>
      <c r="V75" s="19" t="b">
        <f t="shared" ca="1" si="21"/>
        <v>0</v>
      </c>
      <c r="AI75" s="59"/>
      <c r="AJ75" s="70"/>
    </row>
    <row r="76" spans="1:36">
      <c r="A76" s="48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51"/>
      <c r="F76" s="45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19"/>
        <v>0</v>
      </c>
      <c r="U76" s="19" t="b">
        <f t="shared" si="20"/>
        <v>0</v>
      </c>
      <c r="V76" s="19" t="b">
        <f t="shared" ca="1" si="21"/>
        <v>0</v>
      </c>
      <c r="AI76" s="59"/>
      <c r="AJ76" s="70"/>
    </row>
    <row r="77" spans="1:36">
      <c r="A77" s="48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51"/>
      <c r="F77" s="45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19"/>
        <v>0</v>
      </c>
      <c r="U77" s="19" t="b">
        <f t="shared" si="20"/>
        <v>0</v>
      </c>
      <c r="V77" s="19" t="b">
        <f t="shared" ca="1" si="21"/>
        <v>0</v>
      </c>
      <c r="X77" s="7" t="s">
        <v>25</v>
      </c>
      <c r="AI77" s="59"/>
      <c r="AJ77" s="70"/>
    </row>
    <row r="78" spans="1:36">
      <c r="A78" s="48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51"/>
      <c r="F78" s="45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19"/>
        <v>0</v>
      </c>
      <c r="U78" s="19" t="b">
        <f t="shared" si="20"/>
        <v>0</v>
      </c>
      <c r="V78" s="19" t="b">
        <f t="shared" ca="1" si="21"/>
        <v>0</v>
      </c>
      <c r="X78" s="19" t="b">
        <f t="shared" ref="X78:X87" ca="1" si="22">AND($AK6&lt;&gt;"",COUNTIF($AK$6:$AK$15,$AK6)&gt;1)</f>
        <v>0</v>
      </c>
      <c r="AI78" s="59"/>
      <c r="AJ78" s="70"/>
    </row>
    <row r="79" spans="1:36">
      <c r="A79" s="48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51"/>
      <c r="F79" s="45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19"/>
        <v>0</v>
      </c>
      <c r="U79" s="19" t="b">
        <f t="shared" si="20"/>
        <v>0</v>
      </c>
      <c r="V79" s="19" t="b">
        <f t="shared" ca="1" si="21"/>
        <v>0</v>
      </c>
      <c r="X79" s="19" t="b">
        <f t="shared" ca="1" si="22"/>
        <v>0</v>
      </c>
      <c r="AI79" s="59"/>
      <c r="AJ79" s="70"/>
    </row>
    <row r="80" spans="1:36">
      <c r="A80" s="48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51"/>
      <c r="F80" s="45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19"/>
        <v>0</v>
      </c>
      <c r="U80" s="19" t="b">
        <f t="shared" si="20"/>
        <v>0</v>
      </c>
      <c r="V80" s="19" t="b">
        <f t="shared" ca="1" si="21"/>
        <v>0</v>
      </c>
      <c r="X80" s="19" t="b">
        <f t="shared" ca="1" si="22"/>
        <v>0</v>
      </c>
      <c r="AI80" s="59"/>
      <c r="AJ80" s="70"/>
    </row>
    <row r="81" spans="1:36">
      <c r="A81" s="48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51"/>
      <c r="F81" s="45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19"/>
        <v>0</v>
      </c>
      <c r="U81" s="19" t="b">
        <f t="shared" si="20"/>
        <v>0</v>
      </c>
      <c r="V81" s="19" t="b">
        <f t="shared" ca="1" si="21"/>
        <v>0</v>
      </c>
      <c r="X81" s="19" t="b">
        <f t="shared" ca="1" si="22"/>
        <v>0</v>
      </c>
      <c r="AI81" s="59"/>
      <c r="AJ81" s="70"/>
    </row>
    <row r="82" spans="1:36">
      <c r="A82" s="48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51"/>
      <c r="F82" s="45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19"/>
        <v>0</v>
      </c>
      <c r="U82" s="19" t="b">
        <f t="shared" si="20"/>
        <v>0</v>
      </c>
      <c r="V82" s="19" t="b">
        <f t="shared" ca="1" si="21"/>
        <v>0</v>
      </c>
      <c r="X82" s="19" t="b">
        <f t="shared" ca="1" si="22"/>
        <v>0</v>
      </c>
      <c r="AI82" s="59"/>
      <c r="AJ82" s="70"/>
    </row>
    <row r="83" spans="1:36">
      <c r="A83" s="48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51"/>
      <c r="F83" s="45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19"/>
        <v>0</v>
      </c>
      <c r="U83" s="19" t="b">
        <f t="shared" si="20"/>
        <v>0</v>
      </c>
      <c r="V83" s="19" t="b">
        <f t="shared" ca="1" si="21"/>
        <v>0</v>
      </c>
      <c r="X83" s="19" t="b">
        <f t="shared" ca="1" si="22"/>
        <v>0</v>
      </c>
      <c r="AI83" s="59"/>
      <c r="AJ83" s="70"/>
    </row>
    <row r="84" spans="1:36">
      <c r="A84" s="48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51"/>
      <c r="F84" s="45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19"/>
        <v>0</v>
      </c>
      <c r="U84" s="19" t="b">
        <f t="shared" si="20"/>
        <v>0</v>
      </c>
      <c r="V84" s="19" t="b">
        <f t="shared" ca="1" si="21"/>
        <v>0</v>
      </c>
      <c r="X84" s="19" t="b">
        <f t="shared" ca="1" si="22"/>
        <v>0</v>
      </c>
      <c r="AI84" s="59"/>
      <c r="AJ84" s="70"/>
    </row>
    <row r="85" spans="1:36">
      <c r="A85" s="48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51"/>
      <c r="F85" s="45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19"/>
        <v>0</v>
      </c>
      <c r="U85" s="19" t="b">
        <f t="shared" si="20"/>
        <v>0</v>
      </c>
      <c r="V85" s="19" t="b">
        <f t="shared" ca="1" si="21"/>
        <v>0</v>
      </c>
      <c r="X85" s="19" t="e">
        <f t="shared" ca="1" si="22"/>
        <v>#N/A</v>
      </c>
      <c r="AI85" s="59"/>
      <c r="AJ85" s="70"/>
    </row>
    <row r="86" spans="1:36">
      <c r="A86" s="48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51"/>
      <c r="F86" s="45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19"/>
        <v>0</v>
      </c>
      <c r="U86" s="19" t="b">
        <f t="shared" si="20"/>
        <v>0</v>
      </c>
      <c r="V86" s="19" t="b">
        <f t="shared" ca="1" si="21"/>
        <v>0</v>
      </c>
      <c r="X86" s="19" t="e">
        <f t="shared" ca="1" si="22"/>
        <v>#N/A</v>
      </c>
      <c r="AI86" s="59"/>
      <c r="AJ86" s="70"/>
    </row>
    <row r="87" spans="1:36">
      <c r="A87" s="48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51"/>
      <c r="F87" s="45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19"/>
        <v>0</v>
      </c>
      <c r="U87" s="19" t="b">
        <f t="shared" si="20"/>
        <v>0</v>
      </c>
      <c r="V87" s="19" t="b">
        <f t="shared" ca="1" si="21"/>
        <v>0</v>
      </c>
      <c r="X87" s="19" t="e">
        <f t="shared" ca="1" si="22"/>
        <v>#N/A</v>
      </c>
      <c r="AI87" s="59"/>
      <c r="AJ87" s="70"/>
    </row>
    <row r="88" spans="1:36">
      <c r="A88" s="48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51"/>
      <c r="F88" s="45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19"/>
        <v>0</v>
      </c>
      <c r="U88" s="19" t="b">
        <f t="shared" si="20"/>
        <v>0</v>
      </c>
      <c r="V88" s="19" t="b">
        <f t="shared" ca="1" si="21"/>
        <v>0</v>
      </c>
      <c r="AI88" s="59"/>
      <c r="AJ88" s="70"/>
    </row>
    <row r="89" spans="1:36">
      <c r="A89" s="48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51"/>
      <c r="F89" s="45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19"/>
        <v>0</v>
      </c>
      <c r="U89" s="19" t="b">
        <f t="shared" si="20"/>
        <v>0</v>
      </c>
      <c r="V89" s="19" t="b">
        <f t="shared" ca="1" si="21"/>
        <v>0</v>
      </c>
      <c r="AI89" s="59"/>
      <c r="AJ89" s="70"/>
    </row>
    <row r="90" spans="1:36">
      <c r="A90" s="48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51"/>
      <c r="F90" s="45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19"/>
        <v>0</v>
      </c>
      <c r="U90" s="19" t="b">
        <f t="shared" si="20"/>
        <v>0</v>
      </c>
      <c r="V90" s="19" t="b">
        <f t="shared" ca="1" si="21"/>
        <v>0</v>
      </c>
      <c r="AI90" s="59"/>
      <c r="AJ90" s="70"/>
    </row>
    <row r="91" spans="1:36">
      <c r="A91" s="48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51"/>
      <c r="F91" s="45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19"/>
        <v>0</v>
      </c>
      <c r="U91" s="19" t="b">
        <f t="shared" si="20"/>
        <v>0</v>
      </c>
      <c r="V91" s="19" t="b">
        <f t="shared" ca="1" si="21"/>
        <v>0</v>
      </c>
      <c r="AI91" s="59"/>
      <c r="AJ91" s="70"/>
    </row>
    <row r="92" spans="1:36">
      <c r="A92" s="48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51"/>
      <c r="F92" s="45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19"/>
        <v>0</v>
      </c>
      <c r="U92" s="19" t="b">
        <f t="shared" si="20"/>
        <v>0</v>
      </c>
      <c r="V92" s="19" t="b">
        <f t="shared" ca="1" si="21"/>
        <v>0</v>
      </c>
      <c r="AI92" s="59"/>
      <c r="AJ92" s="70"/>
    </row>
    <row r="93" spans="1:36">
      <c r="A93" s="48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51"/>
      <c r="F93" s="45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19"/>
        <v>0</v>
      </c>
      <c r="U93" s="19" t="b">
        <f t="shared" si="20"/>
        <v>0</v>
      </c>
      <c r="V93" s="19" t="b">
        <f t="shared" ca="1" si="21"/>
        <v>0</v>
      </c>
      <c r="AI93" s="59"/>
      <c r="AJ93" s="70"/>
    </row>
    <row r="94" spans="1:36">
      <c r="A94" s="48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51"/>
      <c r="F94" s="45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19"/>
        <v>0</v>
      </c>
      <c r="U94" s="19" t="b">
        <f t="shared" si="20"/>
        <v>0</v>
      </c>
      <c r="V94" s="19" t="b">
        <f t="shared" ca="1" si="21"/>
        <v>0</v>
      </c>
      <c r="AI94" s="59"/>
      <c r="AJ94" s="70"/>
    </row>
    <row r="95" spans="1:36">
      <c r="A95" s="48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51"/>
      <c r="F95" s="45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19"/>
        <v>0</v>
      </c>
      <c r="U95" s="19" t="b">
        <f t="shared" si="20"/>
        <v>0</v>
      </c>
      <c r="V95" s="19" t="b">
        <f t="shared" ca="1" si="21"/>
        <v>0</v>
      </c>
      <c r="AI95" s="59"/>
      <c r="AJ95" s="70"/>
    </row>
    <row r="96" spans="1:36">
      <c r="A96" s="48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51"/>
      <c r="F96" s="45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19"/>
        <v>0</v>
      </c>
      <c r="U96" s="19" t="b">
        <f t="shared" si="20"/>
        <v>0</v>
      </c>
      <c r="V96" s="19" t="b">
        <f t="shared" ca="1" si="21"/>
        <v>0</v>
      </c>
      <c r="AI96" s="59"/>
      <c r="AJ96" s="70"/>
    </row>
    <row r="97" spans="1:36">
      <c r="A97" s="48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51"/>
      <c r="F97" s="45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19"/>
        <v>0</v>
      </c>
      <c r="U97" s="19" t="b">
        <f t="shared" si="20"/>
        <v>0</v>
      </c>
      <c r="V97" s="19" t="b">
        <f t="shared" ca="1" si="21"/>
        <v>0</v>
      </c>
      <c r="AI97" s="59"/>
      <c r="AJ97" s="70"/>
    </row>
    <row r="98" spans="1:36">
      <c r="A98" s="48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51"/>
      <c r="F98" s="45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19"/>
        <v>0</v>
      </c>
      <c r="U98" s="19" t="b">
        <f t="shared" si="20"/>
        <v>0</v>
      </c>
      <c r="V98" s="19" t="b">
        <f t="shared" ca="1" si="21"/>
        <v>0</v>
      </c>
      <c r="AI98" s="59"/>
      <c r="AJ98" s="70"/>
    </row>
    <row r="99" spans="1:36">
      <c r="A99" s="48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51"/>
      <c r="F99" s="45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19"/>
        <v>0</v>
      </c>
      <c r="U99" s="19" t="b">
        <f t="shared" si="20"/>
        <v>0</v>
      </c>
      <c r="V99" s="19" t="b">
        <f t="shared" ca="1" si="21"/>
        <v>0</v>
      </c>
      <c r="AI99" s="59"/>
      <c r="AJ99" s="70"/>
    </row>
    <row r="100" spans="1:36">
      <c r="A100" s="48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51"/>
      <c r="F100" s="45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19"/>
        <v>0</v>
      </c>
      <c r="U100" s="19" t="b">
        <f t="shared" si="20"/>
        <v>0</v>
      </c>
      <c r="V100" s="19" t="b">
        <f t="shared" ca="1" si="21"/>
        <v>0</v>
      </c>
      <c r="AI100" s="59"/>
      <c r="AJ100" s="70"/>
    </row>
    <row r="101" spans="1:36">
      <c r="A101" s="48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51"/>
      <c r="F101" s="45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19"/>
        <v>0</v>
      </c>
      <c r="U101" s="19" t="b">
        <f t="shared" si="20"/>
        <v>0</v>
      </c>
      <c r="V101" s="19" t="b">
        <f t="shared" ca="1" si="21"/>
        <v>0</v>
      </c>
      <c r="AI101" s="59"/>
      <c r="AJ101" s="70"/>
    </row>
    <row r="102" spans="1:36">
      <c r="A102" s="48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51"/>
      <c r="F102" s="45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19"/>
        <v>0</v>
      </c>
      <c r="U102" s="19" t="b">
        <f t="shared" si="20"/>
        <v>0</v>
      </c>
      <c r="V102" s="19" t="b">
        <f t="shared" ca="1" si="21"/>
        <v>0</v>
      </c>
      <c r="AI102" s="59"/>
      <c r="AJ102" s="70"/>
    </row>
    <row r="103" spans="1:36">
      <c r="A103" s="48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51"/>
      <c r="F103" s="45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19"/>
        <v>0</v>
      </c>
      <c r="U103" s="19" t="b">
        <f t="shared" si="20"/>
        <v>0</v>
      </c>
      <c r="V103" s="19" t="b">
        <f t="shared" ca="1" si="21"/>
        <v>0</v>
      </c>
      <c r="AI103" s="59"/>
      <c r="AJ103" s="70"/>
    </row>
    <row r="104" spans="1:36">
      <c r="A104" s="48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51"/>
      <c r="F104" s="45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19"/>
        <v>0</v>
      </c>
      <c r="U104" s="19" t="b">
        <f t="shared" si="20"/>
        <v>0</v>
      </c>
      <c r="V104" s="19" t="b">
        <f t="shared" ca="1" si="21"/>
        <v>0</v>
      </c>
      <c r="AI104" s="59"/>
      <c r="AJ104" s="70"/>
    </row>
    <row r="105" spans="1:36">
      <c r="A105" s="49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52"/>
      <c r="F105" s="46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19"/>
        <v>0</v>
      </c>
      <c r="U105" s="19" t="b">
        <f t="shared" si="20"/>
        <v>0</v>
      </c>
      <c r="V105" s="19" t="b">
        <f t="shared" ca="1" si="21"/>
        <v>0</v>
      </c>
      <c r="AI105" s="59"/>
      <c r="AJ105" s="70"/>
    </row>
  </sheetData>
  <phoneticPr fontId="2"/>
  <conditionalFormatting sqref="B2:C2">
    <cfRule type="expression" dxfId="13" priority="7">
      <formula>ISERROR(B2)</formula>
    </cfRule>
  </conditionalFormatting>
  <conditionalFormatting sqref="B6:B105">
    <cfRule type="expression" dxfId="12" priority="5">
      <formula>COUNTIF(FIELD_NAME,B6)&gt;1</formula>
    </cfRule>
    <cfRule type="expression" dxfId="11" priority="6">
      <formula>AND($B6&lt;&gt;"",ISNA(MATCH($B6,項目リスト,0)))</formula>
    </cfRule>
  </conditionalFormatting>
  <conditionalFormatting sqref="B6">
    <cfRule type="expression" dxfId="10" priority="4">
      <formula>$AI$6="N/A"</formula>
    </cfRule>
  </conditionalFormatting>
  <conditionalFormatting sqref="D1">
    <cfRule type="cellIs" dxfId="9" priority="3" operator="greaterThan">
      <formula>0</formula>
    </cfRule>
  </conditionalFormatting>
  <conditionalFormatting sqref="L8:P8">
    <cfRule type="expression" dxfId="8" priority="9">
      <formula>Y8</formula>
    </cfRule>
    <cfRule type="expression" dxfId="7" priority="10">
      <formula>Y7</formula>
    </cfRule>
  </conditionalFormatting>
  <conditionalFormatting sqref="L13:P22">
    <cfRule type="expression" dxfId="6" priority="1">
      <formula>Y13</formula>
    </cfRule>
    <cfRule type="expression" dxfId="5" priority="2">
      <formula>$AD13</formula>
    </cfRule>
  </conditionalFormatting>
  <conditionalFormatting sqref="L8">
    <cfRule type="expression" dxfId="4" priority="8">
      <formula>$AG$7</formula>
    </cfRule>
  </conditionalFormatting>
  <conditionalFormatting sqref="E6">
    <cfRule type="expression" dxfId="3" priority="11" stopIfTrue="1">
      <formula>$V6</formula>
    </cfRule>
  </conditionalFormatting>
  <conditionalFormatting sqref="E7">
    <cfRule type="expression" dxfId="2" priority="12" stopIfTrue="1">
      <formula>$V7</formula>
    </cfRule>
  </conditionalFormatting>
  <conditionalFormatting sqref="E8">
    <cfRule type="expression" dxfId="1" priority="13" stopIfTrue="1">
      <formula>$V8</formula>
    </cfRule>
  </conditionalFormatting>
  <conditionalFormatting sqref="E9">
    <cfRule type="expression" dxfId="0" priority="14" stopIfTrue="1">
      <formula>$V9</formula>
    </cfRule>
  </conditionalFormatting>
  <dataValidations count="7">
    <dataValidation imeMode="off" allowBlank="1" showInputMessage="1" showErrorMessage="1" sqref="D5:F5 C2" xr:uid="{BF772529-E9E8-47E2-BE46-F1B8B0B83080}"/>
    <dataValidation type="list" allowBlank="1" showInputMessage="1" showErrorMessage="1" sqref="F2" xr:uid="{5A7C6BAB-CBCB-4402-BD50-64830BE3D73B}">
      <formula1>"○,-"</formula1>
    </dataValidation>
    <dataValidation type="list" allowBlank="1" showInputMessage="1" showErrorMessage="1" sqref="L13:P22" xr:uid="{BD9FF6E8-26B9-43F8-90DE-2630F458347C}">
      <formula1>FIELDリスト</formula1>
    </dataValidation>
    <dataValidation type="list" allowBlank="1" showInputMessage="1" showErrorMessage="1" sqref="L8:P8" xr:uid="{5506C882-2E95-46AD-A66D-A38AC2A33852}">
      <formula1>FIELDリストNN</formula1>
    </dataValidation>
    <dataValidation type="whole" imeMode="off" operator="equal" allowBlank="1" showInputMessage="1" showErrorMessage="1" error="NotNullの場合は[1]を入力する。" sqref="E6:E105" xr:uid="{75413901-7113-4B00-A1B3-CD1702CC5757}">
      <formula1>1</formula1>
    </dataValidation>
    <dataValidation type="list" allowBlank="1" showInputMessage="1" showErrorMessage="1" sqref="B6:B105" xr:uid="{2DAE7485-9C79-4E95-A09B-D39AD47315AF}">
      <formula1>項目リスト</formula1>
    </dataValidation>
    <dataValidation imeMode="on" allowBlank="1" showInputMessage="1" showErrorMessage="1" sqref="K12 A5 A1:A2 E2 K7 F6:H105" xr:uid="{3DD18E2E-BCD8-43B8-AFBD-C9278BB7EBCC}"/>
  </dataValidations>
  <hyperlinks>
    <hyperlink ref="E1" location="一覧!R1C1" display="一覧へ" xr:uid="{DEEB7299-AF2B-49AE-9211-0A774C65CA6D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F8807-8637-446C-B9C4-DA3E4E459FAE}">
  <sheetPr codeName="work"/>
  <dimension ref="A2:H9"/>
  <sheetViews>
    <sheetView workbookViewId="0"/>
  </sheetViews>
  <sheetFormatPr defaultRowHeight="18"/>
  <cols>
    <col min="1" max="1" width="14.25" bestFit="1" customWidth="1"/>
  </cols>
  <sheetData>
    <row r="2" spans="1:8">
      <c r="A2" t="s">
        <v>20</v>
      </c>
    </row>
    <row r="3" spans="1:8">
      <c r="A3" s="16" t="e">
        <v>#N/A</v>
      </c>
      <c r="B3" s="17"/>
      <c r="C3" s="17"/>
      <c r="D3" s="17"/>
      <c r="E3" s="17"/>
      <c r="F3" s="17"/>
      <c r="G3" s="17"/>
      <c r="H3" s="15"/>
    </row>
    <row r="5" spans="1:8">
      <c r="A5" t="s">
        <v>157</v>
      </c>
      <c r="C5" t="s">
        <v>167</v>
      </c>
    </row>
    <row r="6" spans="1:8">
      <c r="A6" s="68" t="s">
        <v>152</v>
      </c>
      <c r="C6" s="88"/>
    </row>
    <row r="8" spans="1:8">
      <c r="A8" t="s">
        <v>158</v>
      </c>
    </row>
    <row r="9" spans="1:8">
      <c r="A9" s="68" t="s">
        <v>153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62</vt:i4>
      </vt:variant>
    </vt:vector>
  </HeadingPairs>
  <TitlesOfParts>
    <vt:vector size="69" baseType="lpstr">
      <vt:lpstr>項目</vt:lpstr>
      <vt:lpstr>一覧</vt:lpstr>
      <vt:lpstr>テンプレート</vt:lpstr>
      <vt:lpstr>得意先</vt:lpstr>
      <vt:lpstr>受注</vt:lpstr>
      <vt:lpstr>受注明細</vt:lpstr>
      <vt:lpstr>WORK</vt:lpstr>
      <vt:lpstr>一覧!DATA_AREA</vt:lpstr>
      <vt:lpstr>一覧!DATA_AREA_JP</vt:lpstr>
      <vt:lpstr>テンプレート!ERRORS</vt:lpstr>
      <vt:lpstr>一覧!ERRORS</vt:lpstr>
      <vt:lpstr>受注!ERRORS</vt:lpstr>
      <vt:lpstr>受注明細!ERRORS</vt:lpstr>
      <vt:lpstr>得意先!ERRORS</vt:lpstr>
      <vt:lpstr>テンプレート!FIELD_AREA</vt:lpstr>
      <vt:lpstr>受注!FIELD_AREA</vt:lpstr>
      <vt:lpstr>受注明細!FIELD_AREA</vt:lpstr>
      <vt:lpstr>得意先!FIELD_AREA</vt:lpstr>
      <vt:lpstr>テンプレート!FIELD_COUNT</vt:lpstr>
      <vt:lpstr>受注!FIELD_COUNT</vt:lpstr>
      <vt:lpstr>受注明細!FIELD_COUNT</vt:lpstr>
      <vt:lpstr>得意先!FIELD_COUNT</vt:lpstr>
      <vt:lpstr>テンプレート!FIELD_COUNT_NN</vt:lpstr>
      <vt:lpstr>受注!FIELD_COUNT_NN</vt:lpstr>
      <vt:lpstr>受注明細!FIELD_COUNT_NN</vt:lpstr>
      <vt:lpstr>得意先!FIELD_COUNT_NN</vt:lpstr>
      <vt:lpstr>テンプレート!FIELD_NAME</vt:lpstr>
      <vt:lpstr>受注!FIELD_NAME</vt:lpstr>
      <vt:lpstr>受注明細!FIELD_NAME</vt:lpstr>
      <vt:lpstr>得意先!FIELD_NAME</vt:lpstr>
      <vt:lpstr>テンプレート!FIELD_NN</vt:lpstr>
      <vt:lpstr>受注!FIELD_NN</vt:lpstr>
      <vt:lpstr>受注明細!FIELD_NN</vt:lpstr>
      <vt:lpstr>得意先!FIELD_NN</vt:lpstr>
      <vt:lpstr>テンプレート!IS_MASTER</vt:lpstr>
      <vt:lpstr>受注!IS_MASTER</vt:lpstr>
      <vt:lpstr>受注明細!IS_MASTER</vt:lpstr>
      <vt:lpstr>得意先!IS_MASTER</vt:lpstr>
      <vt:lpstr>テンプレート!PK_AREA</vt:lpstr>
      <vt:lpstr>受注!PK_AREA</vt:lpstr>
      <vt:lpstr>受注明細!PK_AREA</vt:lpstr>
      <vt:lpstr>得意先!PK_AREA</vt:lpstr>
      <vt:lpstr>SCHEMA_EN</vt:lpstr>
      <vt:lpstr>SCHEMA_JP</vt:lpstr>
      <vt:lpstr>テンプレート!TABLE_EN</vt:lpstr>
      <vt:lpstr>受注!TABLE_EN</vt:lpstr>
      <vt:lpstr>受注明細!TABLE_EN</vt:lpstr>
      <vt:lpstr>得意先!TABLE_EN</vt:lpstr>
      <vt:lpstr>テンプレート!TABLE_JP</vt:lpstr>
      <vt:lpstr>受注!TABLE_JP</vt:lpstr>
      <vt:lpstr>受注明細!TABLE_JP</vt:lpstr>
      <vt:lpstr>得意先!TABLE_JP</vt:lpstr>
      <vt:lpstr>テンプレート!TABLE_NO</vt:lpstr>
      <vt:lpstr>受注!TABLE_NO</vt:lpstr>
      <vt:lpstr>受注明細!TABLE_NO</vt:lpstr>
      <vt:lpstr>得意先!TABLE_NO</vt:lpstr>
      <vt:lpstr>テンプレート!UNIQUE_AREA</vt:lpstr>
      <vt:lpstr>受注!UNIQUE_AREA</vt:lpstr>
      <vt:lpstr>受注明細!UNIQUE_AREA</vt:lpstr>
      <vt:lpstr>得意先!UNIQUE_AREA</vt:lpstr>
      <vt:lpstr>テンプレート!UNIQUE_EXIST</vt:lpstr>
      <vt:lpstr>受注!UNIQUE_EXIST</vt:lpstr>
      <vt:lpstr>受注明細!UNIQUE_EXIST</vt:lpstr>
      <vt:lpstr>得意先!UNIQUE_EXIST</vt:lpstr>
      <vt:lpstr>テンプレート!UNIQUE_LIST</vt:lpstr>
      <vt:lpstr>受注!UNIQUE_LIST</vt:lpstr>
      <vt:lpstr>受注明細!UNIQUE_LIST</vt:lpstr>
      <vt:lpstr>得意先!UNIQUE_LIST</vt:lpstr>
      <vt:lpstr>エラー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2015-06-05T18:19:34Z</dcterms:created>
  <dcterms:modified xsi:type="dcterms:W3CDTF">2024-02-19T13:00:23Z</dcterms:modified>
</cp:coreProperties>
</file>