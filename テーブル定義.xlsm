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12F44471-115F-4F9F-B4BE-163B1DAA4F8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28" r:id="rId4"/>
    <sheet name="受注" sheetId="129" r:id="rId5"/>
    <sheet name="受注明細" sheetId="130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ENABLE_1" localSheetId="2">テンプレート!$AL$106:$AL$116</definedName>
    <definedName name="FK_ENABLE_1" localSheetId="4">受注!$AL$106:$AL$116</definedName>
    <definedName name="FK_ENABLE_1" localSheetId="5">受注明細!$AL$106:$AL$116</definedName>
    <definedName name="FK_ENABLE_1" localSheetId="3">得意先!$AL$106:$AL$116</definedName>
    <definedName name="FK_ENABLE_2" localSheetId="2">テンプレート!$AM$106:$AM$116</definedName>
    <definedName name="FK_ENABLE_2" localSheetId="4">受注!$AM$106:$AM$116</definedName>
    <definedName name="FK_ENABLE_2" localSheetId="5">受注明細!$AM$106:$AM$116</definedName>
    <definedName name="FK_ENABLE_2" localSheetId="3">得意先!$AM$106:$AM$116</definedName>
    <definedName name="FK_ENABLE_3" localSheetId="2">テンプレート!$AN$106:$AN$116</definedName>
    <definedName name="FK_ENABLE_3" localSheetId="4">受注!$AN$106:$AN$116</definedName>
    <definedName name="FK_ENABLE_3" localSheetId="5">受注明細!$AN$106:$AN$116</definedName>
    <definedName name="FK_ENABLE_3" localSheetId="3">得意先!$AN$106:$AN$116</definedName>
    <definedName name="FK_ENABLE_4" localSheetId="2">テンプレート!$AO$106:$AO$116</definedName>
    <definedName name="FK_ENABLE_4" localSheetId="4">受注!$AO$106:$AO$116</definedName>
    <definedName name="FK_ENABLE_4" localSheetId="5">受注明細!$AO$106:$AO$116</definedName>
    <definedName name="FK_ENABLE_4" localSheetId="3">得意先!$AO$106:$AO$116</definedName>
    <definedName name="FK_ENABLE_5" localSheetId="2">テンプレート!$AP$106:$AP$116</definedName>
    <definedName name="FK_ENABLE_5" localSheetId="4">受注!$AP$106:$AP$116</definedName>
    <definedName name="FK_ENABLE_5" localSheetId="5">受注明細!$AP$106:$AP$116</definedName>
    <definedName name="FK_ENABLE_5" localSheetId="3">得意先!$AP$106:$AP$116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30" l="1"/>
  <c r="T105" i="130"/>
  <c r="H105" i="130"/>
  <c r="V105" i="130" s="1"/>
  <c r="G105" i="130"/>
  <c r="D105" i="130"/>
  <c r="C105" i="130"/>
  <c r="U104" i="130"/>
  <c r="T104" i="130"/>
  <c r="H104" i="130"/>
  <c r="V104" i="130" s="1"/>
  <c r="G104" i="130"/>
  <c r="D104" i="130"/>
  <c r="C104" i="130"/>
  <c r="U103" i="130"/>
  <c r="T103" i="130"/>
  <c r="H103" i="130"/>
  <c r="V103" i="130" s="1"/>
  <c r="G103" i="130"/>
  <c r="D103" i="130"/>
  <c r="C103" i="130"/>
  <c r="U102" i="130"/>
  <c r="T102" i="130"/>
  <c r="H102" i="130"/>
  <c r="V102" i="130" s="1"/>
  <c r="G102" i="130"/>
  <c r="D102" i="130"/>
  <c r="C102" i="130"/>
  <c r="U101" i="130"/>
  <c r="T101" i="130"/>
  <c r="H101" i="130"/>
  <c r="V101" i="130" s="1"/>
  <c r="G101" i="130"/>
  <c r="D101" i="130"/>
  <c r="C101" i="130"/>
  <c r="U100" i="130"/>
  <c r="T100" i="130"/>
  <c r="H100" i="130"/>
  <c r="V100" i="130" s="1"/>
  <c r="G100" i="130"/>
  <c r="D100" i="130"/>
  <c r="C100" i="130"/>
  <c r="U99" i="130"/>
  <c r="T99" i="130"/>
  <c r="H99" i="130"/>
  <c r="V99" i="130" s="1"/>
  <c r="G99" i="130"/>
  <c r="D99" i="130"/>
  <c r="C99" i="130"/>
  <c r="U98" i="130"/>
  <c r="T98" i="130"/>
  <c r="H98" i="130"/>
  <c r="V98" i="130" s="1"/>
  <c r="G98" i="130"/>
  <c r="D98" i="130"/>
  <c r="C98" i="130"/>
  <c r="U97" i="130"/>
  <c r="T97" i="130"/>
  <c r="H97" i="130"/>
  <c r="V97" i="130" s="1"/>
  <c r="G97" i="130"/>
  <c r="D97" i="130"/>
  <c r="C97" i="130"/>
  <c r="U96" i="130"/>
  <c r="T96" i="130"/>
  <c r="H96" i="130"/>
  <c r="V96" i="130" s="1"/>
  <c r="G96" i="130"/>
  <c r="D96" i="130"/>
  <c r="C96" i="130"/>
  <c r="U95" i="130"/>
  <c r="T95" i="130"/>
  <c r="H95" i="130"/>
  <c r="V95" i="130" s="1"/>
  <c r="G95" i="130"/>
  <c r="D95" i="130"/>
  <c r="C95" i="130"/>
  <c r="U94" i="130"/>
  <c r="T94" i="130"/>
  <c r="H94" i="130"/>
  <c r="V94" i="130" s="1"/>
  <c r="G94" i="130"/>
  <c r="D94" i="130"/>
  <c r="C94" i="130"/>
  <c r="U93" i="130"/>
  <c r="T93" i="130"/>
  <c r="H93" i="130"/>
  <c r="V93" i="130" s="1"/>
  <c r="G93" i="130"/>
  <c r="D93" i="130"/>
  <c r="C93" i="130"/>
  <c r="U92" i="130"/>
  <c r="T92" i="130"/>
  <c r="H92" i="130"/>
  <c r="V92" i="130" s="1"/>
  <c r="G92" i="130"/>
  <c r="D92" i="130"/>
  <c r="C92" i="130"/>
  <c r="U91" i="130"/>
  <c r="T91" i="130"/>
  <c r="H91" i="130"/>
  <c r="V91" i="130" s="1"/>
  <c r="G91" i="130"/>
  <c r="D91" i="130"/>
  <c r="C91" i="130"/>
  <c r="U90" i="130"/>
  <c r="T90" i="130"/>
  <c r="H90" i="130"/>
  <c r="V90" i="130" s="1"/>
  <c r="G90" i="130"/>
  <c r="D90" i="130"/>
  <c r="C90" i="130"/>
  <c r="U89" i="130"/>
  <c r="T89" i="130"/>
  <c r="H89" i="130"/>
  <c r="V89" i="130" s="1"/>
  <c r="G89" i="130"/>
  <c r="D89" i="130"/>
  <c r="C89" i="130"/>
  <c r="U88" i="130"/>
  <c r="T88" i="130"/>
  <c r="H88" i="130"/>
  <c r="V88" i="130" s="1"/>
  <c r="G88" i="130"/>
  <c r="D88" i="130"/>
  <c r="C88" i="130"/>
  <c r="U87" i="130"/>
  <c r="T87" i="130"/>
  <c r="H87" i="130"/>
  <c r="V87" i="130" s="1"/>
  <c r="G87" i="130"/>
  <c r="D87" i="130"/>
  <c r="C87" i="130"/>
  <c r="U86" i="130"/>
  <c r="T86" i="130"/>
  <c r="H86" i="130"/>
  <c r="V86" i="130" s="1"/>
  <c r="G86" i="130"/>
  <c r="D86" i="130"/>
  <c r="C86" i="130"/>
  <c r="U85" i="130"/>
  <c r="T85" i="130"/>
  <c r="H85" i="130"/>
  <c r="V85" i="130" s="1"/>
  <c r="G85" i="130"/>
  <c r="D85" i="130"/>
  <c r="C85" i="130"/>
  <c r="U84" i="130"/>
  <c r="T84" i="130"/>
  <c r="H84" i="130"/>
  <c r="V84" i="130" s="1"/>
  <c r="G84" i="130"/>
  <c r="D84" i="130"/>
  <c r="C84" i="130"/>
  <c r="U83" i="130"/>
  <c r="T83" i="130"/>
  <c r="H83" i="130"/>
  <c r="V83" i="130" s="1"/>
  <c r="G83" i="130"/>
  <c r="D83" i="130"/>
  <c r="C83" i="130"/>
  <c r="U82" i="130"/>
  <c r="T82" i="130"/>
  <c r="H82" i="130"/>
  <c r="V82" i="130" s="1"/>
  <c r="G82" i="130"/>
  <c r="D82" i="130"/>
  <c r="C82" i="130"/>
  <c r="U81" i="130"/>
  <c r="T81" i="130"/>
  <c r="H81" i="130"/>
  <c r="V81" i="130" s="1"/>
  <c r="G81" i="130"/>
  <c r="D81" i="130"/>
  <c r="C81" i="130"/>
  <c r="U80" i="130"/>
  <c r="T80" i="130"/>
  <c r="H80" i="130"/>
  <c r="V80" i="130" s="1"/>
  <c r="G80" i="130"/>
  <c r="D80" i="130"/>
  <c r="C80" i="130"/>
  <c r="U79" i="130"/>
  <c r="T79" i="130"/>
  <c r="H79" i="130"/>
  <c r="V79" i="130" s="1"/>
  <c r="G79" i="130"/>
  <c r="D79" i="130"/>
  <c r="C79" i="130"/>
  <c r="U78" i="130"/>
  <c r="T78" i="130"/>
  <c r="H78" i="130"/>
  <c r="V78" i="130" s="1"/>
  <c r="G78" i="130"/>
  <c r="D78" i="130"/>
  <c r="C78" i="130"/>
  <c r="U77" i="130"/>
  <c r="T77" i="130"/>
  <c r="H77" i="130"/>
  <c r="V77" i="130" s="1"/>
  <c r="G77" i="130"/>
  <c r="D77" i="130"/>
  <c r="C77" i="130"/>
  <c r="U76" i="130"/>
  <c r="T76" i="130"/>
  <c r="H76" i="130"/>
  <c r="V76" i="130" s="1"/>
  <c r="G76" i="130"/>
  <c r="D76" i="130"/>
  <c r="C76" i="130"/>
  <c r="U75" i="130"/>
  <c r="T75" i="130"/>
  <c r="H75" i="130"/>
  <c r="V75" i="130" s="1"/>
  <c r="G75" i="130"/>
  <c r="D75" i="130"/>
  <c r="C75" i="130"/>
  <c r="U74" i="130"/>
  <c r="T74" i="130"/>
  <c r="H74" i="130"/>
  <c r="V74" i="130" s="1"/>
  <c r="G74" i="130"/>
  <c r="D74" i="130"/>
  <c r="C74" i="130"/>
  <c r="U73" i="130"/>
  <c r="T73" i="130"/>
  <c r="H73" i="130"/>
  <c r="V73" i="130" s="1"/>
  <c r="G73" i="130"/>
  <c r="D73" i="130"/>
  <c r="C73" i="130"/>
  <c r="U72" i="130"/>
  <c r="T72" i="130"/>
  <c r="H72" i="130"/>
  <c r="V72" i="130" s="1"/>
  <c r="G72" i="130"/>
  <c r="D72" i="130"/>
  <c r="C72" i="130"/>
  <c r="U71" i="130"/>
  <c r="T71" i="130"/>
  <c r="H71" i="130"/>
  <c r="V71" i="130" s="1"/>
  <c r="G71" i="130"/>
  <c r="D71" i="130"/>
  <c r="C71" i="130"/>
  <c r="U70" i="130"/>
  <c r="T70" i="130"/>
  <c r="H70" i="130"/>
  <c r="V70" i="130" s="1"/>
  <c r="G70" i="130"/>
  <c r="D70" i="130"/>
  <c r="C70" i="130"/>
  <c r="U69" i="130"/>
  <c r="T69" i="130"/>
  <c r="H69" i="130"/>
  <c r="V69" i="130" s="1"/>
  <c r="G69" i="130"/>
  <c r="D69" i="130"/>
  <c r="C69" i="130"/>
  <c r="U68" i="130"/>
  <c r="T68" i="130"/>
  <c r="H68" i="130"/>
  <c r="V68" i="130" s="1"/>
  <c r="G68" i="130"/>
  <c r="D68" i="130"/>
  <c r="C68" i="130"/>
  <c r="U67" i="130"/>
  <c r="T67" i="130"/>
  <c r="H67" i="130"/>
  <c r="V67" i="130" s="1"/>
  <c r="G67" i="130"/>
  <c r="D67" i="130"/>
  <c r="C67" i="130"/>
  <c r="U66" i="130"/>
  <c r="T66" i="130"/>
  <c r="H66" i="130"/>
  <c r="V66" i="130" s="1"/>
  <c r="G66" i="130"/>
  <c r="D66" i="130"/>
  <c r="C66" i="130"/>
  <c r="U65" i="130"/>
  <c r="T65" i="130"/>
  <c r="H65" i="130"/>
  <c r="V65" i="130" s="1"/>
  <c r="G65" i="130"/>
  <c r="D65" i="130"/>
  <c r="C65" i="130"/>
  <c r="U64" i="130"/>
  <c r="T64" i="130"/>
  <c r="H64" i="130"/>
  <c r="V64" i="130" s="1"/>
  <c r="G64" i="130"/>
  <c r="D64" i="130"/>
  <c r="C64" i="130"/>
  <c r="U63" i="130"/>
  <c r="T63" i="130"/>
  <c r="R63" i="130"/>
  <c r="H63" i="130"/>
  <c r="V63" i="130" s="1"/>
  <c r="G63" i="130"/>
  <c r="D63" i="130"/>
  <c r="C63" i="130"/>
  <c r="U62" i="130"/>
  <c r="T62" i="130"/>
  <c r="H62" i="130"/>
  <c r="V62" i="130" s="1"/>
  <c r="G62" i="130"/>
  <c r="D62" i="130"/>
  <c r="C62" i="130"/>
  <c r="U61" i="130"/>
  <c r="T61" i="130"/>
  <c r="R61" i="130"/>
  <c r="H61" i="130"/>
  <c r="V61" i="130" s="1"/>
  <c r="G61" i="130"/>
  <c r="D61" i="130"/>
  <c r="C61" i="130"/>
  <c r="U60" i="130"/>
  <c r="T60" i="130"/>
  <c r="H60" i="130"/>
  <c r="V60" i="130" s="1"/>
  <c r="G60" i="130"/>
  <c r="D60" i="130"/>
  <c r="C60" i="130"/>
  <c r="U59" i="130"/>
  <c r="T59" i="130"/>
  <c r="R59" i="130"/>
  <c r="H59" i="130"/>
  <c r="V59" i="130" s="1"/>
  <c r="G59" i="130"/>
  <c r="D59" i="130"/>
  <c r="C59" i="130"/>
  <c r="U58" i="130"/>
  <c r="T58" i="130"/>
  <c r="H58" i="130"/>
  <c r="V58" i="130" s="1"/>
  <c r="G58" i="130"/>
  <c r="D58" i="130"/>
  <c r="C58" i="130"/>
  <c r="U57" i="130"/>
  <c r="T57" i="130"/>
  <c r="R57" i="130"/>
  <c r="AD63" i="130" s="1"/>
  <c r="H57" i="130"/>
  <c r="V57" i="130" s="1"/>
  <c r="G57" i="130"/>
  <c r="D57" i="130"/>
  <c r="C57" i="130"/>
  <c r="U56" i="130"/>
  <c r="T56" i="130"/>
  <c r="H56" i="130"/>
  <c r="V56" i="130" s="1"/>
  <c r="G56" i="130"/>
  <c r="D56" i="130"/>
  <c r="C56" i="130"/>
  <c r="U55" i="130"/>
  <c r="T55" i="130"/>
  <c r="R55" i="130"/>
  <c r="AD57" i="130" s="1"/>
  <c r="H55" i="130"/>
  <c r="V55" i="130" s="1"/>
  <c r="G55" i="130"/>
  <c r="D55" i="130"/>
  <c r="C55" i="130"/>
  <c r="U54" i="130"/>
  <c r="T54" i="130"/>
  <c r="H54" i="130"/>
  <c r="V54" i="130" s="1"/>
  <c r="G54" i="130"/>
  <c r="D54" i="130"/>
  <c r="C54" i="130"/>
  <c r="U53" i="130"/>
  <c r="T53" i="130"/>
  <c r="H53" i="130"/>
  <c r="V53" i="130" s="1"/>
  <c r="G53" i="130"/>
  <c r="D53" i="130"/>
  <c r="C53" i="130"/>
  <c r="U52" i="130"/>
  <c r="T52" i="130"/>
  <c r="H52" i="130"/>
  <c r="V52" i="130" s="1"/>
  <c r="G52" i="130"/>
  <c r="D52" i="130"/>
  <c r="C52" i="130"/>
  <c r="U51" i="130"/>
  <c r="T51" i="130"/>
  <c r="H51" i="130"/>
  <c r="V51" i="130" s="1"/>
  <c r="G51" i="130"/>
  <c r="D51" i="130"/>
  <c r="C51" i="130"/>
  <c r="AC50" i="130"/>
  <c r="AB50" i="130"/>
  <c r="AA50" i="130"/>
  <c r="Z50" i="130"/>
  <c r="Y50" i="130"/>
  <c r="U50" i="130"/>
  <c r="T50" i="130"/>
  <c r="H50" i="130"/>
  <c r="V50" i="130" s="1"/>
  <c r="G50" i="130"/>
  <c r="D50" i="130"/>
  <c r="C50" i="130"/>
  <c r="AC49" i="130"/>
  <c r="AB49" i="130"/>
  <c r="AA49" i="130"/>
  <c r="Z49" i="130"/>
  <c r="Y49" i="130"/>
  <c r="U49" i="130"/>
  <c r="T49" i="130"/>
  <c r="R49" i="130"/>
  <c r="H49" i="130"/>
  <c r="V49" i="130" s="1"/>
  <c r="G49" i="130"/>
  <c r="D49" i="130"/>
  <c r="C49" i="130"/>
  <c r="U48" i="130"/>
  <c r="T48" i="130"/>
  <c r="H48" i="130"/>
  <c r="V48" i="130" s="1"/>
  <c r="G48" i="130"/>
  <c r="D48" i="130"/>
  <c r="C48" i="130"/>
  <c r="U47" i="130"/>
  <c r="T47" i="130"/>
  <c r="R47" i="130"/>
  <c r="S47" i="130" s="1"/>
  <c r="H47" i="130"/>
  <c r="V47" i="130" s="1"/>
  <c r="G47" i="130"/>
  <c r="D47" i="130"/>
  <c r="C47" i="130"/>
  <c r="U46" i="130"/>
  <c r="T46" i="130"/>
  <c r="H46" i="130"/>
  <c r="V46" i="130" s="1"/>
  <c r="G46" i="130"/>
  <c r="D46" i="130"/>
  <c r="C46" i="130"/>
  <c r="AC45" i="130"/>
  <c r="AB45" i="130"/>
  <c r="AA45" i="130"/>
  <c r="Z45" i="130"/>
  <c r="Y45" i="130"/>
  <c r="U45" i="130"/>
  <c r="T45" i="130"/>
  <c r="H45" i="130"/>
  <c r="V45" i="130" s="1"/>
  <c r="G45" i="130"/>
  <c r="D45" i="130"/>
  <c r="C45" i="130"/>
  <c r="AC44" i="130"/>
  <c r="AB44" i="130"/>
  <c r="AA44" i="130"/>
  <c r="Z44" i="130"/>
  <c r="Y44" i="130"/>
  <c r="U44" i="130"/>
  <c r="T44" i="130"/>
  <c r="R44" i="130"/>
  <c r="H44" i="130"/>
  <c r="V44" i="130" s="1"/>
  <c r="G44" i="130"/>
  <c r="D44" i="130"/>
  <c r="C44" i="130"/>
  <c r="U43" i="130"/>
  <c r="T43" i="130"/>
  <c r="H43" i="130"/>
  <c r="V43" i="130" s="1"/>
  <c r="G43" i="130"/>
  <c r="D43" i="130"/>
  <c r="C43" i="130"/>
  <c r="U42" i="130"/>
  <c r="T42" i="130"/>
  <c r="S42" i="130"/>
  <c r="R42" i="130"/>
  <c r="H42" i="130"/>
  <c r="V42" i="130" s="1"/>
  <c r="G42" i="130"/>
  <c r="D42" i="130"/>
  <c r="C42" i="130"/>
  <c r="AD41" i="130"/>
  <c r="U41" i="130"/>
  <c r="T41" i="130"/>
  <c r="H41" i="130"/>
  <c r="V41" i="130" s="1"/>
  <c r="G41" i="130"/>
  <c r="D41" i="130"/>
  <c r="C41" i="130"/>
  <c r="AC40" i="130"/>
  <c r="AB40" i="130"/>
  <c r="AA40" i="130"/>
  <c r="Z40" i="130"/>
  <c r="Y40" i="130"/>
  <c r="U40" i="130"/>
  <c r="T40" i="130"/>
  <c r="H40" i="130"/>
  <c r="V40" i="130" s="1"/>
  <c r="G40" i="130"/>
  <c r="D40" i="130"/>
  <c r="C40" i="130"/>
  <c r="AC39" i="130"/>
  <c r="AB39" i="130"/>
  <c r="AA39" i="130"/>
  <c r="Z39" i="130"/>
  <c r="Y39" i="130"/>
  <c r="U39" i="130"/>
  <c r="T39" i="130"/>
  <c r="R39" i="130"/>
  <c r="H39" i="130"/>
  <c r="V39" i="130" s="1"/>
  <c r="G39" i="130"/>
  <c r="D39" i="130"/>
  <c r="C39" i="130"/>
  <c r="U38" i="130"/>
  <c r="T38" i="130"/>
  <c r="H38" i="130"/>
  <c r="V38" i="130" s="1"/>
  <c r="G38" i="130"/>
  <c r="D38" i="130"/>
  <c r="C38" i="130"/>
  <c r="U37" i="130"/>
  <c r="T37" i="130"/>
  <c r="S37" i="130"/>
  <c r="R37" i="130"/>
  <c r="H37" i="130"/>
  <c r="V37" i="130" s="1"/>
  <c r="G37" i="130"/>
  <c r="D37" i="130"/>
  <c r="C37" i="130"/>
  <c r="AD36" i="130"/>
  <c r="U36" i="130"/>
  <c r="T36" i="130"/>
  <c r="H36" i="130"/>
  <c r="V36" i="130" s="1"/>
  <c r="G36" i="130"/>
  <c r="D36" i="130"/>
  <c r="C36" i="130"/>
  <c r="AC35" i="130"/>
  <c r="AB35" i="130"/>
  <c r="AA35" i="130"/>
  <c r="Z35" i="130"/>
  <c r="Y35" i="130"/>
  <c r="U35" i="130"/>
  <c r="T35" i="130"/>
  <c r="H35" i="130"/>
  <c r="V35" i="130" s="1"/>
  <c r="G35" i="130"/>
  <c r="D35" i="130"/>
  <c r="C35" i="130"/>
  <c r="AC34" i="130"/>
  <c r="AB34" i="130"/>
  <c r="AA34" i="130"/>
  <c r="Z34" i="130"/>
  <c r="Y34" i="130"/>
  <c r="U34" i="130"/>
  <c r="T34" i="130"/>
  <c r="R34" i="130"/>
  <c r="H34" i="130"/>
  <c r="V34" i="130" s="1"/>
  <c r="G34" i="130"/>
  <c r="D34" i="130"/>
  <c r="C34" i="130"/>
  <c r="U33" i="130"/>
  <c r="T33" i="130"/>
  <c r="H33" i="130"/>
  <c r="V33" i="130" s="1"/>
  <c r="G33" i="130"/>
  <c r="D33" i="130"/>
  <c r="C33" i="130"/>
  <c r="U32" i="130"/>
  <c r="T32" i="130"/>
  <c r="R32" i="130"/>
  <c r="AD31" i="130" s="1"/>
  <c r="H32" i="130"/>
  <c r="V32" i="130" s="1"/>
  <c r="G32" i="130"/>
  <c r="D32" i="130"/>
  <c r="C32" i="130"/>
  <c r="U31" i="130"/>
  <c r="T31" i="130"/>
  <c r="H31" i="130"/>
  <c r="V31" i="130" s="1"/>
  <c r="G31" i="130"/>
  <c r="D31" i="130"/>
  <c r="C31" i="130"/>
  <c r="AC30" i="130"/>
  <c r="AB30" i="130"/>
  <c r="AA30" i="130"/>
  <c r="Z30" i="130"/>
  <c r="Y30" i="130"/>
  <c r="U30" i="130"/>
  <c r="T30" i="130"/>
  <c r="H30" i="130"/>
  <c r="V30" i="130" s="1"/>
  <c r="G30" i="130"/>
  <c r="D30" i="130"/>
  <c r="C30" i="130"/>
  <c r="AC29" i="130"/>
  <c r="AB29" i="130"/>
  <c r="AA29" i="130"/>
  <c r="Z29" i="130"/>
  <c r="Y29" i="130"/>
  <c r="U29" i="130"/>
  <c r="T29" i="130"/>
  <c r="R29" i="130"/>
  <c r="H29" i="130"/>
  <c r="V29" i="130" s="1"/>
  <c r="G29" i="130"/>
  <c r="D29" i="130"/>
  <c r="C29" i="130"/>
  <c r="U28" i="130"/>
  <c r="T28" i="130"/>
  <c r="H28" i="130"/>
  <c r="V28" i="130" s="1"/>
  <c r="G28" i="130"/>
  <c r="D28" i="130"/>
  <c r="C28" i="130"/>
  <c r="U27" i="130"/>
  <c r="T27" i="130"/>
  <c r="R27" i="130"/>
  <c r="S27" i="130" s="1"/>
  <c r="H27" i="130"/>
  <c r="V27" i="130" s="1"/>
  <c r="G27" i="130"/>
  <c r="D27" i="130"/>
  <c r="C27" i="130"/>
  <c r="U26" i="130"/>
  <c r="T26" i="130"/>
  <c r="H26" i="130"/>
  <c r="V26" i="130" s="1"/>
  <c r="G26" i="130"/>
  <c r="D26" i="130"/>
  <c r="C26" i="130"/>
  <c r="U25" i="130"/>
  <c r="T25" i="130"/>
  <c r="H25" i="130"/>
  <c r="V25" i="130" s="1"/>
  <c r="G25" i="130"/>
  <c r="D25" i="130"/>
  <c r="C25" i="130"/>
  <c r="U24" i="130"/>
  <c r="T24" i="130"/>
  <c r="H24" i="130"/>
  <c r="V24" i="130" s="1"/>
  <c r="G24" i="130"/>
  <c r="D24" i="130"/>
  <c r="C24" i="130"/>
  <c r="U23" i="130"/>
  <c r="T23" i="130"/>
  <c r="H23" i="130"/>
  <c r="V23" i="130" s="1"/>
  <c r="G23" i="130"/>
  <c r="D23" i="130"/>
  <c r="C23" i="130"/>
  <c r="AD22" i="130"/>
  <c r="U22" i="130"/>
  <c r="T22" i="130"/>
  <c r="R22" i="130"/>
  <c r="H22" i="130"/>
  <c r="V22" i="130" s="1"/>
  <c r="G22" i="130"/>
  <c r="D22" i="130"/>
  <c r="C22" i="130"/>
  <c r="U21" i="130"/>
  <c r="T21" i="130"/>
  <c r="R21" i="130"/>
  <c r="AD21" i="130" s="1"/>
  <c r="H21" i="130"/>
  <c r="V21" i="130" s="1"/>
  <c r="G21" i="130"/>
  <c r="D21" i="130"/>
  <c r="C21" i="130"/>
  <c r="U20" i="130"/>
  <c r="T20" i="130"/>
  <c r="R20" i="130"/>
  <c r="AD20" i="130" s="1"/>
  <c r="H20" i="130"/>
  <c r="V20" i="130" s="1"/>
  <c r="G20" i="130"/>
  <c r="D20" i="130"/>
  <c r="C20" i="130"/>
  <c r="U19" i="130"/>
  <c r="T19" i="130"/>
  <c r="R19" i="130"/>
  <c r="AD19" i="130" s="1"/>
  <c r="H19" i="130"/>
  <c r="V19" i="130" s="1"/>
  <c r="G19" i="130"/>
  <c r="D19" i="130"/>
  <c r="C19" i="130"/>
  <c r="U18" i="130"/>
  <c r="T18" i="130"/>
  <c r="R18" i="130"/>
  <c r="AD18" i="130" s="1"/>
  <c r="H18" i="130"/>
  <c r="V18" i="130" s="1"/>
  <c r="G18" i="130"/>
  <c r="D18" i="130"/>
  <c r="C18" i="130"/>
  <c r="U17" i="130"/>
  <c r="T17" i="130"/>
  <c r="R17" i="130"/>
  <c r="AD17" i="130" s="1"/>
  <c r="H17" i="130"/>
  <c r="V17" i="130" s="1"/>
  <c r="G17" i="130"/>
  <c r="D17" i="130"/>
  <c r="C17" i="130"/>
  <c r="U16" i="130"/>
  <c r="T16" i="130"/>
  <c r="R16" i="130"/>
  <c r="AD16" i="130" s="1"/>
  <c r="H16" i="130"/>
  <c r="V16" i="130" s="1"/>
  <c r="G16" i="130"/>
  <c r="D16" i="130"/>
  <c r="C16" i="130"/>
  <c r="U15" i="130"/>
  <c r="T15" i="130"/>
  <c r="R15" i="130"/>
  <c r="AD15" i="130" s="1"/>
  <c r="H15" i="130"/>
  <c r="V15" i="130" s="1"/>
  <c r="G15" i="130"/>
  <c r="D15" i="130"/>
  <c r="C15" i="130"/>
  <c r="U14" i="130"/>
  <c r="T14" i="130"/>
  <c r="R14" i="130"/>
  <c r="AD14" i="130" s="1"/>
  <c r="H14" i="130"/>
  <c r="V14" i="130" s="1"/>
  <c r="G14" i="130"/>
  <c r="D14" i="130"/>
  <c r="C14" i="130"/>
  <c r="U13" i="130"/>
  <c r="T13" i="130"/>
  <c r="R13" i="130"/>
  <c r="AD13" i="130" s="1"/>
  <c r="AG11" i="130" s="1"/>
  <c r="AQ11" i="130" s="1"/>
  <c r="H13" i="130"/>
  <c r="V13" i="130" s="1"/>
  <c r="G13" i="130"/>
  <c r="D13" i="130"/>
  <c r="C13" i="130"/>
  <c r="U12" i="130"/>
  <c r="T12" i="130"/>
  <c r="H12" i="130"/>
  <c r="V12" i="130" s="1"/>
  <c r="G12" i="130"/>
  <c r="D12" i="130"/>
  <c r="C12" i="130"/>
  <c r="U11" i="130"/>
  <c r="T11" i="130"/>
  <c r="H11" i="130"/>
  <c r="V11" i="130" s="1"/>
  <c r="G11" i="130"/>
  <c r="D11" i="130"/>
  <c r="C11" i="130"/>
  <c r="U10" i="130"/>
  <c r="T10" i="130"/>
  <c r="H10" i="130"/>
  <c r="V10" i="130" s="1"/>
  <c r="G10" i="130"/>
  <c r="D10" i="130"/>
  <c r="C10" i="130"/>
  <c r="U9" i="130"/>
  <c r="T9" i="130"/>
  <c r="H9" i="130"/>
  <c r="V9" i="130" s="1"/>
  <c r="G9" i="130"/>
  <c r="D9" i="130"/>
  <c r="C9" i="130"/>
  <c r="AC8" i="130"/>
  <c r="AB8" i="130"/>
  <c r="AA8" i="130"/>
  <c r="Z8" i="130"/>
  <c r="Y8" i="130"/>
  <c r="U8" i="130"/>
  <c r="T8" i="130"/>
  <c r="R8" i="130"/>
  <c r="H8" i="130"/>
  <c r="V8" i="130" s="1"/>
  <c r="G8" i="130"/>
  <c r="D8" i="130"/>
  <c r="C8" i="130"/>
  <c r="AG7" i="130"/>
  <c r="U7" i="130"/>
  <c r="T7" i="130"/>
  <c r="H7" i="130"/>
  <c r="V7" i="130" s="1"/>
  <c r="G7" i="130"/>
  <c r="D7" i="130"/>
  <c r="C7" i="130"/>
  <c r="U6" i="130"/>
  <c r="T6" i="130"/>
  <c r="H6" i="130"/>
  <c r="V6" i="130" s="1"/>
  <c r="G6" i="130"/>
  <c r="D6" i="130"/>
  <c r="C6" i="130"/>
  <c r="AK5" i="130"/>
  <c r="AJ5" i="130"/>
  <c r="AB7" i="130" s="1"/>
  <c r="AI5" i="130"/>
  <c r="AC61" i="130" s="1"/>
  <c r="AG3" i="130"/>
  <c r="C2" i="130" a="1"/>
  <c r="C2" i="130" s="1"/>
  <c r="B2" i="130" a="1"/>
  <c r="B2" i="130" s="1"/>
  <c r="C1" i="130"/>
  <c r="B1" i="130"/>
  <c r="U105" i="129"/>
  <c r="T105" i="129"/>
  <c r="H105" i="129"/>
  <c r="V105" i="129" s="1"/>
  <c r="G105" i="129"/>
  <c r="D105" i="129"/>
  <c r="C105" i="129"/>
  <c r="U104" i="129"/>
  <c r="T104" i="129"/>
  <c r="H104" i="129"/>
  <c r="V104" i="129" s="1"/>
  <c r="G104" i="129"/>
  <c r="D104" i="129"/>
  <c r="C104" i="129"/>
  <c r="U103" i="129"/>
  <c r="T103" i="129"/>
  <c r="H103" i="129"/>
  <c r="V103" i="129" s="1"/>
  <c r="G103" i="129"/>
  <c r="D103" i="129"/>
  <c r="C103" i="129"/>
  <c r="U102" i="129"/>
  <c r="T102" i="129"/>
  <c r="H102" i="129"/>
  <c r="V102" i="129" s="1"/>
  <c r="G102" i="129"/>
  <c r="D102" i="129"/>
  <c r="C102" i="129"/>
  <c r="U101" i="129"/>
  <c r="T101" i="129"/>
  <c r="H101" i="129"/>
  <c r="V101" i="129" s="1"/>
  <c r="G101" i="129"/>
  <c r="D101" i="129"/>
  <c r="C101" i="129"/>
  <c r="U100" i="129"/>
  <c r="T100" i="129"/>
  <c r="H100" i="129"/>
  <c r="V100" i="129" s="1"/>
  <c r="G100" i="129"/>
  <c r="D100" i="129"/>
  <c r="C100" i="129"/>
  <c r="U99" i="129"/>
  <c r="T99" i="129"/>
  <c r="H99" i="129"/>
  <c r="V99" i="129" s="1"/>
  <c r="G99" i="129"/>
  <c r="D99" i="129"/>
  <c r="C99" i="129"/>
  <c r="U98" i="129"/>
  <c r="T98" i="129"/>
  <c r="H98" i="129"/>
  <c r="V98" i="129" s="1"/>
  <c r="G98" i="129"/>
  <c r="D98" i="129"/>
  <c r="C98" i="129"/>
  <c r="U97" i="129"/>
  <c r="T97" i="129"/>
  <c r="H97" i="129"/>
  <c r="V97" i="129" s="1"/>
  <c r="G97" i="129"/>
  <c r="D97" i="129"/>
  <c r="C97" i="129"/>
  <c r="U96" i="129"/>
  <c r="T96" i="129"/>
  <c r="H96" i="129"/>
  <c r="V96" i="129" s="1"/>
  <c r="G96" i="129"/>
  <c r="D96" i="129"/>
  <c r="C96" i="129"/>
  <c r="U95" i="129"/>
  <c r="T95" i="129"/>
  <c r="H95" i="129"/>
  <c r="V95" i="129" s="1"/>
  <c r="G95" i="129"/>
  <c r="D95" i="129"/>
  <c r="C95" i="129"/>
  <c r="U94" i="129"/>
  <c r="T94" i="129"/>
  <c r="H94" i="129"/>
  <c r="V94" i="129" s="1"/>
  <c r="G94" i="129"/>
  <c r="D94" i="129"/>
  <c r="C94" i="129"/>
  <c r="U93" i="129"/>
  <c r="T93" i="129"/>
  <c r="H93" i="129"/>
  <c r="V93" i="129" s="1"/>
  <c r="G93" i="129"/>
  <c r="D93" i="129"/>
  <c r="C93" i="129"/>
  <c r="U92" i="129"/>
  <c r="T92" i="129"/>
  <c r="H92" i="129"/>
  <c r="V92" i="129" s="1"/>
  <c r="G92" i="129"/>
  <c r="D92" i="129"/>
  <c r="C92" i="129"/>
  <c r="U91" i="129"/>
  <c r="T91" i="129"/>
  <c r="H91" i="129"/>
  <c r="V91" i="129" s="1"/>
  <c r="G91" i="129"/>
  <c r="D91" i="129"/>
  <c r="C91" i="129"/>
  <c r="U90" i="129"/>
  <c r="T90" i="129"/>
  <c r="H90" i="129"/>
  <c r="V90" i="129" s="1"/>
  <c r="G90" i="129"/>
  <c r="D90" i="129"/>
  <c r="C90" i="129"/>
  <c r="U89" i="129"/>
  <c r="T89" i="129"/>
  <c r="H89" i="129"/>
  <c r="V89" i="129" s="1"/>
  <c r="G89" i="129"/>
  <c r="D89" i="129"/>
  <c r="C89" i="129"/>
  <c r="U88" i="129"/>
  <c r="T88" i="129"/>
  <c r="H88" i="129"/>
  <c r="V88" i="129" s="1"/>
  <c r="G88" i="129"/>
  <c r="D88" i="129"/>
  <c r="C88" i="129"/>
  <c r="U87" i="129"/>
  <c r="T87" i="129"/>
  <c r="H87" i="129"/>
  <c r="V87" i="129" s="1"/>
  <c r="G87" i="129"/>
  <c r="D87" i="129"/>
  <c r="C87" i="129"/>
  <c r="U86" i="129"/>
  <c r="T86" i="129"/>
  <c r="H86" i="129"/>
  <c r="V86" i="129" s="1"/>
  <c r="G86" i="129"/>
  <c r="D86" i="129"/>
  <c r="C86" i="129"/>
  <c r="U85" i="129"/>
  <c r="T85" i="129"/>
  <c r="H85" i="129"/>
  <c r="V85" i="129" s="1"/>
  <c r="G85" i="129"/>
  <c r="D85" i="129"/>
  <c r="C85" i="129"/>
  <c r="U84" i="129"/>
  <c r="T84" i="129"/>
  <c r="H84" i="129"/>
  <c r="V84" i="129" s="1"/>
  <c r="G84" i="129"/>
  <c r="D84" i="129"/>
  <c r="C84" i="129"/>
  <c r="U83" i="129"/>
  <c r="T83" i="129"/>
  <c r="H83" i="129"/>
  <c r="V83" i="129" s="1"/>
  <c r="G83" i="129"/>
  <c r="D83" i="129"/>
  <c r="C83" i="129"/>
  <c r="U82" i="129"/>
  <c r="T82" i="129"/>
  <c r="H82" i="129"/>
  <c r="V82" i="129" s="1"/>
  <c r="G82" i="129"/>
  <c r="D82" i="129"/>
  <c r="C82" i="129"/>
  <c r="U81" i="129"/>
  <c r="T81" i="129"/>
  <c r="H81" i="129"/>
  <c r="V81" i="129" s="1"/>
  <c r="G81" i="129"/>
  <c r="D81" i="129"/>
  <c r="C81" i="129"/>
  <c r="U80" i="129"/>
  <c r="T80" i="129"/>
  <c r="H80" i="129"/>
  <c r="V80" i="129" s="1"/>
  <c r="G80" i="129"/>
  <c r="D80" i="129"/>
  <c r="C80" i="129"/>
  <c r="U79" i="129"/>
  <c r="T79" i="129"/>
  <c r="H79" i="129"/>
  <c r="V79" i="129" s="1"/>
  <c r="G79" i="129"/>
  <c r="D79" i="129"/>
  <c r="C79" i="129"/>
  <c r="U78" i="129"/>
  <c r="T78" i="129"/>
  <c r="H78" i="129"/>
  <c r="V78" i="129" s="1"/>
  <c r="G78" i="129"/>
  <c r="D78" i="129"/>
  <c r="C78" i="129"/>
  <c r="U77" i="129"/>
  <c r="T77" i="129"/>
  <c r="H77" i="129"/>
  <c r="V77" i="129" s="1"/>
  <c r="G77" i="129"/>
  <c r="D77" i="129"/>
  <c r="C77" i="129"/>
  <c r="U76" i="129"/>
  <c r="T76" i="129"/>
  <c r="H76" i="129"/>
  <c r="V76" i="129" s="1"/>
  <c r="G76" i="129"/>
  <c r="D76" i="129"/>
  <c r="C76" i="129"/>
  <c r="U75" i="129"/>
  <c r="T75" i="129"/>
  <c r="H75" i="129"/>
  <c r="V75" i="129" s="1"/>
  <c r="G75" i="129"/>
  <c r="D75" i="129"/>
  <c r="C75" i="129"/>
  <c r="U74" i="129"/>
  <c r="T74" i="129"/>
  <c r="H74" i="129"/>
  <c r="V74" i="129" s="1"/>
  <c r="G74" i="129"/>
  <c r="D74" i="129"/>
  <c r="C74" i="129"/>
  <c r="U73" i="129"/>
  <c r="T73" i="129"/>
  <c r="H73" i="129"/>
  <c r="V73" i="129" s="1"/>
  <c r="G73" i="129"/>
  <c r="D73" i="129"/>
  <c r="C73" i="129"/>
  <c r="U72" i="129"/>
  <c r="T72" i="129"/>
  <c r="H72" i="129"/>
  <c r="V72" i="129" s="1"/>
  <c r="G72" i="129"/>
  <c r="D72" i="129"/>
  <c r="C72" i="129"/>
  <c r="U71" i="129"/>
  <c r="T71" i="129"/>
  <c r="H71" i="129"/>
  <c r="V71" i="129" s="1"/>
  <c r="G71" i="129"/>
  <c r="D71" i="129"/>
  <c r="C71" i="129"/>
  <c r="U70" i="129"/>
  <c r="T70" i="129"/>
  <c r="H70" i="129"/>
  <c r="V70" i="129" s="1"/>
  <c r="G70" i="129"/>
  <c r="D70" i="129"/>
  <c r="C70" i="129"/>
  <c r="U69" i="129"/>
  <c r="T69" i="129"/>
  <c r="H69" i="129"/>
  <c r="V69" i="129" s="1"/>
  <c r="G69" i="129"/>
  <c r="D69" i="129"/>
  <c r="C69" i="129"/>
  <c r="U68" i="129"/>
  <c r="T68" i="129"/>
  <c r="H68" i="129"/>
  <c r="V68" i="129" s="1"/>
  <c r="G68" i="129"/>
  <c r="D68" i="129"/>
  <c r="C68" i="129"/>
  <c r="U67" i="129"/>
  <c r="T67" i="129"/>
  <c r="H67" i="129"/>
  <c r="V67" i="129" s="1"/>
  <c r="G67" i="129"/>
  <c r="D67" i="129"/>
  <c r="C67" i="129"/>
  <c r="U66" i="129"/>
  <c r="T66" i="129"/>
  <c r="H66" i="129"/>
  <c r="V66" i="129" s="1"/>
  <c r="G66" i="129"/>
  <c r="D66" i="129"/>
  <c r="C66" i="129"/>
  <c r="U65" i="129"/>
  <c r="T65" i="129"/>
  <c r="H65" i="129"/>
  <c r="V65" i="129" s="1"/>
  <c r="G65" i="129"/>
  <c r="D65" i="129"/>
  <c r="C65" i="129"/>
  <c r="U64" i="129"/>
  <c r="T64" i="129"/>
  <c r="H64" i="129"/>
  <c r="V64" i="129" s="1"/>
  <c r="G64" i="129"/>
  <c r="D64" i="129"/>
  <c r="C64" i="129"/>
  <c r="U63" i="129"/>
  <c r="T63" i="129"/>
  <c r="R63" i="129"/>
  <c r="H63" i="129"/>
  <c r="V63" i="129" s="1"/>
  <c r="G63" i="129"/>
  <c r="D63" i="129"/>
  <c r="C63" i="129"/>
  <c r="U62" i="129"/>
  <c r="T62" i="129"/>
  <c r="H62" i="129"/>
  <c r="V62" i="129" s="1"/>
  <c r="G62" i="129"/>
  <c r="D62" i="129"/>
  <c r="C62" i="129"/>
  <c r="U61" i="129"/>
  <c r="T61" i="129"/>
  <c r="R61" i="129"/>
  <c r="H61" i="129"/>
  <c r="V61" i="129" s="1"/>
  <c r="G61" i="129"/>
  <c r="D61" i="129"/>
  <c r="C61" i="129"/>
  <c r="U60" i="129"/>
  <c r="T60" i="129"/>
  <c r="H60" i="129"/>
  <c r="V60" i="129" s="1"/>
  <c r="G60" i="129"/>
  <c r="D60" i="129"/>
  <c r="C60" i="129"/>
  <c r="U59" i="129"/>
  <c r="T59" i="129"/>
  <c r="R59" i="129"/>
  <c r="AD59" i="129" s="1"/>
  <c r="H59" i="129"/>
  <c r="V59" i="129" s="1"/>
  <c r="G59" i="129"/>
  <c r="D59" i="129"/>
  <c r="C59" i="129"/>
  <c r="U58" i="129"/>
  <c r="T58" i="129"/>
  <c r="H58" i="129"/>
  <c r="V58" i="129" s="1"/>
  <c r="G58" i="129"/>
  <c r="D58" i="129"/>
  <c r="C58" i="129"/>
  <c r="U57" i="129"/>
  <c r="T57" i="129"/>
  <c r="R57" i="129"/>
  <c r="H57" i="129"/>
  <c r="V57" i="129" s="1"/>
  <c r="G57" i="129"/>
  <c r="D57" i="129"/>
  <c r="C57" i="129"/>
  <c r="U56" i="129"/>
  <c r="T56" i="129"/>
  <c r="H56" i="129"/>
  <c r="V56" i="129" s="1"/>
  <c r="G56" i="129"/>
  <c r="D56" i="129"/>
  <c r="C56" i="129"/>
  <c r="AD55" i="129"/>
  <c r="U55" i="129"/>
  <c r="T55" i="129"/>
  <c r="R55" i="129"/>
  <c r="AD57" i="129" s="1"/>
  <c r="H55" i="129"/>
  <c r="V55" i="129" s="1"/>
  <c r="G55" i="129"/>
  <c r="D55" i="129"/>
  <c r="C55" i="129"/>
  <c r="U54" i="129"/>
  <c r="T54" i="129"/>
  <c r="H54" i="129"/>
  <c r="V54" i="129" s="1"/>
  <c r="G54" i="129"/>
  <c r="D54" i="129"/>
  <c r="C54" i="129"/>
  <c r="U53" i="129"/>
  <c r="T53" i="129"/>
  <c r="H53" i="129"/>
  <c r="V53" i="129" s="1"/>
  <c r="G53" i="129"/>
  <c r="D53" i="129"/>
  <c r="C53" i="129"/>
  <c r="U52" i="129"/>
  <c r="T52" i="129"/>
  <c r="H52" i="129"/>
  <c r="V52" i="129" s="1"/>
  <c r="G52" i="129"/>
  <c r="D52" i="129"/>
  <c r="C52" i="129"/>
  <c r="U51" i="129"/>
  <c r="T51" i="129"/>
  <c r="H51" i="129"/>
  <c r="V51" i="129" s="1"/>
  <c r="G51" i="129"/>
  <c r="D51" i="129"/>
  <c r="C51" i="129"/>
  <c r="AC50" i="129"/>
  <c r="AB50" i="129"/>
  <c r="AA50" i="129"/>
  <c r="Z50" i="129"/>
  <c r="Y50" i="129"/>
  <c r="U50" i="129"/>
  <c r="T50" i="129"/>
  <c r="H50" i="129"/>
  <c r="V50" i="129" s="1"/>
  <c r="G50" i="129"/>
  <c r="D50" i="129"/>
  <c r="C50" i="129"/>
  <c r="AC49" i="129"/>
  <c r="AB49" i="129"/>
  <c r="AA49" i="129"/>
  <c r="Z49" i="129"/>
  <c r="Y49" i="129"/>
  <c r="U49" i="129"/>
  <c r="T49" i="129"/>
  <c r="R49" i="129"/>
  <c r="H49" i="129"/>
  <c r="V49" i="129" s="1"/>
  <c r="G49" i="129"/>
  <c r="D49" i="129"/>
  <c r="C49" i="129"/>
  <c r="U48" i="129"/>
  <c r="T48" i="129"/>
  <c r="H48" i="129"/>
  <c r="V48" i="129" s="1"/>
  <c r="G48" i="129"/>
  <c r="D48" i="129"/>
  <c r="C48" i="129"/>
  <c r="U47" i="129"/>
  <c r="T47" i="129"/>
  <c r="R47" i="129"/>
  <c r="S47" i="129" s="1"/>
  <c r="H47" i="129"/>
  <c r="V47" i="129" s="1"/>
  <c r="G47" i="129"/>
  <c r="D47" i="129"/>
  <c r="C47" i="129"/>
  <c r="AD46" i="129"/>
  <c r="U46" i="129"/>
  <c r="T46" i="129"/>
  <c r="H46" i="129"/>
  <c r="V46" i="129" s="1"/>
  <c r="G46" i="129"/>
  <c r="D46" i="129"/>
  <c r="C46" i="129"/>
  <c r="AC45" i="129"/>
  <c r="AB45" i="129"/>
  <c r="AA45" i="129"/>
  <c r="Z45" i="129"/>
  <c r="Y45" i="129"/>
  <c r="U45" i="129"/>
  <c r="T45" i="129"/>
  <c r="H45" i="129"/>
  <c r="V45" i="129" s="1"/>
  <c r="G45" i="129"/>
  <c r="D45" i="129"/>
  <c r="C45" i="129"/>
  <c r="AC44" i="129"/>
  <c r="AB44" i="129"/>
  <c r="AA44" i="129"/>
  <c r="Z44" i="129"/>
  <c r="Y44" i="129"/>
  <c r="U44" i="129"/>
  <c r="T44" i="129"/>
  <c r="R44" i="129"/>
  <c r="H44" i="129"/>
  <c r="V44" i="129" s="1"/>
  <c r="G44" i="129"/>
  <c r="D44" i="129"/>
  <c r="C44" i="129"/>
  <c r="U43" i="129"/>
  <c r="T43" i="129"/>
  <c r="H43" i="129"/>
  <c r="V43" i="129" s="1"/>
  <c r="G43" i="129"/>
  <c r="D43" i="129"/>
  <c r="C43" i="129"/>
  <c r="U42" i="129"/>
  <c r="T42" i="129"/>
  <c r="R42" i="129"/>
  <c r="AD41" i="129" s="1"/>
  <c r="H42" i="129"/>
  <c r="V42" i="129" s="1"/>
  <c r="G42" i="129"/>
  <c r="D42" i="129"/>
  <c r="C42" i="129"/>
  <c r="U41" i="129"/>
  <c r="T41" i="129"/>
  <c r="H41" i="129"/>
  <c r="V41" i="129" s="1"/>
  <c r="G41" i="129"/>
  <c r="D41" i="129"/>
  <c r="C41" i="129"/>
  <c r="AC40" i="129"/>
  <c r="AB40" i="129"/>
  <c r="AA40" i="129"/>
  <c r="Z40" i="129"/>
  <c r="Y40" i="129"/>
  <c r="U40" i="129"/>
  <c r="T40" i="129"/>
  <c r="H40" i="129"/>
  <c r="V40" i="129" s="1"/>
  <c r="G40" i="129"/>
  <c r="D40" i="129"/>
  <c r="C40" i="129"/>
  <c r="AC39" i="129"/>
  <c r="AB39" i="129"/>
  <c r="AA39" i="129"/>
  <c r="Z39" i="129"/>
  <c r="Y39" i="129"/>
  <c r="U39" i="129"/>
  <c r="T39" i="129"/>
  <c r="R39" i="129"/>
  <c r="H39" i="129"/>
  <c r="V39" i="129" s="1"/>
  <c r="G39" i="129"/>
  <c r="D39" i="129"/>
  <c r="C39" i="129"/>
  <c r="U38" i="129"/>
  <c r="T38" i="129"/>
  <c r="H38" i="129"/>
  <c r="V38" i="129" s="1"/>
  <c r="G38" i="129"/>
  <c r="D38" i="129"/>
  <c r="C38" i="129"/>
  <c r="U37" i="129"/>
  <c r="T37" i="129"/>
  <c r="S37" i="129"/>
  <c r="R37" i="129"/>
  <c r="AD36" i="129" s="1"/>
  <c r="H37" i="129"/>
  <c r="V37" i="129" s="1"/>
  <c r="G37" i="129"/>
  <c r="D37" i="129"/>
  <c r="C37" i="129"/>
  <c r="U36" i="129"/>
  <c r="T36" i="129"/>
  <c r="H36" i="129"/>
  <c r="V36" i="129" s="1"/>
  <c r="G36" i="129"/>
  <c r="D36" i="129"/>
  <c r="C36" i="129"/>
  <c r="AC35" i="129"/>
  <c r="AB35" i="129"/>
  <c r="AA35" i="129"/>
  <c r="Z35" i="129"/>
  <c r="Y35" i="129"/>
  <c r="U35" i="129"/>
  <c r="T35" i="129"/>
  <c r="H35" i="129"/>
  <c r="V35" i="129" s="1"/>
  <c r="G35" i="129"/>
  <c r="D35" i="129"/>
  <c r="C35" i="129"/>
  <c r="AC34" i="129"/>
  <c r="AB34" i="129"/>
  <c r="AA34" i="129"/>
  <c r="Z34" i="129"/>
  <c r="Y34" i="129"/>
  <c r="U34" i="129"/>
  <c r="T34" i="129"/>
  <c r="R34" i="129"/>
  <c r="H34" i="129"/>
  <c r="V34" i="129" s="1"/>
  <c r="G34" i="129"/>
  <c r="D34" i="129"/>
  <c r="C34" i="129"/>
  <c r="U33" i="129"/>
  <c r="T33" i="129"/>
  <c r="H33" i="129"/>
  <c r="V33" i="129" s="1"/>
  <c r="G33" i="129"/>
  <c r="D33" i="129"/>
  <c r="C33" i="129"/>
  <c r="U32" i="129"/>
  <c r="T32" i="129"/>
  <c r="S32" i="129"/>
  <c r="R32" i="129"/>
  <c r="AD31" i="129" s="1"/>
  <c r="H32" i="129"/>
  <c r="V32" i="129" s="1"/>
  <c r="G32" i="129"/>
  <c r="D32" i="129"/>
  <c r="C32" i="129"/>
  <c r="U31" i="129"/>
  <c r="T31" i="129"/>
  <c r="H31" i="129"/>
  <c r="V31" i="129" s="1"/>
  <c r="G31" i="129"/>
  <c r="D31" i="129"/>
  <c r="C31" i="129"/>
  <c r="AC30" i="129"/>
  <c r="AB30" i="129"/>
  <c r="AA30" i="129"/>
  <c r="Z30" i="129"/>
  <c r="Y30" i="129"/>
  <c r="U30" i="129"/>
  <c r="T30" i="129"/>
  <c r="H30" i="129"/>
  <c r="V30" i="129" s="1"/>
  <c r="G30" i="129"/>
  <c r="D30" i="129"/>
  <c r="C30" i="129"/>
  <c r="AC29" i="129"/>
  <c r="AB29" i="129"/>
  <c r="AA29" i="129"/>
  <c r="Z29" i="129"/>
  <c r="Y29" i="129"/>
  <c r="U29" i="129"/>
  <c r="T29" i="129"/>
  <c r="R29" i="129"/>
  <c r="H29" i="129"/>
  <c r="V29" i="129" s="1"/>
  <c r="G29" i="129"/>
  <c r="D29" i="129"/>
  <c r="C29" i="129"/>
  <c r="U28" i="129"/>
  <c r="T28" i="129"/>
  <c r="H28" i="129"/>
  <c r="V28" i="129" s="1"/>
  <c r="G28" i="129"/>
  <c r="D28" i="129"/>
  <c r="C28" i="129"/>
  <c r="U27" i="129"/>
  <c r="T27" i="129"/>
  <c r="R27" i="129"/>
  <c r="S27" i="129" s="1"/>
  <c r="H27" i="129"/>
  <c r="V27" i="129" s="1"/>
  <c r="G27" i="129"/>
  <c r="D27" i="129"/>
  <c r="C27" i="129"/>
  <c r="U26" i="129"/>
  <c r="T26" i="129"/>
  <c r="H26" i="129"/>
  <c r="V26" i="129" s="1"/>
  <c r="G26" i="129"/>
  <c r="D26" i="129"/>
  <c r="C26" i="129"/>
  <c r="U25" i="129"/>
  <c r="T25" i="129"/>
  <c r="H25" i="129"/>
  <c r="V25" i="129" s="1"/>
  <c r="G25" i="129"/>
  <c r="D25" i="129"/>
  <c r="C25" i="129"/>
  <c r="U24" i="129"/>
  <c r="T24" i="129"/>
  <c r="H24" i="129"/>
  <c r="V24" i="129" s="1"/>
  <c r="G24" i="129"/>
  <c r="D24" i="129"/>
  <c r="C24" i="129"/>
  <c r="U23" i="129"/>
  <c r="T23" i="129"/>
  <c r="H23" i="129"/>
  <c r="V23" i="129" s="1"/>
  <c r="G23" i="129"/>
  <c r="D23" i="129"/>
  <c r="C23" i="129"/>
  <c r="U22" i="129"/>
  <c r="T22" i="129"/>
  <c r="R22" i="129"/>
  <c r="H22" i="129"/>
  <c r="V22" i="129" s="1"/>
  <c r="G22" i="129"/>
  <c r="D22" i="129"/>
  <c r="C22" i="129"/>
  <c r="U21" i="129"/>
  <c r="T21" i="129"/>
  <c r="R21" i="129"/>
  <c r="H21" i="129"/>
  <c r="V21" i="129" s="1"/>
  <c r="G21" i="129"/>
  <c r="D21" i="129"/>
  <c r="C21" i="129"/>
  <c r="U20" i="129"/>
  <c r="T20" i="129"/>
  <c r="R20" i="129"/>
  <c r="AD20" i="129" s="1"/>
  <c r="H20" i="129"/>
  <c r="V20" i="129" s="1"/>
  <c r="G20" i="129"/>
  <c r="D20" i="129"/>
  <c r="C20" i="129"/>
  <c r="U19" i="129"/>
  <c r="T19" i="129"/>
  <c r="R19" i="129"/>
  <c r="AD19" i="129" s="1"/>
  <c r="H19" i="129"/>
  <c r="V19" i="129" s="1"/>
  <c r="G19" i="129"/>
  <c r="D19" i="129"/>
  <c r="C19" i="129"/>
  <c r="U18" i="129"/>
  <c r="T18" i="129"/>
  <c r="R18" i="129"/>
  <c r="AD18" i="129" s="1"/>
  <c r="H18" i="129"/>
  <c r="V18" i="129" s="1"/>
  <c r="G18" i="129"/>
  <c r="D18" i="129"/>
  <c r="C18" i="129"/>
  <c r="U17" i="129"/>
  <c r="T17" i="129"/>
  <c r="R17" i="129"/>
  <c r="AD17" i="129" s="1"/>
  <c r="H17" i="129"/>
  <c r="V17" i="129" s="1"/>
  <c r="G17" i="129"/>
  <c r="D17" i="129"/>
  <c r="C17" i="129"/>
  <c r="U16" i="129"/>
  <c r="T16" i="129"/>
  <c r="R16" i="129"/>
  <c r="AD16" i="129" s="1"/>
  <c r="H16" i="129"/>
  <c r="V16" i="129" s="1"/>
  <c r="G16" i="129"/>
  <c r="D16" i="129"/>
  <c r="C16" i="129"/>
  <c r="U15" i="129"/>
  <c r="T15" i="129"/>
  <c r="R15" i="129"/>
  <c r="AD15" i="129" s="1"/>
  <c r="H15" i="129"/>
  <c r="V15" i="129" s="1"/>
  <c r="G15" i="129"/>
  <c r="D15" i="129"/>
  <c r="C15" i="129"/>
  <c r="U14" i="129"/>
  <c r="T14" i="129"/>
  <c r="R14" i="129"/>
  <c r="AD14" i="129" s="1"/>
  <c r="H14" i="129"/>
  <c r="V14" i="129" s="1"/>
  <c r="G14" i="129"/>
  <c r="D14" i="129"/>
  <c r="C14" i="129"/>
  <c r="U13" i="129"/>
  <c r="T13" i="129"/>
  <c r="R13" i="129"/>
  <c r="AD22" i="129" s="1"/>
  <c r="H13" i="129"/>
  <c r="V13" i="129" s="1"/>
  <c r="G13" i="129"/>
  <c r="D13" i="129"/>
  <c r="C13" i="129"/>
  <c r="U12" i="129"/>
  <c r="T12" i="129"/>
  <c r="H12" i="129"/>
  <c r="V12" i="129" s="1"/>
  <c r="G12" i="129"/>
  <c r="D12" i="129"/>
  <c r="C12" i="129"/>
  <c r="U11" i="129"/>
  <c r="T11" i="129"/>
  <c r="H11" i="129"/>
  <c r="V11" i="129" s="1"/>
  <c r="G11" i="129"/>
  <c r="D11" i="129"/>
  <c r="C11" i="129"/>
  <c r="U10" i="129"/>
  <c r="T10" i="129"/>
  <c r="H10" i="129"/>
  <c r="V10" i="129" s="1"/>
  <c r="G10" i="129"/>
  <c r="D10" i="129"/>
  <c r="C10" i="129"/>
  <c r="U9" i="129"/>
  <c r="T9" i="129"/>
  <c r="H9" i="129"/>
  <c r="V9" i="129" s="1"/>
  <c r="G9" i="129"/>
  <c r="D9" i="129"/>
  <c r="C9" i="129"/>
  <c r="AC8" i="129"/>
  <c r="AB8" i="129"/>
  <c r="AA8" i="129"/>
  <c r="Z8" i="129"/>
  <c r="AG9" i="129" s="1"/>
  <c r="AQ9" i="129" s="1"/>
  <c r="Y8" i="129"/>
  <c r="U8" i="129"/>
  <c r="T8" i="129"/>
  <c r="R8" i="129"/>
  <c r="H8" i="129"/>
  <c r="V8" i="129" s="1"/>
  <c r="G8" i="129"/>
  <c r="D8" i="129"/>
  <c r="C8" i="129"/>
  <c r="AG7" i="129"/>
  <c r="U7" i="129"/>
  <c r="T7" i="129"/>
  <c r="H7" i="129"/>
  <c r="V7" i="129" s="1"/>
  <c r="G7" i="129"/>
  <c r="D7" i="129"/>
  <c r="C7" i="129"/>
  <c r="U6" i="129"/>
  <c r="T6" i="129"/>
  <c r="H6" i="129"/>
  <c r="V6" i="129" s="1"/>
  <c r="G6" i="129"/>
  <c r="D6" i="129"/>
  <c r="C6" i="129"/>
  <c r="AK5" i="129"/>
  <c r="AJ5" i="129"/>
  <c r="Z7" i="129" s="1"/>
  <c r="AI5" i="129"/>
  <c r="AC61" i="129" s="1"/>
  <c r="AG3" i="129"/>
  <c r="C2" i="129" a="1"/>
  <c r="C2" i="129" s="1"/>
  <c r="B2" i="129" a="1"/>
  <c r="B2" i="129" s="1"/>
  <c r="C1" i="129"/>
  <c r="B1" i="129"/>
  <c r="U105" i="128"/>
  <c r="T105" i="128"/>
  <c r="H105" i="128"/>
  <c r="V105" i="128" s="1"/>
  <c r="G105" i="128"/>
  <c r="D105" i="128"/>
  <c r="C105" i="128"/>
  <c r="U104" i="128"/>
  <c r="T104" i="128"/>
  <c r="H104" i="128"/>
  <c r="V104" i="128" s="1"/>
  <c r="G104" i="128"/>
  <c r="D104" i="128"/>
  <c r="C104" i="128"/>
  <c r="U103" i="128"/>
  <c r="T103" i="128"/>
  <c r="H103" i="128"/>
  <c r="V103" i="128" s="1"/>
  <c r="G103" i="128"/>
  <c r="D103" i="128"/>
  <c r="C103" i="128"/>
  <c r="U102" i="128"/>
  <c r="T102" i="128"/>
  <c r="H102" i="128"/>
  <c r="V102" i="128" s="1"/>
  <c r="G102" i="128"/>
  <c r="D102" i="128"/>
  <c r="C102" i="128"/>
  <c r="U101" i="128"/>
  <c r="T101" i="128"/>
  <c r="H101" i="128"/>
  <c r="V101" i="128" s="1"/>
  <c r="G101" i="128"/>
  <c r="D101" i="128"/>
  <c r="C101" i="128"/>
  <c r="U100" i="128"/>
  <c r="T100" i="128"/>
  <c r="H100" i="128"/>
  <c r="V100" i="128" s="1"/>
  <c r="G100" i="128"/>
  <c r="D100" i="128"/>
  <c r="C100" i="128"/>
  <c r="U99" i="128"/>
  <c r="T99" i="128"/>
  <c r="H99" i="128"/>
  <c r="V99" i="128" s="1"/>
  <c r="G99" i="128"/>
  <c r="D99" i="128"/>
  <c r="C99" i="128"/>
  <c r="U98" i="128"/>
  <c r="T98" i="128"/>
  <c r="H98" i="128"/>
  <c r="V98" i="128" s="1"/>
  <c r="G98" i="128"/>
  <c r="D98" i="128"/>
  <c r="C98" i="128"/>
  <c r="U97" i="128"/>
  <c r="T97" i="128"/>
  <c r="H97" i="128"/>
  <c r="V97" i="128" s="1"/>
  <c r="G97" i="128"/>
  <c r="D97" i="128"/>
  <c r="C97" i="128"/>
  <c r="U96" i="128"/>
  <c r="T96" i="128"/>
  <c r="H96" i="128"/>
  <c r="V96" i="128" s="1"/>
  <c r="G96" i="128"/>
  <c r="D96" i="128"/>
  <c r="C96" i="128"/>
  <c r="U95" i="128"/>
  <c r="T95" i="128"/>
  <c r="H95" i="128"/>
  <c r="V95" i="128" s="1"/>
  <c r="G95" i="128"/>
  <c r="D95" i="128"/>
  <c r="C95" i="128"/>
  <c r="U94" i="128"/>
  <c r="T94" i="128"/>
  <c r="H94" i="128"/>
  <c r="V94" i="128" s="1"/>
  <c r="G94" i="128"/>
  <c r="D94" i="128"/>
  <c r="C94" i="128"/>
  <c r="U93" i="128"/>
  <c r="T93" i="128"/>
  <c r="H93" i="128"/>
  <c r="V93" i="128" s="1"/>
  <c r="G93" i="128"/>
  <c r="D93" i="128"/>
  <c r="C93" i="128"/>
  <c r="U92" i="128"/>
  <c r="T92" i="128"/>
  <c r="H92" i="128"/>
  <c r="V92" i="128" s="1"/>
  <c r="G92" i="128"/>
  <c r="D92" i="128"/>
  <c r="C92" i="128"/>
  <c r="U91" i="128"/>
  <c r="T91" i="128"/>
  <c r="H91" i="128"/>
  <c r="V91" i="128" s="1"/>
  <c r="G91" i="128"/>
  <c r="D91" i="128"/>
  <c r="C91" i="128"/>
  <c r="U90" i="128"/>
  <c r="T90" i="128"/>
  <c r="H90" i="128"/>
  <c r="V90" i="128" s="1"/>
  <c r="G90" i="128"/>
  <c r="D90" i="128"/>
  <c r="C90" i="128"/>
  <c r="U89" i="128"/>
  <c r="T89" i="128"/>
  <c r="H89" i="128"/>
  <c r="V89" i="128" s="1"/>
  <c r="G89" i="128"/>
  <c r="D89" i="128"/>
  <c r="C89" i="128"/>
  <c r="U88" i="128"/>
  <c r="T88" i="128"/>
  <c r="H88" i="128"/>
  <c r="V88" i="128" s="1"/>
  <c r="G88" i="128"/>
  <c r="D88" i="128"/>
  <c r="C88" i="128"/>
  <c r="U87" i="128"/>
  <c r="T87" i="128"/>
  <c r="H87" i="128"/>
  <c r="V87" i="128" s="1"/>
  <c r="G87" i="128"/>
  <c r="D87" i="128"/>
  <c r="C87" i="128"/>
  <c r="U86" i="128"/>
  <c r="T86" i="128"/>
  <c r="H86" i="128"/>
  <c r="V86" i="128" s="1"/>
  <c r="G86" i="128"/>
  <c r="D86" i="128"/>
  <c r="C86" i="128"/>
  <c r="U85" i="128"/>
  <c r="T85" i="128"/>
  <c r="H85" i="128"/>
  <c r="V85" i="128" s="1"/>
  <c r="G85" i="128"/>
  <c r="D85" i="128"/>
  <c r="C85" i="128"/>
  <c r="U84" i="128"/>
  <c r="T84" i="128"/>
  <c r="H84" i="128"/>
  <c r="V84" i="128" s="1"/>
  <c r="G84" i="128"/>
  <c r="D84" i="128"/>
  <c r="C84" i="128"/>
  <c r="U83" i="128"/>
  <c r="T83" i="128"/>
  <c r="H83" i="128"/>
  <c r="V83" i="128" s="1"/>
  <c r="G83" i="128"/>
  <c r="D83" i="128"/>
  <c r="C83" i="128"/>
  <c r="U82" i="128"/>
  <c r="T82" i="128"/>
  <c r="H82" i="128"/>
  <c r="V82" i="128" s="1"/>
  <c r="G82" i="128"/>
  <c r="D82" i="128"/>
  <c r="C82" i="128"/>
  <c r="U81" i="128"/>
  <c r="T81" i="128"/>
  <c r="H81" i="128"/>
  <c r="V81" i="128" s="1"/>
  <c r="G81" i="128"/>
  <c r="D81" i="128"/>
  <c r="C81" i="128"/>
  <c r="U80" i="128"/>
  <c r="T80" i="128"/>
  <c r="H80" i="128"/>
  <c r="V80" i="128" s="1"/>
  <c r="G80" i="128"/>
  <c r="D80" i="128"/>
  <c r="C80" i="128"/>
  <c r="U79" i="128"/>
  <c r="T79" i="128"/>
  <c r="H79" i="128"/>
  <c r="V79" i="128" s="1"/>
  <c r="G79" i="128"/>
  <c r="D79" i="128"/>
  <c r="C79" i="128"/>
  <c r="U78" i="128"/>
  <c r="T78" i="128"/>
  <c r="H78" i="128"/>
  <c r="V78" i="128" s="1"/>
  <c r="G78" i="128"/>
  <c r="D78" i="128"/>
  <c r="C78" i="128"/>
  <c r="U77" i="128"/>
  <c r="T77" i="128"/>
  <c r="H77" i="128"/>
  <c r="V77" i="128" s="1"/>
  <c r="G77" i="128"/>
  <c r="D77" i="128"/>
  <c r="C77" i="128"/>
  <c r="U76" i="128"/>
  <c r="T76" i="128"/>
  <c r="H76" i="128"/>
  <c r="V76" i="128" s="1"/>
  <c r="G76" i="128"/>
  <c r="D76" i="128"/>
  <c r="C76" i="128"/>
  <c r="U75" i="128"/>
  <c r="T75" i="128"/>
  <c r="H75" i="128"/>
  <c r="V75" i="128" s="1"/>
  <c r="G75" i="128"/>
  <c r="D75" i="128"/>
  <c r="C75" i="128"/>
  <c r="U74" i="128"/>
  <c r="T74" i="128"/>
  <c r="H74" i="128"/>
  <c r="V74" i="128" s="1"/>
  <c r="G74" i="128"/>
  <c r="D74" i="128"/>
  <c r="C74" i="128"/>
  <c r="U73" i="128"/>
  <c r="T73" i="128"/>
  <c r="H73" i="128"/>
  <c r="V73" i="128" s="1"/>
  <c r="G73" i="128"/>
  <c r="D73" i="128"/>
  <c r="C73" i="128"/>
  <c r="U72" i="128"/>
  <c r="T72" i="128"/>
  <c r="H72" i="128"/>
  <c r="V72" i="128" s="1"/>
  <c r="G72" i="128"/>
  <c r="D72" i="128"/>
  <c r="C72" i="128"/>
  <c r="U71" i="128"/>
  <c r="T71" i="128"/>
  <c r="H71" i="128"/>
  <c r="V71" i="128" s="1"/>
  <c r="G71" i="128"/>
  <c r="D71" i="128"/>
  <c r="C71" i="128"/>
  <c r="U70" i="128"/>
  <c r="T70" i="128"/>
  <c r="H70" i="128"/>
  <c r="V70" i="128" s="1"/>
  <c r="G70" i="128"/>
  <c r="D70" i="128"/>
  <c r="C70" i="128"/>
  <c r="U69" i="128"/>
  <c r="T69" i="128"/>
  <c r="H69" i="128"/>
  <c r="V69" i="128" s="1"/>
  <c r="G69" i="128"/>
  <c r="D69" i="128"/>
  <c r="C69" i="128"/>
  <c r="U68" i="128"/>
  <c r="T68" i="128"/>
  <c r="H68" i="128"/>
  <c r="V68" i="128" s="1"/>
  <c r="G68" i="128"/>
  <c r="D68" i="128"/>
  <c r="C68" i="128"/>
  <c r="U67" i="128"/>
  <c r="T67" i="128"/>
  <c r="H67" i="128"/>
  <c r="V67" i="128" s="1"/>
  <c r="G67" i="128"/>
  <c r="D67" i="128"/>
  <c r="C67" i="128"/>
  <c r="U66" i="128"/>
  <c r="T66" i="128"/>
  <c r="H66" i="128"/>
  <c r="V66" i="128" s="1"/>
  <c r="G66" i="128"/>
  <c r="D66" i="128"/>
  <c r="C66" i="128"/>
  <c r="U65" i="128"/>
  <c r="T65" i="128"/>
  <c r="H65" i="128"/>
  <c r="V65" i="128" s="1"/>
  <c r="G65" i="128"/>
  <c r="D65" i="128"/>
  <c r="C65" i="128"/>
  <c r="U64" i="128"/>
  <c r="T64" i="128"/>
  <c r="H64" i="128"/>
  <c r="V64" i="128" s="1"/>
  <c r="G64" i="128"/>
  <c r="D64" i="128"/>
  <c r="C64" i="128"/>
  <c r="U63" i="128"/>
  <c r="T63" i="128"/>
  <c r="R63" i="128"/>
  <c r="H63" i="128"/>
  <c r="V63" i="128" s="1"/>
  <c r="G63" i="128"/>
  <c r="D63" i="128"/>
  <c r="C63" i="128"/>
  <c r="U62" i="128"/>
  <c r="T62" i="128"/>
  <c r="H62" i="128"/>
  <c r="V62" i="128" s="1"/>
  <c r="G62" i="128"/>
  <c r="D62" i="128"/>
  <c r="C62" i="128"/>
  <c r="U61" i="128"/>
  <c r="T61" i="128"/>
  <c r="R61" i="128"/>
  <c r="H61" i="128"/>
  <c r="V61" i="128" s="1"/>
  <c r="G61" i="128"/>
  <c r="D61" i="128"/>
  <c r="C61" i="128"/>
  <c r="U60" i="128"/>
  <c r="T60" i="128"/>
  <c r="H60" i="128"/>
  <c r="V60" i="128" s="1"/>
  <c r="G60" i="128"/>
  <c r="D60" i="128"/>
  <c r="C60" i="128"/>
  <c r="U59" i="128"/>
  <c r="T59" i="128"/>
  <c r="R59" i="128"/>
  <c r="H59" i="128"/>
  <c r="V59" i="128" s="1"/>
  <c r="G59" i="128"/>
  <c r="D59" i="128"/>
  <c r="C59" i="128"/>
  <c r="U58" i="128"/>
  <c r="T58" i="128"/>
  <c r="H58" i="128"/>
  <c r="V58" i="128" s="1"/>
  <c r="G58" i="128"/>
  <c r="D58" i="128"/>
  <c r="C58" i="128"/>
  <c r="U57" i="128"/>
  <c r="T57" i="128"/>
  <c r="R57" i="128"/>
  <c r="AD57" i="128" s="1"/>
  <c r="H57" i="128"/>
  <c r="V57" i="128" s="1"/>
  <c r="G57" i="128"/>
  <c r="D57" i="128"/>
  <c r="C57" i="128"/>
  <c r="U56" i="128"/>
  <c r="T56" i="128"/>
  <c r="H56" i="128"/>
  <c r="V56" i="128" s="1"/>
  <c r="G56" i="128"/>
  <c r="D56" i="128"/>
  <c r="C56" i="128"/>
  <c r="U55" i="128"/>
  <c r="T55" i="128"/>
  <c r="R55" i="128"/>
  <c r="AD61" i="128" s="1"/>
  <c r="H55" i="128"/>
  <c r="V55" i="128" s="1"/>
  <c r="G55" i="128"/>
  <c r="D55" i="128"/>
  <c r="C55" i="128"/>
  <c r="U54" i="128"/>
  <c r="T54" i="128"/>
  <c r="H54" i="128"/>
  <c r="V54" i="128" s="1"/>
  <c r="G54" i="128"/>
  <c r="D54" i="128"/>
  <c r="C54" i="128"/>
  <c r="U53" i="128"/>
  <c r="T53" i="128"/>
  <c r="H53" i="128"/>
  <c r="V53" i="128" s="1"/>
  <c r="G53" i="128"/>
  <c r="D53" i="128"/>
  <c r="C53" i="128"/>
  <c r="U52" i="128"/>
  <c r="T52" i="128"/>
  <c r="H52" i="128"/>
  <c r="V52" i="128" s="1"/>
  <c r="G52" i="128"/>
  <c r="D52" i="128"/>
  <c r="C52" i="128"/>
  <c r="U51" i="128"/>
  <c r="T51" i="128"/>
  <c r="H51" i="128"/>
  <c r="V51" i="128" s="1"/>
  <c r="G51" i="128"/>
  <c r="D51" i="128"/>
  <c r="C51" i="128"/>
  <c r="AC50" i="128"/>
  <c r="AB50" i="128"/>
  <c r="AA50" i="128"/>
  <c r="Z50" i="128"/>
  <c r="Y50" i="128"/>
  <c r="U50" i="128"/>
  <c r="T50" i="128"/>
  <c r="H50" i="128"/>
  <c r="V50" i="128" s="1"/>
  <c r="G50" i="128"/>
  <c r="D50" i="128"/>
  <c r="C50" i="128"/>
  <c r="AC49" i="128"/>
  <c r="AB49" i="128"/>
  <c r="AA49" i="128"/>
  <c r="Z49" i="128"/>
  <c r="Y49" i="128"/>
  <c r="U49" i="128"/>
  <c r="T49" i="128"/>
  <c r="R49" i="128"/>
  <c r="H49" i="128"/>
  <c r="V49" i="128" s="1"/>
  <c r="G49" i="128"/>
  <c r="D49" i="128"/>
  <c r="C49" i="128"/>
  <c r="U48" i="128"/>
  <c r="T48" i="128"/>
  <c r="H48" i="128"/>
  <c r="V48" i="128" s="1"/>
  <c r="G48" i="128"/>
  <c r="D48" i="128"/>
  <c r="C48" i="128"/>
  <c r="U47" i="128"/>
  <c r="T47" i="128"/>
  <c r="R47" i="128"/>
  <c r="S47" i="128" s="1"/>
  <c r="H47" i="128"/>
  <c r="V47" i="128" s="1"/>
  <c r="G47" i="128"/>
  <c r="D47" i="128"/>
  <c r="C47" i="128"/>
  <c r="AD46" i="128"/>
  <c r="U46" i="128"/>
  <c r="T46" i="128"/>
  <c r="H46" i="128"/>
  <c r="V46" i="128" s="1"/>
  <c r="G46" i="128"/>
  <c r="D46" i="128"/>
  <c r="C46" i="128"/>
  <c r="AC45" i="128"/>
  <c r="AB45" i="128"/>
  <c r="AA45" i="128"/>
  <c r="Z45" i="128"/>
  <c r="Y45" i="128"/>
  <c r="U45" i="128"/>
  <c r="T45" i="128"/>
  <c r="H45" i="128"/>
  <c r="V45" i="128" s="1"/>
  <c r="G45" i="128"/>
  <c r="D45" i="128"/>
  <c r="C45" i="128"/>
  <c r="AC44" i="128"/>
  <c r="AB44" i="128"/>
  <c r="AA44" i="128"/>
  <c r="Z44" i="128"/>
  <c r="Y44" i="128"/>
  <c r="U44" i="128"/>
  <c r="T44" i="128"/>
  <c r="R44" i="128"/>
  <c r="H44" i="128"/>
  <c r="V44" i="128" s="1"/>
  <c r="G44" i="128"/>
  <c r="D44" i="128"/>
  <c r="C44" i="128"/>
  <c r="U43" i="128"/>
  <c r="T43" i="128"/>
  <c r="H43" i="128"/>
  <c r="V43" i="128" s="1"/>
  <c r="G43" i="128"/>
  <c r="D43" i="128"/>
  <c r="C43" i="128"/>
  <c r="U42" i="128"/>
  <c r="T42" i="128"/>
  <c r="S42" i="128"/>
  <c r="AD42" i="128" s="1"/>
  <c r="R42" i="128"/>
  <c r="H42" i="128"/>
  <c r="V42" i="128" s="1"/>
  <c r="G42" i="128"/>
  <c r="D42" i="128"/>
  <c r="C42" i="128"/>
  <c r="AD41" i="128"/>
  <c r="U41" i="128"/>
  <c r="T41" i="128"/>
  <c r="H41" i="128"/>
  <c r="V41" i="128" s="1"/>
  <c r="G41" i="128"/>
  <c r="D41" i="128"/>
  <c r="C41" i="128"/>
  <c r="AC40" i="128"/>
  <c r="AB40" i="128"/>
  <c r="AA40" i="128"/>
  <c r="Z40" i="128"/>
  <c r="Y40" i="128"/>
  <c r="U40" i="128"/>
  <c r="T40" i="128"/>
  <c r="H40" i="128"/>
  <c r="V40" i="128" s="1"/>
  <c r="G40" i="128"/>
  <c r="D40" i="128"/>
  <c r="C40" i="128"/>
  <c r="AC39" i="128"/>
  <c r="AB39" i="128"/>
  <c r="AA39" i="128"/>
  <c r="Z39" i="128"/>
  <c r="Y39" i="128"/>
  <c r="U39" i="128"/>
  <c r="T39" i="128"/>
  <c r="R39" i="128"/>
  <c r="H39" i="128"/>
  <c r="V39" i="128" s="1"/>
  <c r="G39" i="128"/>
  <c r="D39" i="128"/>
  <c r="C39" i="128"/>
  <c r="U38" i="128"/>
  <c r="T38" i="128"/>
  <c r="H38" i="128"/>
  <c r="V38" i="128" s="1"/>
  <c r="G38" i="128"/>
  <c r="D38" i="128"/>
  <c r="C38" i="128"/>
  <c r="U37" i="128"/>
  <c r="T37" i="128"/>
  <c r="R37" i="128"/>
  <c r="S37" i="128" s="1"/>
  <c r="H37" i="128"/>
  <c r="V37" i="128" s="1"/>
  <c r="G37" i="128"/>
  <c r="D37" i="128"/>
  <c r="C37" i="128"/>
  <c r="AD36" i="128"/>
  <c r="U36" i="128"/>
  <c r="T36" i="128"/>
  <c r="H36" i="128"/>
  <c r="V36" i="128" s="1"/>
  <c r="G36" i="128"/>
  <c r="D36" i="128"/>
  <c r="C36" i="128"/>
  <c r="AC35" i="128"/>
  <c r="AB35" i="128"/>
  <c r="AA35" i="128"/>
  <c r="Z35" i="128"/>
  <c r="Y35" i="128"/>
  <c r="U35" i="128"/>
  <c r="T35" i="128"/>
  <c r="H35" i="128"/>
  <c r="V35" i="128" s="1"/>
  <c r="G35" i="128"/>
  <c r="D35" i="128"/>
  <c r="C35" i="128"/>
  <c r="AC34" i="128"/>
  <c r="AB34" i="128"/>
  <c r="AA34" i="128"/>
  <c r="Z34" i="128"/>
  <c r="Y34" i="128"/>
  <c r="U34" i="128"/>
  <c r="T34" i="128"/>
  <c r="R34" i="128"/>
  <c r="H34" i="128"/>
  <c r="V34" i="128" s="1"/>
  <c r="G34" i="128"/>
  <c r="D34" i="128"/>
  <c r="C34" i="128"/>
  <c r="U33" i="128"/>
  <c r="T33" i="128"/>
  <c r="H33" i="128"/>
  <c r="V33" i="128" s="1"/>
  <c r="G33" i="128"/>
  <c r="D33" i="128"/>
  <c r="C33" i="128"/>
  <c r="U32" i="128"/>
  <c r="T32" i="128"/>
  <c r="S32" i="128"/>
  <c r="AD32" i="128" s="1"/>
  <c r="R32" i="128"/>
  <c r="AD31" i="128" s="1"/>
  <c r="AG14" i="128" s="1"/>
  <c r="H32" i="128"/>
  <c r="V32" i="128" s="1"/>
  <c r="G32" i="128"/>
  <c r="D32" i="128"/>
  <c r="C32" i="128"/>
  <c r="U31" i="128"/>
  <c r="T31" i="128"/>
  <c r="H31" i="128"/>
  <c r="V31" i="128" s="1"/>
  <c r="G31" i="128"/>
  <c r="D31" i="128"/>
  <c r="C31" i="128"/>
  <c r="AC30" i="128"/>
  <c r="AB30" i="128"/>
  <c r="AA30" i="128"/>
  <c r="Z30" i="128"/>
  <c r="Y30" i="128"/>
  <c r="U30" i="128"/>
  <c r="T30" i="128"/>
  <c r="H30" i="128"/>
  <c r="V30" i="128" s="1"/>
  <c r="G30" i="128"/>
  <c r="D30" i="128"/>
  <c r="C30" i="128"/>
  <c r="AC29" i="128"/>
  <c r="AB29" i="128"/>
  <c r="AA29" i="128"/>
  <c r="Z29" i="128"/>
  <c r="Y29" i="128"/>
  <c r="U29" i="128"/>
  <c r="T29" i="128"/>
  <c r="R29" i="128"/>
  <c r="H29" i="128"/>
  <c r="V29" i="128" s="1"/>
  <c r="G29" i="128"/>
  <c r="D29" i="128"/>
  <c r="C29" i="128"/>
  <c r="U28" i="128"/>
  <c r="T28" i="128"/>
  <c r="H28" i="128"/>
  <c r="V28" i="128" s="1"/>
  <c r="G28" i="128"/>
  <c r="D28" i="128"/>
  <c r="C28" i="128"/>
  <c r="U27" i="128"/>
  <c r="T27" i="128"/>
  <c r="R27" i="128"/>
  <c r="S27" i="128" s="1"/>
  <c r="AD27" i="128" s="1"/>
  <c r="H27" i="128"/>
  <c r="V27" i="128" s="1"/>
  <c r="G27" i="128"/>
  <c r="D27" i="128"/>
  <c r="C27" i="128"/>
  <c r="AD26" i="128"/>
  <c r="U26" i="128"/>
  <c r="T26" i="128"/>
  <c r="H26" i="128"/>
  <c r="V26" i="128" s="1"/>
  <c r="G26" i="128"/>
  <c r="D26" i="128"/>
  <c r="C26" i="128"/>
  <c r="U25" i="128"/>
  <c r="T25" i="128"/>
  <c r="H25" i="128"/>
  <c r="V25" i="128" s="1"/>
  <c r="G25" i="128"/>
  <c r="D25" i="128"/>
  <c r="C25" i="128"/>
  <c r="U24" i="128"/>
  <c r="T24" i="128"/>
  <c r="H24" i="128"/>
  <c r="V24" i="128" s="1"/>
  <c r="G24" i="128"/>
  <c r="D24" i="128"/>
  <c r="C24" i="128"/>
  <c r="U23" i="128"/>
  <c r="T23" i="128"/>
  <c r="H23" i="128"/>
  <c r="V23" i="128" s="1"/>
  <c r="G23" i="128"/>
  <c r="D23" i="128"/>
  <c r="C23" i="128"/>
  <c r="U22" i="128"/>
  <c r="T22" i="128"/>
  <c r="R22" i="128"/>
  <c r="AD22" i="128" s="1"/>
  <c r="H22" i="128"/>
  <c r="V22" i="128" s="1"/>
  <c r="G22" i="128"/>
  <c r="D22" i="128"/>
  <c r="C22" i="128"/>
  <c r="U21" i="128"/>
  <c r="T21" i="128"/>
  <c r="R21" i="128"/>
  <c r="H21" i="128"/>
  <c r="V21" i="128" s="1"/>
  <c r="G21" i="128"/>
  <c r="D21" i="128"/>
  <c r="C21" i="128"/>
  <c r="U20" i="128"/>
  <c r="T20" i="128"/>
  <c r="R20" i="128"/>
  <c r="AD20" i="128" s="1"/>
  <c r="H20" i="128"/>
  <c r="V20" i="128" s="1"/>
  <c r="G20" i="128"/>
  <c r="D20" i="128"/>
  <c r="C20" i="128"/>
  <c r="U19" i="128"/>
  <c r="T19" i="128"/>
  <c r="R19" i="128"/>
  <c r="AD19" i="128" s="1"/>
  <c r="H19" i="128"/>
  <c r="V19" i="128" s="1"/>
  <c r="G19" i="128"/>
  <c r="D19" i="128"/>
  <c r="C19" i="128"/>
  <c r="U18" i="128"/>
  <c r="T18" i="128"/>
  <c r="R18" i="128"/>
  <c r="H18" i="128"/>
  <c r="V18" i="128" s="1"/>
  <c r="G18" i="128"/>
  <c r="D18" i="128"/>
  <c r="C18" i="128"/>
  <c r="U17" i="128"/>
  <c r="T17" i="128"/>
  <c r="R17" i="128"/>
  <c r="H17" i="128"/>
  <c r="V17" i="128" s="1"/>
  <c r="G17" i="128"/>
  <c r="D17" i="128"/>
  <c r="C17" i="128"/>
  <c r="U16" i="128"/>
  <c r="T16" i="128"/>
  <c r="R16" i="128"/>
  <c r="H16" i="128"/>
  <c r="V16" i="128" s="1"/>
  <c r="G16" i="128"/>
  <c r="D16" i="128"/>
  <c r="C16" i="128"/>
  <c r="U15" i="128"/>
  <c r="T15" i="128"/>
  <c r="R15" i="128"/>
  <c r="H15" i="128"/>
  <c r="V15" i="128" s="1"/>
  <c r="G15" i="128"/>
  <c r="D15" i="128"/>
  <c r="C15" i="128"/>
  <c r="U14" i="128"/>
  <c r="T14" i="128"/>
  <c r="R14" i="128"/>
  <c r="H14" i="128"/>
  <c r="V14" i="128" s="1"/>
  <c r="G14" i="128"/>
  <c r="D14" i="128"/>
  <c r="C14" i="128"/>
  <c r="U13" i="128"/>
  <c r="T13" i="128"/>
  <c r="R13" i="128"/>
  <c r="AD13" i="128" s="1"/>
  <c r="H13" i="128"/>
  <c r="V13" i="128" s="1"/>
  <c r="G13" i="128"/>
  <c r="D13" i="128"/>
  <c r="C13" i="128"/>
  <c r="U12" i="128"/>
  <c r="T12" i="128"/>
  <c r="H12" i="128"/>
  <c r="V12" i="128" s="1"/>
  <c r="G12" i="128"/>
  <c r="D12" i="128"/>
  <c r="C12" i="128"/>
  <c r="U11" i="128"/>
  <c r="T11" i="128"/>
  <c r="H11" i="128"/>
  <c r="V11" i="128" s="1"/>
  <c r="G11" i="128"/>
  <c r="D11" i="128"/>
  <c r="C11" i="128"/>
  <c r="U10" i="128"/>
  <c r="T10" i="128"/>
  <c r="H10" i="128"/>
  <c r="V10" i="128" s="1"/>
  <c r="G10" i="128"/>
  <c r="D10" i="128"/>
  <c r="C10" i="128"/>
  <c r="U9" i="128"/>
  <c r="T9" i="128"/>
  <c r="H9" i="128"/>
  <c r="V9" i="128" s="1"/>
  <c r="G9" i="128"/>
  <c r="D9" i="128"/>
  <c r="C9" i="128"/>
  <c r="AC8" i="128"/>
  <c r="AB8" i="128"/>
  <c r="AA8" i="128"/>
  <c r="Z8" i="128"/>
  <c r="Y8" i="128"/>
  <c r="U8" i="128"/>
  <c r="T8" i="128"/>
  <c r="R8" i="128"/>
  <c r="H8" i="128"/>
  <c r="V8" i="128" s="1"/>
  <c r="G8" i="128"/>
  <c r="D8" i="128"/>
  <c r="C8" i="128"/>
  <c r="AG7" i="128"/>
  <c r="U7" i="128"/>
  <c r="T7" i="128"/>
  <c r="H7" i="128"/>
  <c r="V7" i="128" s="1"/>
  <c r="G7" i="128"/>
  <c r="D7" i="128"/>
  <c r="C7" i="128"/>
  <c r="U6" i="128"/>
  <c r="T6" i="128"/>
  <c r="H6" i="128"/>
  <c r="V6" i="128" s="1"/>
  <c r="G6" i="128"/>
  <c r="D6" i="128"/>
  <c r="C6" i="128"/>
  <c r="AK5" i="128"/>
  <c r="AJ5" i="128"/>
  <c r="AB7" i="128" s="1"/>
  <c r="AI5" i="128"/>
  <c r="AC61" i="128" s="1"/>
  <c r="AG3" i="128"/>
  <c r="C2" i="128" a="1"/>
  <c r="C2" i="128" s="1"/>
  <c r="B2" i="128" a="1"/>
  <c r="B2" i="128" s="1"/>
  <c r="C1" i="128"/>
  <c r="B1" i="128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P5" i="130" a="1"/>
  <c r="AL5" i="130" a="1"/>
  <c r="AP107" i="130" a="1"/>
  <c r="AL107" i="130" a="1"/>
  <c r="AM106" i="130" a="1"/>
  <c r="AO5" i="130" a="1"/>
  <c r="AO107" i="130" a="1"/>
  <c r="AP106" i="130" a="1"/>
  <c r="AL106" i="130" a="1"/>
  <c r="AN5" i="130" a="1"/>
  <c r="AN107" i="130" a="1"/>
  <c r="AO106" i="130" a="1"/>
  <c r="AM5" i="130" a="1"/>
  <c r="AM107" i="130" a="1"/>
  <c r="AN106" i="130" a="1"/>
  <c r="AP5" i="129" a="1"/>
  <c r="AL5" i="129" a="1"/>
  <c r="AP107" i="129" a="1"/>
  <c r="AL107" i="129" a="1"/>
  <c r="AM106" i="129" a="1"/>
  <c r="AO5" i="129" a="1"/>
  <c r="AO107" i="129" a="1"/>
  <c r="AP106" i="129" a="1"/>
  <c r="AL106" i="129" a="1"/>
  <c r="AN5" i="129" a="1"/>
  <c r="AN107" i="129" a="1"/>
  <c r="AO106" i="129" a="1"/>
  <c r="AM5" i="129" a="1"/>
  <c r="AM107" i="129" a="1"/>
  <c r="AN106" i="129" a="1"/>
  <c r="AP5" i="128" a="1"/>
  <c r="AL5" i="128" a="1"/>
  <c r="AP107" i="128" a="1"/>
  <c r="AL107" i="128" a="1"/>
  <c r="AM106" i="128" a="1"/>
  <c r="AO5" i="128" a="1"/>
  <c r="AO107" i="128" a="1"/>
  <c r="AP106" i="128" a="1"/>
  <c r="AL106" i="128" a="1"/>
  <c r="AN5" i="128" a="1"/>
  <c r="AN107" i="128" a="1"/>
  <c r="AO106" i="128" a="1"/>
  <c r="AM5" i="128" a="1"/>
  <c r="AM107" i="128" a="1"/>
  <c r="AN106" i="128" a="1"/>
  <c r="AM107" i="4" a="1"/>
  <c r="AN107" i="4" a="1"/>
  <c r="AO107" i="4" a="1"/>
  <c r="AP107" i="4" a="1"/>
  <c r="AL107" i="4" a="1"/>
  <c r="AP106" i="4" a="1"/>
  <c r="AO106" i="4" a="1"/>
  <c r="AN106" i="4" a="1"/>
  <c r="AM106" i="4" a="1"/>
  <c r="AL106" i="4" a="1"/>
  <c r="AP5" i="4" a="1"/>
  <c r="AO5" i="4" a="1"/>
  <c r="AL5" i="4" a="1"/>
  <c r="AN5" i="4" a="1"/>
  <c r="AM5" i="4" a="1"/>
  <c r="AA16" i="130" l="1"/>
  <c r="AB19" i="130"/>
  <c r="Y13" i="130"/>
  <c r="AA13" i="130"/>
  <c r="AB15" i="130"/>
  <c r="AA22" i="130"/>
  <c r="AB13" i="130"/>
  <c r="AC15" i="130"/>
  <c r="Y16" i="130"/>
  <c r="AC18" i="130"/>
  <c r="AA19" i="130"/>
  <c r="AC22" i="130"/>
  <c r="Z32" i="130"/>
  <c r="AC19" i="130"/>
  <c r="Y20" i="130"/>
  <c r="Y27" i="130"/>
  <c r="AA7" i="130"/>
  <c r="AC13" i="130"/>
  <c r="Y14" i="130"/>
  <c r="AB16" i="130"/>
  <c r="Z20" i="130"/>
  <c r="AA27" i="130"/>
  <c r="AB47" i="130"/>
  <c r="AA14" i="130"/>
  <c r="AC16" i="130"/>
  <c r="AA17" i="130"/>
  <c r="AC20" i="130"/>
  <c r="Y21" i="130"/>
  <c r="AB27" i="130"/>
  <c r="AB14" i="130"/>
  <c r="AB17" i="130"/>
  <c r="AA21" i="130"/>
  <c r="AC14" i="130"/>
  <c r="Y15" i="130"/>
  <c r="AC17" i="130"/>
  <c r="AA18" i="130"/>
  <c r="AB21" i="130"/>
  <c r="Y22" i="130"/>
  <c r="AA15" i="130"/>
  <c r="AB18" i="130"/>
  <c r="Z22" i="130"/>
  <c r="Y32" i="130"/>
  <c r="AD61" i="130"/>
  <c r="S32" i="130"/>
  <c r="AD32" i="130"/>
  <c r="AG9" i="130"/>
  <c r="AQ9" i="130" s="1"/>
  <c r="AC41" i="130"/>
  <c r="AB26" i="130"/>
  <c r="AG5" i="130"/>
  <c r="Z46" i="130"/>
  <c r="AB41" i="130"/>
  <c r="AC31" i="130"/>
  <c r="Z26" i="130"/>
  <c r="AA36" i="130"/>
  <c r="Z31" i="130"/>
  <c r="AB36" i="130"/>
  <c r="AA31" i="130"/>
  <c r="AB31" i="130"/>
  <c r="AA46" i="130"/>
  <c r="AC26" i="130"/>
  <c r="AA26" i="130"/>
  <c r="Y41" i="130"/>
  <c r="AB46" i="130"/>
  <c r="Y31" i="130"/>
  <c r="Y36" i="130"/>
  <c r="Z36" i="130"/>
  <c r="Z41" i="130"/>
  <c r="Y46" i="130"/>
  <c r="AC36" i="130"/>
  <c r="AA41" i="130"/>
  <c r="AG6" i="130"/>
  <c r="AQ6" i="130" s="1"/>
  <c r="Y26" i="130"/>
  <c r="AG4" i="130"/>
  <c r="AC46" i="130"/>
  <c r="AN106" i="130"/>
  <c r="AM107" i="130"/>
  <c r="AM5" i="130"/>
  <c r="AO106" i="130"/>
  <c r="AN107" i="130"/>
  <c r="AN5" i="130"/>
  <c r="AL106" i="130"/>
  <c r="AP106" i="130"/>
  <c r="AO107" i="130"/>
  <c r="AO5" i="130"/>
  <c r="AM106" i="130"/>
  <c r="AL107" i="130"/>
  <c r="AP107" i="130"/>
  <c r="AL5" i="130"/>
  <c r="AP5" i="130"/>
  <c r="AD42" i="130"/>
  <c r="AD27" i="130"/>
  <c r="AD47" i="130"/>
  <c r="AG2" i="130"/>
  <c r="AD37" i="130"/>
  <c r="AC7" i="130"/>
  <c r="Z13" i="130"/>
  <c r="Z14" i="130"/>
  <c r="Z15" i="130"/>
  <c r="Z16" i="130"/>
  <c r="Z17" i="130"/>
  <c r="Z18" i="130"/>
  <c r="Z19" i="130"/>
  <c r="AB20" i="130"/>
  <c r="AB32" i="130"/>
  <c r="Z37" i="130"/>
  <c r="AC55" i="130"/>
  <c r="AA59" i="130"/>
  <c r="Y63" i="130"/>
  <c r="AD26" i="130"/>
  <c r="AC32" i="130"/>
  <c r="AA37" i="130"/>
  <c r="Y42" i="130"/>
  <c r="AD46" i="130"/>
  <c r="AD55" i="130"/>
  <c r="Y57" i="130"/>
  <c r="AB59" i="130"/>
  <c r="Z63" i="130"/>
  <c r="AB37" i="130"/>
  <c r="Z42" i="130"/>
  <c r="Z57" i="130"/>
  <c r="AC59" i="130"/>
  <c r="AA63" i="130"/>
  <c r="AC37" i="130"/>
  <c r="AA42" i="130"/>
  <c r="Y47" i="130"/>
  <c r="AA57" i="130"/>
  <c r="AD59" i="130"/>
  <c r="Y61" i="130"/>
  <c r="AB63" i="130"/>
  <c r="Y7" i="130"/>
  <c r="Z21" i="130"/>
  <c r="AB22" i="130"/>
  <c r="Z27" i="130"/>
  <c r="AB42" i="130"/>
  <c r="Z47" i="130"/>
  <c r="Y55" i="130"/>
  <c r="AB57" i="130"/>
  <c r="Z61" i="130"/>
  <c r="AC63" i="130"/>
  <c r="Z7" i="130"/>
  <c r="AC42" i="130"/>
  <c r="AA47" i="130"/>
  <c r="Z55" i="130"/>
  <c r="AC57" i="130"/>
  <c r="AA61" i="130"/>
  <c r="AA55" i="130"/>
  <c r="Y59" i="130"/>
  <c r="AB61" i="130"/>
  <c r="Y17" i="130"/>
  <c r="Y18" i="130"/>
  <c r="Y19" i="130"/>
  <c r="AA20" i="130"/>
  <c r="AC21" i="130"/>
  <c r="AC27" i="130"/>
  <c r="AA32" i="130"/>
  <c r="Y37" i="130"/>
  <c r="AC47" i="130"/>
  <c r="AB55" i="130"/>
  <c r="Z59" i="130"/>
  <c r="Y7" i="129"/>
  <c r="AA7" i="129"/>
  <c r="AC7" i="129"/>
  <c r="AB13" i="129"/>
  <c r="AA17" i="129"/>
  <c r="AC32" i="129"/>
  <c r="AC13" i="129"/>
  <c r="Z14" i="129"/>
  <c r="AC17" i="129"/>
  <c r="Z18" i="129"/>
  <c r="AA14" i="129"/>
  <c r="AA18" i="129"/>
  <c r="AC14" i="129"/>
  <c r="Z15" i="129"/>
  <c r="AC18" i="129"/>
  <c r="Z19" i="129"/>
  <c r="AA15" i="129"/>
  <c r="AA19" i="129"/>
  <c r="AA37" i="129"/>
  <c r="Y13" i="129"/>
  <c r="AC15" i="129"/>
  <c r="Z16" i="129"/>
  <c r="AC19" i="129"/>
  <c r="Z20" i="129"/>
  <c r="Y22" i="129"/>
  <c r="Z13" i="129"/>
  <c r="AA16" i="129"/>
  <c r="AC20" i="129"/>
  <c r="AB7" i="129"/>
  <c r="AA13" i="129"/>
  <c r="AC16" i="129"/>
  <c r="Z17" i="129"/>
  <c r="Y42" i="129"/>
  <c r="AD26" i="129"/>
  <c r="AC41" i="129"/>
  <c r="AG5" i="129"/>
  <c r="Z36" i="129"/>
  <c r="AA31" i="129"/>
  <c r="AC26" i="129"/>
  <c r="Y31" i="129"/>
  <c r="AB26" i="129"/>
  <c r="AG2" i="129"/>
  <c r="Y36" i="129"/>
  <c r="Y41" i="129"/>
  <c r="AA46" i="129"/>
  <c r="Z31" i="129"/>
  <c r="AC36" i="129"/>
  <c r="AC46" i="129"/>
  <c r="Z46" i="129"/>
  <c r="AB31" i="129"/>
  <c r="AA26" i="129"/>
  <c r="AA36" i="129"/>
  <c r="AB41" i="129"/>
  <c r="Y26" i="129"/>
  <c r="AC31" i="129"/>
  <c r="AB36" i="129"/>
  <c r="AG4" i="129"/>
  <c r="Z26" i="129"/>
  <c r="Y46" i="129"/>
  <c r="AA41" i="129"/>
  <c r="AB46" i="129"/>
  <c r="Z41" i="129"/>
  <c r="AN106" i="129"/>
  <c r="AM107" i="129"/>
  <c r="AM5" i="129"/>
  <c r="AO106" i="129"/>
  <c r="AN107" i="129"/>
  <c r="AN5" i="129"/>
  <c r="AL106" i="129"/>
  <c r="AP106" i="129"/>
  <c r="AO107" i="129"/>
  <c r="AO5" i="129"/>
  <c r="AM106" i="129"/>
  <c r="AL107" i="129"/>
  <c r="AP107" i="129"/>
  <c r="AL5" i="129"/>
  <c r="AP5" i="129"/>
  <c r="AG6" i="129"/>
  <c r="AQ6" i="129" s="1"/>
  <c r="AG14" i="129"/>
  <c r="AB20" i="129"/>
  <c r="AD21" i="129"/>
  <c r="AB32" i="129"/>
  <c r="Z37" i="129"/>
  <c r="AC55" i="129"/>
  <c r="AA59" i="129"/>
  <c r="AD61" i="129"/>
  <c r="Y63" i="129"/>
  <c r="Y57" i="129"/>
  <c r="AB59" i="129"/>
  <c r="Z63" i="129"/>
  <c r="AB14" i="129"/>
  <c r="AB15" i="129"/>
  <c r="AB16" i="129"/>
  <c r="AB17" i="129"/>
  <c r="AB18" i="129"/>
  <c r="AB19" i="129"/>
  <c r="Z22" i="129"/>
  <c r="AB37" i="129"/>
  <c r="Z42" i="129"/>
  <c r="Z57" i="129"/>
  <c r="AC59" i="129"/>
  <c r="AA63" i="129"/>
  <c r="Y21" i="129"/>
  <c r="AA22" i="129"/>
  <c r="Y27" i="129"/>
  <c r="AC37" i="129"/>
  <c r="AA42" i="129"/>
  <c r="Y47" i="129"/>
  <c r="AA57" i="129"/>
  <c r="Y61" i="129"/>
  <c r="AB63" i="129"/>
  <c r="AD13" i="129"/>
  <c r="AG11" i="129" s="1"/>
  <c r="AQ11" i="129" s="1"/>
  <c r="Z21" i="129"/>
  <c r="AB22" i="129"/>
  <c r="Z27" i="129"/>
  <c r="AB42" i="129"/>
  <c r="Z47" i="129"/>
  <c r="Y55" i="129"/>
  <c r="AB57" i="129"/>
  <c r="Z61" i="129"/>
  <c r="AC63" i="129"/>
  <c r="Y20" i="129"/>
  <c r="AA21" i="129"/>
  <c r="AC22" i="129"/>
  <c r="AA27" i="129"/>
  <c r="Y32" i="129"/>
  <c r="S42" i="129"/>
  <c r="AD42" i="129" s="1"/>
  <c r="AC42" i="129"/>
  <c r="AA47" i="129"/>
  <c r="Z55" i="129"/>
  <c r="AC57" i="129"/>
  <c r="AA61" i="129"/>
  <c r="AD63" i="129"/>
  <c r="AB21" i="129"/>
  <c r="AB27" i="129"/>
  <c r="Z32" i="129"/>
  <c r="AB47" i="129"/>
  <c r="AA55" i="129"/>
  <c r="Y59" i="129"/>
  <c r="AB61" i="129"/>
  <c r="Y14" i="129"/>
  <c r="Y15" i="129"/>
  <c r="Y16" i="129"/>
  <c r="Y17" i="129"/>
  <c r="Y18" i="129"/>
  <c r="Y19" i="129"/>
  <c r="AA20" i="129"/>
  <c r="AC21" i="129"/>
  <c r="AC27" i="129"/>
  <c r="AA32" i="129"/>
  <c r="Y37" i="129"/>
  <c r="AC47" i="129"/>
  <c r="AB55" i="129"/>
  <c r="Z59" i="129"/>
  <c r="Y13" i="128"/>
  <c r="AB13" i="128"/>
  <c r="AC13" i="128"/>
  <c r="Y14" i="128"/>
  <c r="AC14" i="128"/>
  <c r="Y15" i="128"/>
  <c r="AB15" i="128"/>
  <c r="AC16" i="128"/>
  <c r="Y17" i="128"/>
  <c r="AC17" i="128"/>
  <c r="Z18" i="128"/>
  <c r="AA19" i="128"/>
  <c r="AC22" i="128"/>
  <c r="AC19" i="128"/>
  <c r="AB20" i="128"/>
  <c r="AA15" i="128"/>
  <c r="AC15" i="128"/>
  <c r="Y16" i="128"/>
  <c r="AA13" i="128"/>
  <c r="AA17" i="128"/>
  <c r="AA14" i="128"/>
  <c r="AA16" i="128"/>
  <c r="AB18" i="128"/>
  <c r="AA21" i="128"/>
  <c r="Y32" i="128"/>
  <c r="AA47" i="128"/>
  <c r="AB14" i="128"/>
  <c r="AB16" i="128"/>
  <c r="AC18" i="128"/>
  <c r="Z19" i="128"/>
  <c r="AB21" i="128"/>
  <c r="Y22" i="128"/>
  <c r="Z32" i="128"/>
  <c r="AC32" i="128"/>
  <c r="Z13" i="128"/>
  <c r="Z15" i="128"/>
  <c r="Z17" i="128"/>
  <c r="AB19" i="128"/>
  <c r="AA27" i="128"/>
  <c r="Y42" i="128"/>
  <c r="AC57" i="128"/>
  <c r="Y20" i="128"/>
  <c r="AB27" i="128"/>
  <c r="AC42" i="128"/>
  <c r="AB17" i="128"/>
  <c r="Z20" i="128"/>
  <c r="Z55" i="128"/>
  <c r="AA37" i="128"/>
  <c r="AA61" i="128"/>
  <c r="Z14" i="128"/>
  <c r="Z16" i="128"/>
  <c r="AA18" i="128"/>
  <c r="AC20" i="128"/>
  <c r="Y21" i="128"/>
  <c r="AD59" i="128"/>
  <c r="AD14" i="128"/>
  <c r="AD16" i="128"/>
  <c r="AD18" i="128"/>
  <c r="AD15" i="128"/>
  <c r="AD17" i="128"/>
  <c r="AG9" i="128"/>
  <c r="AQ9" i="128" s="1"/>
  <c r="AA36" i="128"/>
  <c r="AB46" i="128"/>
  <c r="Z36" i="128"/>
  <c r="AB41" i="128"/>
  <c r="AG5" i="128"/>
  <c r="Z26" i="128"/>
  <c r="AA26" i="128"/>
  <c r="AC31" i="128"/>
  <c r="Y31" i="128"/>
  <c r="AA46" i="128"/>
  <c r="AC46" i="128"/>
  <c r="Z46" i="128"/>
  <c r="AB31" i="128"/>
  <c r="AG4" i="128"/>
  <c r="Y41" i="128"/>
  <c r="AC26" i="128"/>
  <c r="Z31" i="128"/>
  <c r="AC36" i="128"/>
  <c r="AC41" i="128"/>
  <c r="Y26" i="128"/>
  <c r="AB26" i="128"/>
  <c r="AA41" i="128"/>
  <c r="AG6" i="128"/>
  <c r="AQ6" i="128" s="1"/>
  <c r="AB36" i="128"/>
  <c r="Y36" i="128"/>
  <c r="AA31" i="128"/>
  <c r="Z41" i="128"/>
  <c r="Y46" i="128"/>
  <c r="AN106" i="128"/>
  <c r="AM107" i="128"/>
  <c r="AM5" i="128"/>
  <c r="AO106" i="128"/>
  <c r="AN107" i="128"/>
  <c r="AN5" i="128"/>
  <c r="AL106" i="128"/>
  <c r="AP106" i="128"/>
  <c r="AO107" i="128"/>
  <c r="AO5" i="128"/>
  <c r="AM106" i="128"/>
  <c r="AL107" i="128"/>
  <c r="AP107" i="128"/>
  <c r="AL5" i="128"/>
  <c r="AP5" i="128"/>
  <c r="AG2" i="128"/>
  <c r="AD37" i="128"/>
  <c r="AG15" i="128" s="1"/>
  <c r="AD47" i="128"/>
  <c r="AC7" i="128"/>
  <c r="AD21" i="128"/>
  <c r="AB32" i="128"/>
  <c r="Z37" i="128"/>
  <c r="AC55" i="128"/>
  <c r="AA59" i="128"/>
  <c r="Y63" i="128"/>
  <c r="AD55" i="128"/>
  <c r="Y57" i="128"/>
  <c r="AB59" i="128"/>
  <c r="Z63" i="128"/>
  <c r="Z22" i="128"/>
  <c r="AB37" i="128"/>
  <c r="Z42" i="128"/>
  <c r="Z57" i="128"/>
  <c r="AC59" i="128"/>
  <c r="AA63" i="128"/>
  <c r="AA22" i="128"/>
  <c r="Y27" i="128"/>
  <c r="AC37" i="128"/>
  <c r="AA42" i="128"/>
  <c r="Y47" i="128"/>
  <c r="AA57" i="128"/>
  <c r="Y61" i="128"/>
  <c r="AB63" i="128"/>
  <c r="Y7" i="128"/>
  <c r="Z21" i="128"/>
  <c r="AB22" i="128"/>
  <c r="Z27" i="128"/>
  <c r="AB42" i="128"/>
  <c r="Z47" i="128"/>
  <c r="Y55" i="128"/>
  <c r="AB57" i="128"/>
  <c r="Z61" i="128"/>
  <c r="AC63" i="128"/>
  <c r="Z7" i="128"/>
  <c r="AD63" i="128"/>
  <c r="AA7" i="128"/>
  <c r="AB47" i="128"/>
  <c r="AA55" i="128"/>
  <c r="Y59" i="128"/>
  <c r="AB61" i="128"/>
  <c r="Y18" i="128"/>
  <c r="Y19" i="128"/>
  <c r="AA20" i="128"/>
  <c r="AC21" i="128"/>
  <c r="AC27" i="128"/>
  <c r="AA32" i="128"/>
  <c r="Y37" i="128"/>
  <c r="AC47" i="128"/>
  <c r="AB55" i="128"/>
  <c r="Z59" i="128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O6" i="130" a="1"/>
  <c r="AM6" i="130" a="1"/>
  <c r="AN6" i="130" a="1"/>
  <c r="AL6" i="130" a="1"/>
  <c r="AP6" i="130" a="1"/>
  <c r="AO6" i="129" a="1"/>
  <c r="AM6" i="129" a="1"/>
  <c r="AN6" i="129" a="1"/>
  <c r="AL6" i="129" a="1"/>
  <c r="AP6" i="129" a="1"/>
  <c r="AO6" i="128" a="1"/>
  <c r="AM6" i="128" a="1"/>
  <c r="AN6" i="128" a="1"/>
  <c r="AL6" i="128" a="1"/>
  <c r="AP6" i="128" a="1"/>
  <c r="AL6" i="4" a="1"/>
  <c r="AM6" i="4" a="1"/>
  <c r="AN6" i="4" a="1"/>
  <c r="AP6" i="4" a="1"/>
  <c r="AO6" i="4" a="1"/>
  <c r="AG18" i="130" l="1"/>
  <c r="AQ18" i="130" s="1"/>
  <c r="AQ5" i="130"/>
  <c r="AQ4" i="130" s="1"/>
  <c r="AQ3" i="130" s="1"/>
  <c r="B3" i="130" s="1"/>
  <c r="AD48" i="130"/>
  <c r="AD38" i="130"/>
  <c r="AG8" i="129"/>
  <c r="AQ8" i="129" s="1"/>
  <c r="AQ7" i="129" s="1"/>
  <c r="L5" i="129" s="1"/>
  <c r="AD33" i="130"/>
  <c r="AG12" i="130"/>
  <c r="AD43" i="130"/>
  <c r="AP6" i="130"/>
  <c r="Z48" i="130" s="1"/>
  <c r="AL6" i="130"/>
  <c r="AC28" i="130" s="1"/>
  <c r="AN6" i="130"/>
  <c r="AB38" i="130" s="1"/>
  <c r="AM6" i="130"/>
  <c r="AC33" i="130" s="1"/>
  <c r="AO6" i="130"/>
  <c r="AA43" i="130" s="1"/>
  <c r="AQ5" i="129"/>
  <c r="AQ4" i="129" s="1"/>
  <c r="AQ3" i="129" s="1"/>
  <c r="B3" i="129" s="1"/>
  <c r="AG14" i="130"/>
  <c r="AD28" i="130"/>
  <c r="Z28" i="130"/>
  <c r="AG8" i="130"/>
  <c r="AQ8" i="130" s="1"/>
  <c r="AQ7" i="130" s="1"/>
  <c r="L5" i="130" s="1"/>
  <c r="AG17" i="130"/>
  <c r="AQ17" i="130" s="1"/>
  <c r="L52" i="130" s="1"/>
  <c r="AG10" i="130"/>
  <c r="AQ10" i="130" s="1"/>
  <c r="L10" i="130" s="1"/>
  <c r="AG15" i="130"/>
  <c r="AG18" i="129"/>
  <c r="AQ18" i="129" s="1"/>
  <c r="AD28" i="129"/>
  <c r="AD48" i="129"/>
  <c r="AD43" i="129"/>
  <c r="AD33" i="129"/>
  <c r="AG12" i="129"/>
  <c r="AG10" i="129"/>
  <c r="AQ10" i="129" s="1"/>
  <c r="L10" i="129" s="1"/>
  <c r="AP6" i="129"/>
  <c r="AB48" i="129" s="1"/>
  <c r="AL6" i="129"/>
  <c r="Y28" i="129" s="1"/>
  <c r="AN6" i="129"/>
  <c r="AA38" i="129" s="1"/>
  <c r="AM6" i="129"/>
  <c r="Z33" i="129" s="1"/>
  <c r="AO6" i="129"/>
  <c r="Z43" i="129" s="1"/>
  <c r="AD27" i="129"/>
  <c r="AQ5" i="128"/>
  <c r="AQ4" i="128" s="1"/>
  <c r="AQ3" i="128" s="1"/>
  <c r="B3" i="128" s="1"/>
  <c r="AG17" i="129"/>
  <c r="AQ17" i="129" s="1"/>
  <c r="L52" i="129" s="1"/>
  <c r="AD47" i="129"/>
  <c r="AD37" i="129"/>
  <c r="AD32" i="129"/>
  <c r="AD38" i="129"/>
  <c r="AG11" i="128"/>
  <c r="AQ11" i="128" s="1"/>
  <c r="AD38" i="128"/>
  <c r="AD43" i="128"/>
  <c r="AG12" i="128"/>
  <c r="AG10" i="128"/>
  <c r="AQ10" i="128" s="1"/>
  <c r="L10" i="128" s="1"/>
  <c r="AD28" i="128"/>
  <c r="AD33" i="128"/>
  <c r="AP6" i="128"/>
  <c r="Z48" i="128" s="1"/>
  <c r="AL6" i="128"/>
  <c r="AB28" i="128" s="1"/>
  <c r="AN6" i="128"/>
  <c r="AB38" i="128" s="1"/>
  <c r="AM6" i="128"/>
  <c r="AC33" i="128" s="1"/>
  <c r="AO6" i="128"/>
  <c r="AC43" i="128" s="1"/>
  <c r="AD48" i="128"/>
  <c r="AG8" i="128"/>
  <c r="AQ8" i="128" s="1"/>
  <c r="AQ7" i="128" s="1"/>
  <c r="L5" i="128" s="1"/>
  <c r="AG17" i="128"/>
  <c r="AG18" i="128"/>
  <c r="AQ18" i="128" s="1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AB48" i="130" l="1"/>
  <c r="AC43" i="130"/>
  <c r="Y28" i="130"/>
  <c r="AB43" i="130"/>
  <c r="AA48" i="130"/>
  <c r="AC48" i="130"/>
  <c r="Y33" i="130"/>
  <c r="Y43" i="130"/>
  <c r="Z43" i="130"/>
  <c r="AB33" i="130"/>
  <c r="AG16" i="130"/>
  <c r="AQ16" i="130" s="1"/>
  <c r="AQ15" i="130" s="1"/>
  <c r="AQ14" i="130" s="1"/>
  <c r="Z33" i="130"/>
  <c r="AA33" i="130"/>
  <c r="AA28" i="130"/>
  <c r="AC38" i="130"/>
  <c r="AB28" i="130"/>
  <c r="Y38" i="130"/>
  <c r="AA38" i="130"/>
  <c r="Y48" i="130"/>
  <c r="Z38" i="130"/>
  <c r="Z28" i="129"/>
  <c r="AA28" i="129"/>
  <c r="AA43" i="129"/>
  <c r="AB28" i="129"/>
  <c r="AA33" i="129"/>
  <c r="AC28" i="129"/>
  <c r="AG16" i="129"/>
  <c r="AQ16" i="129" s="1"/>
  <c r="AB33" i="129"/>
  <c r="AC33" i="129"/>
  <c r="AA48" i="129"/>
  <c r="Y33" i="129"/>
  <c r="AB38" i="129"/>
  <c r="AC38" i="129"/>
  <c r="Y38" i="129"/>
  <c r="Z38" i="129"/>
  <c r="AC48" i="129"/>
  <c r="AB43" i="129"/>
  <c r="AC43" i="129"/>
  <c r="Y48" i="129"/>
  <c r="Y43" i="129"/>
  <c r="Z48" i="129"/>
  <c r="AG15" i="129"/>
  <c r="Y38" i="128"/>
  <c r="Z33" i="128"/>
  <c r="Y48" i="128"/>
  <c r="AA48" i="128"/>
  <c r="AA43" i="128"/>
  <c r="AC48" i="128"/>
  <c r="AB43" i="128"/>
  <c r="Y28" i="128"/>
  <c r="Y43" i="128"/>
  <c r="AC28" i="128"/>
  <c r="Z43" i="128"/>
  <c r="AB48" i="128"/>
  <c r="AG16" i="128"/>
  <c r="AQ16" i="128" s="1"/>
  <c r="AQ15" i="128" s="1"/>
  <c r="AQ14" i="128" s="1"/>
  <c r="Y33" i="128"/>
  <c r="Z28" i="128"/>
  <c r="AA33" i="128"/>
  <c r="AB33" i="128"/>
  <c r="AA28" i="128"/>
  <c r="AQ17" i="128"/>
  <c r="L52" i="128" s="1"/>
  <c r="AC38" i="128"/>
  <c r="Z38" i="128"/>
  <c r="AA38" i="128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13" i="130" l="1"/>
  <c r="AQ13" i="130" s="1"/>
  <c r="AQ12" i="130" s="1"/>
  <c r="L24" i="130" s="1"/>
  <c r="AQ15" i="129"/>
  <c r="AQ14" i="129" s="1"/>
  <c r="AG13" i="129"/>
  <c r="AG13" i="128"/>
  <c r="D1" i="128" s="1"/>
  <c r="F2" i="1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D1" i="130" l="1"/>
  <c r="F4" i="1" s="1"/>
  <c r="AQ13" i="129"/>
  <c r="AQ12" i="129" s="1"/>
  <c r="L24" i="129" s="1"/>
  <c r="D1" i="129"/>
  <c r="F3" i="1" s="1"/>
  <c r="AQ13" i="128"/>
  <c r="AQ12" i="128" s="1"/>
  <c r="L24" i="128" s="1"/>
  <c r="AG6" i="4"/>
  <c r="AQ6" i="4" s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<sst xmlns="http://schemas.openxmlformats.org/spreadsheetml/2006/main" count="779" uniqueCount="223">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</sst>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19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Fill="1" applyBorder="1"/>
    <xf numFmtId="0" fontId="7" fillId="4" borderId="58" xfId="0" applyFont="1" applyFill="1" applyBorder="1"/>
    <xf numFmtId="0" fontId="7" fillId="0" borderId="60" xfId="0" applyFont="1" applyFill="1" applyBorder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5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82"/>
  <sheetViews>
    <sheetView showGridLines="0" tabSelected="1" workbookViewId="0">
      <pane ySplit="1" topLeftCell="A2" activePane="bottomLeft" state="frozen"/>
      <selection pane="bottomLeft" activeCell="H6" sqref="H6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40</v>
      </c>
      <c r="E1" s="3" t="s">
        <v>41</v>
      </c>
      <c r="F1" s="4" t="s">
        <v>2</v>
      </c>
      <c r="G1" s="5" t="s">
        <v>5</v>
      </c>
      <c r="H1" s="5" t="s">
        <v>52</v>
      </c>
    </row>
    <row r="2" spans="1:9" ht="18">
      <c r="A2" s="63" t="s">
        <v>27</v>
      </c>
      <c r="B2" s="63" t="s">
        <v>53</v>
      </c>
      <c r="C2" s="63" t="s">
        <v>54</v>
      </c>
      <c r="D2" s="63" t="s">
        <v>55</v>
      </c>
      <c r="E2" s="63" t="b">
        <v>0</v>
      </c>
      <c r="F2" s="63" t="s">
        <v>56</v>
      </c>
      <c r="G2" s="65">
        <v>0</v>
      </c>
      <c r="H2" s="63" t="s">
        <v>27</v>
      </c>
      <c r="I2"/>
    </row>
    <row r="3" spans="1:9" ht="18">
      <c r="A3" s="63" t="s">
        <v>4</v>
      </c>
      <c r="B3" s="63" t="s">
        <v>57</v>
      </c>
      <c r="C3" s="63" t="s">
        <v>58</v>
      </c>
      <c r="D3" s="63" t="s">
        <v>59</v>
      </c>
      <c r="E3" s="63" t="b">
        <v>0</v>
      </c>
      <c r="F3" s="63" t="s">
        <v>60</v>
      </c>
      <c r="G3" s="65">
        <v>0</v>
      </c>
      <c r="H3" s="63" t="s">
        <v>4</v>
      </c>
      <c r="I3"/>
    </row>
    <row r="4" spans="1:9" ht="18">
      <c r="A4" s="63" t="s">
        <v>61</v>
      </c>
      <c r="B4" s="63" t="s">
        <v>62</v>
      </c>
      <c r="C4" s="63" t="s">
        <v>63</v>
      </c>
      <c r="D4" s="63" t="s">
        <v>64</v>
      </c>
      <c r="E4" s="63" t="b">
        <v>0</v>
      </c>
      <c r="F4" s="63" t="s">
        <v>65</v>
      </c>
      <c r="G4" s="65">
        <v>0</v>
      </c>
      <c r="H4" s="63" t="s">
        <v>61</v>
      </c>
      <c r="I4"/>
    </row>
    <row r="5" spans="1:9" ht="18">
      <c r="A5" s="63" t="s">
        <v>21</v>
      </c>
      <c r="B5" s="63" t="s">
        <v>66</v>
      </c>
      <c r="C5" s="63" t="s">
        <v>67</v>
      </c>
      <c r="D5" s="63"/>
      <c r="E5" s="63" t="b">
        <v>0</v>
      </c>
      <c r="F5" s="63" t="s">
        <v>21</v>
      </c>
      <c r="G5" s="65">
        <v>0</v>
      </c>
      <c r="H5" s="63" t="s">
        <v>21</v>
      </c>
      <c r="I5"/>
    </row>
    <row r="6" spans="1:9" ht="18">
      <c r="A6" s="63" t="s">
        <v>68</v>
      </c>
      <c r="B6" s="63" t="s">
        <v>69</v>
      </c>
      <c r="C6" s="63" t="s">
        <v>69</v>
      </c>
      <c r="D6" s="63"/>
      <c r="E6" s="63" t="b">
        <v>1</v>
      </c>
      <c r="F6" s="63" t="s">
        <v>70</v>
      </c>
      <c r="G6" s="65">
        <v>0</v>
      </c>
      <c r="H6" s="63" t="s">
        <v>68</v>
      </c>
      <c r="I6"/>
    </row>
    <row r="7" spans="1:9" ht="18">
      <c r="A7" s="63" t="s">
        <v>22</v>
      </c>
      <c r="B7" s="63" t="s">
        <v>71</v>
      </c>
      <c r="C7" s="63" t="s">
        <v>72</v>
      </c>
      <c r="D7" s="63" t="s">
        <v>73</v>
      </c>
      <c r="E7" s="63" t="b">
        <v>0</v>
      </c>
      <c r="F7" s="63" t="s">
        <v>22</v>
      </c>
      <c r="G7" s="65">
        <v>0</v>
      </c>
      <c r="H7" s="63" t="s">
        <v>22</v>
      </c>
      <c r="I7"/>
    </row>
    <row r="8" spans="1:9" ht="18">
      <c r="A8" s="63" t="s">
        <v>74</v>
      </c>
      <c r="B8" s="63" t="s">
        <v>75</v>
      </c>
      <c r="C8" s="63" t="s">
        <v>76</v>
      </c>
      <c r="D8" s="63"/>
      <c r="E8" s="63" t="b">
        <v>1</v>
      </c>
      <c r="F8" s="63" t="s">
        <v>77</v>
      </c>
      <c r="G8" s="65">
        <v>0</v>
      </c>
      <c r="H8" s="63" t="s">
        <v>74</v>
      </c>
      <c r="I8"/>
    </row>
    <row r="9" spans="1:9" ht="18">
      <c r="A9" s="63" t="s">
        <v>78</v>
      </c>
      <c r="B9" s="63" t="s">
        <v>79</v>
      </c>
      <c r="C9" s="63" t="s">
        <v>79</v>
      </c>
      <c r="D9" s="63"/>
      <c r="E9" s="63" t="b">
        <v>1</v>
      </c>
      <c r="F9" s="63" t="s">
        <v>78</v>
      </c>
      <c r="G9" s="65">
        <v>0</v>
      </c>
      <c r="H9" s="63" t="s">
        <v>78</v>
      </c>
      <c r="I9"/>
    </row>
    <row r="10" spans="1:9" ht="18">
      <c r="A10" s="63" t="s">
        <v>28</v>
      </c>
      <c r="B10" s="63" t="s">
        <v>80</v>
      </c>
      <c r="C10" s="63" t="s">
        <v>67</v>
      </c>
      <c r="D10" s="63"/>
      <c r="E10" s="63" t="b">
        <v>0</v>
      </c>
      <c r="F10" s="63" t="s">
        <v>28</v>
      </c>
      <c r="G10" s="65">
        <v>0</v>
      </c>
      <c r="H10" s="63" t="s">
        <v>28</v>
      </c>
      <c r="I10"/>
    </row>
    <row r="11" spans="1:9" ht="18">
      <c r="A11" s="63" t="s">
        <v>29</v>
      </c>
      <c r="B11" s="63" t="s">
        <v>81</v>
      </c>
      <c r="C11" s="63" t="s">
        <v>58</v>
      </c>
      <c r="D11" s="63" t="s">
        <v>82</v>
      </c>
      <c r="E11" s="63" t="b">
        <v>0</v>
      </c>
      <c r="F11" s="63" t="s">
        <v>29</v>
      </c>
      <c r="G11" s="65">
        <v>0</v>
      </c>
      <c r="H11" s="63" t="s">
        <v>29</v>
      </c>
      <c r="I11"/>
    </row>
    <row r="12" spans="1:9" ht="18">
      <c r="A12" s="63" t="s">
        <v>30</v>
      </c>
      <c r="B12" s="63" t="s">
        <v>83</v>
      </c>
      <c r="C12" s="63" t="s">
        <v>54</v>
      </c>
      <c r="D12" s="63" t="s">
        <v>160</v>
      </c>
      <c r="E12" s="63" t="b">
        <v>0</v>
      </c>
      <c r="F12" s="63" t="s">
        <v>84</v>
      </c>
      <c r="G12" s="65">
        <v>0</v>
      </c>
      <c r="H12" s="63" t="s">
        <v>30</v>
      </c>
      <c r="I12"/>
    </row>
    <row r="13" spans="1:9" ht="18">
      <c r="A13" s="63" t="s">
        <v>85</v>
      </c>
      <c r="B13" s="63" t="s">
        <v>86</v>
      </c>
      <c r="C13" s="63" t="s">
        <v>87</v>
      </c>
      <c r="D13" s="63"/>
      <c r="E13" s="63" t="b">
        <v>0</v>
      </c>
      <c r="F13" s="63" t="s">
        <v>88</v>
      </c>
      <c r="G13" s="65">
        <v>0</v>
      </c>
      <c r="H13" s="63" t="s">
        <v>85</v>
      </c>
      <c r="I13"/>
    </row>
    <row r="14" spans="1:9" ht="18">
      <c r="A14" s="63" t="s">
        <v>31</v>
      </c>
      <c r="B14" s="63" t="s">
        <v>89</v>
      </c>
      <c r="C14" s="63" t="s">
        <v>90</v>
      </c>
      <c r="D14" s="63"/>
      <c r="E14" s="63" t="b">
        <v>0</v>
      </c>
      <c r="F14" s="63" t="s">
        <v>91</v>
      </c>
      <c r="G14" s="65">
        <v>0</v>
      </c>
      <c r="H14" s="63" t="s">
        <v>31</v>
      </c>
      <c r="I14"/>
    </row>
    <row r="15" spans="1:9" ht="18">
      <c r="A15" s="63" t="s">
        <v>92</v>
      </c>
      <c r="B15" s="63" t="s">
        <v>93</v>
      </c>
      <c r="C15" s="63" t="s">
        <v>94</v>
      </c>
      <c r="D15" s="63" t="s">
        <v>161</v>
      </c>
      <c r="E15" s="63" t="b">
        <v>0</v>
      </c>
      <c r="F15" s="63" t="s">
        <v>95</v>
      </c>
      <c r="G15" s="65">
        <v>0</v>
      </c>
      <c r="H15" s="63" t="s">
        <v>92</v>
      </c>
      <c r="I15"/>
    </row>
    <row r="16" spans="1:9" ht="18">
      <c r="A16" s="63" t="s">
        <v>96</v>
      </c>
      <c r="B16" s="63" t="s">
        <v>97</v>
      </c>
      <c r="C16" s="63" t="s">
        <v>98</v>
      </c>
      <c r="D16" s="63"/>
      <c r="E16" s="63" t="b">
        <v>0</v>
      </c>
      <c r="F16" s="63" t="s">
        <v>99</v>
      </c>
      <c r="G16" s="65">
        <v>0</v>
      </c>
      <c r="H16" s="63" t="s">
        <v>96</v>
      </c>
      <c r="I16"/>
    </row>
    <row r="17" spans="1:9" ht="18">
      <c r="A17" s="63" t="s">
        <v>32</v>
      </c>
      <c r="B17" s="63" t="s">
        <v>100</v>
      </c>
      <c r="C17" s="63" t="s">
        <v>101</v>
      </c>
      <c r="D17" s="63" t="s">
        <v>162</v>
      </c>
      <c r="E17" s="63" t="b">
        <v>0</v>
      </c>
      <c r="F17" s="63" t="s">
        <v>102</v>
      </c>
      <c r="G17" s="65">
        <v>0</v>
      </c>
      <c r="H17" s="63" t="s">
        <v>32</v>
      </c>
      <c r="I17"/>
    </row>
    <row r="18" spans="1:9" ht="18">
      <c r="A18" s="63" t="s">
        <v>47</v>
      </c>
      <c r="B18" s="63" t="s">
        <v>103</v>
      </c>
      <c r="C18" s="63" t="s">
        <v>98</v>
      </c>
      <c r="D18" s="63"/>
      <c r="E18" s="63" t="b">
        <v>0</v>
      </c>
      <c r="F18" s="63" t="s">
        <v>104</v>
      </c>
      <c r="G18" s="65">
        <v>0</v>
      </c>
      <c r="H18" s="63" t="s">
        <v>47</v>
      </c>
      <c r="I18"/>
    </row>
    <row r="19" spans="1:9" ht="18">
      <c r="A19" s="63" t="s">
        <v>105</v>
      </c>
      <c r="B19" s="63" t="s">
        <v>106</v>
      </c>
      <c r="C19" s="63" t="s">
        <v>76</v>
      </c>
      <c r="D19" s="63"/>
      <c r="E19" s="63" t="b">
        <v>1</v>
      </c>
      <c r="F19" s="63" t="s">
        <v>107</v>
      </c>
      <c r="G19" s="65">
        <v>0</v>
      </c>
      <c r="H19" s="63" t="s">
        <v>105</v>
      </c>
      <c r="I19"/>
    </row>
    <row r="20" spans="1:9" ht="18">
      <c r="A20" s="63" t="s">
        <v>108</v>
      </c>
      <c r="B20" s="63" t="s">
        <v>109</v>
      </c>
      <c r="C20" s="63" t="s">
        <v>63</v>
      </c>
      <c r="D20" s="63" t="s">
        <v>110</v>
      </c>
      <c r="E20" s="63" t="b">
        <v>0</v>
      </c>
      <c r="F20" s="63" t="s">
        <v>108</v>
      </c>
      <c r="G20" s="65">
        <v>0</v>
      </c>
      <c r="H20" s="63" t="s">
        <v>108</v>
      </c>
      <c r="I20"/>
    </row>
    <row r="21" spans="1:9" ht="18">
      <c r="A21" s="63" t="s">
        <v>111</v>
      </c>
      <c r="B21" s="63" t="s">
        <v>112</v>
      </c>
      <c r="C21" s="63" t="s">
        <v>76</v>
      </c>
      <c r="D21" s="63"/>
      <c r="E21" s="63" t="b">
        <v>1</v>
      </c>
      <c r="F21" s="63" t="s">
        <v>113</v>
      </c>
      <c r="G21" s="65">
        <v>0</v>
      </c>
      <c r="H21" s="63" t="s">
        <v>111</v>
      </c>
      <c r="I21"/>
    </row>
    <row r="22" spans="1:9" ht="18">
      <c r="A22" s="63" t="s">
        <v>114</v>
      </c>
      <c r="B22" s="63" t="s">
        <v>115</v>
      </c>
      <c r="C22" s="63" t="s">
        <v>116</v>
      </c>
      <c r="D22" s="63" t="s">
        <v>117</v>
      </c>
      <c r="E22" s="63" t="b">
        <v>0</v>
      </c>
      <c r="F22" s="63" t="s">
        <v>118</v>
      </c>
      <c r="G22" s="65">
        <v>0</v>
      </c>
      <c r="H22" s="63" t="s">
        <v>114</v>
      </c>
      <c r="I22"/>
    </row>
    <row r="23" spans="1:9" ht="18">
      <c r="A23" s="63" t="s">
        <v>119</v>
      </c>
      <c r="B23" s="63" t="s">
        <v>120</v>
      </c>
      <c r="C23" s="63" t="s">
        <v>76</v>
      </c>
      <c r="D23" s="63"/>
      <c r="E23" s="63" t="b">
        <v>1</v>
      </c>
      <c r="F23" s="63" t="s">
        <v>121</v>
      </c>
      <c r="G23" s="65">
        <v>0</v>
      </c>
      <c r="H23" s="63" t="s">
        <v>119</v>
      </c>
      <c r="I23"/>
    </row>
    <row r="24" spans="1:9" ht="18">
      <c r="A24" s="63" t="s">
        <v>51</v>
      </c>
      <c r="B24" s="63" t="s">
        <v>122</v>
      </c>
      <c r="C24" s="63" t="s">
        <v>122</v>
      </c>
      <c r="D24" s="63"/>
      <c r="E24" s="63" t="b">
        <v>1</v>
      </c>
      <c r="F24" s="63" t="s">
        <v>123</v>
      </c>
      <c r="G24" s="65">
        <v>0</v>
      </c>
      <c r="H24" s="63" t="s">
        <v>51</v>
      </c>
      <c r="I24"/>
    </row>
    <row r="25" spans="1:9" ht="18">
      <c r="A25" s="63" t="s">
        <v>124</v>
      </c>
      <c r="B25" s="63" t="s">
        <v>125</v>
      </c>
      <c r="C25" s="63" t="s">
        <v>126</v>
      </c>
      <c r="D25" s="63"/>
      <c r="E25" s="63" t="b">
        <v>0</v>
      </c>
      <c r="F25" s="63" t="s">
        <v>127</v>
      </c>
      <c r="G25" s="65">
        <v>0</v>
      </c>
      <c r="H25" s="63" t="s">
        <v>124</v>
      </c>
      <c r="I25"/>
    </row>
    <row r="26" spans="1:9" ht="18">
      <c r="A26" s="63" t="s">
        <v>128</v>
      </c>
      <c r="B26" s="63" t="s">
        <v>129</v>
      </c>
      <c r="C26" s="63" t="s">
        <v>94</v>
      </c>
      <c r="D26" s="63" t="s">
        <v>163</v>
      </c>
      <c r="E26" s="63" t="b">
        <v>0</v>
      </c>
      <c r="F26" s="63" t="s">
        <v>128</v>
      </c>
      <c r="G26" s="65">
        <v>0</v>
      </c>
      <c r="H26" s="63" t="s">
        <v>128</v>
      </c>
      <c r="I26"/>
    </row>
    <row r="27" spans="1:9" ht="18">
      <c r="A27" s="63" t="s">
        <v>130</v>
      </c>
      <c r="B27" s="63" t="s">
        <v>131</v>
      </c>
      <c r="C27" s="63" t="s">
        <v>132</v>
      </c>
      <c r="D27" s="63"/>
      <c r="E27" s="63" t="b">
        <v>0</v>
      </c>
      <c r="F27" s="63" t="s">
        <v>133</v>
      </c>
      <c r="G27" s="65">
        <v>0</v>
      </c>
      <c r="H27" s="63" t="s">
        <v>130</v>
      </c>
      <c r="I27"/>
    </row>
    <row r="28" spans="1:9" ht="18">
      <c r="A28" s="63" t="s">
        <v>134</v>
      </c>
      <c r="B28" s="63" t="s">
        <v>135</v>
      </c>
      <c r="C28" s="63" t="s">
        <v>58</v>
      </c>
      <c r="D28" s="63" t="s">
        <v>136</v>
      </c>
      <c r="E28" s="63" t="b">
        <v>0</v>
      </c>
      <c r="F28" s="63" t="s">
        <v>137</v>
      </c>
      <c r="G28" s="65">
        <v>1</v>
      </c>
      <c r="H28" s="63" t="s">
        <v>4</v>
      </c>
      <c r="I28"/>
    </row>
    <row r="29" spans="1:9" ht="18">
      <c r="A29" s="63" t="s">
        <v>138</v>
      </c>
      <c r="B29" s="63" t="s">
        <v>139</v>
      </c>
      <c r="C29" s="63" t="s">
        <v>94</v>
      </c>
      <c r="D29" s="63" t="s">
        <v>164</v>
      </c>
      <c r="E29" s="63" t="b">
        <v>0</v>
      </c>
      <c r="F29" s="63" t="s">
        <v>140</v>
      </c>
      <c r="G29" s="65">
        <v>1</v>
      </c>
      <c r="H29" s="63" t="s">
        <v>92</v>
      </c>
      <c r="I29"/>
    </row>
    <row r="30" spans="1:9" ht="18">
      <c r="A30" s="63" t="s">
        <v>141</v>
      </c>
      <c r="B30" s="63" t="s">
        <v>142</v>
      </c>
      <c r="C30" s="63" t="s">
        <v>94</v>
      </c>
      <c r="D30" s="63" t="s">
        <v>165</v>
      </c>
      <c r="E30" s="63" t="b">
        <v>0</v>
      </c>
      <c r="F30" s="63" t="s">
        <v>143</v>
      </c>
      <c r="G30" s="65">
        <v>1</v>
      </c>
      <c r="H30" s="63" t="s">
        <v>92</v>
      </c>
      <c r="I30"/>
    </row>
    <row r="31" spans="1:9" ht="18">
      <c r="A31" s="64" t="s">
        <v>144</v>
      </c>
      <c r="B31" s="64" t="s">
        <v>145</v>
      </c>
      <c r="C31" s="64" t="s">
        <v>79</v>
      </c>
      <c r="D31" s="64"/>
      <c r="E31" s="64" t="b">
        <v>1</v>
      </c>
      <c r="F31" s="64" t="s">
        <v>144</v>
      </c>
      <c r="G31" s="66">
        <v>1</v>
      </c>
      <c r="H31" s="64" t="s">
        <v>78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39</v>
      </c>
      <c r="D1" s="4" t="s">
        <v>34</v>
      </c>
      <c r="E1" s="32" t="s">
        <v>38</v>
      </c>
      <c r="F1" s="93">
        <f ca="1">SUM($F$2:$F$101)</f>
        <v>0</v>
      </c>
      <c r="H1" s="27" t="s">
        <v>37</v>
      </c>
      <c r="I1" s="27" t="s">
        <v>35</v>
      </c>
      <c r="J1" s="27" t="s">
        <v>36</v>
      </c>
    </row>
    <row r="2" spans="1:10">
      <c r="A2" s="21">
        <f>ROW()-1</f>
        <v>1</v>
      </c>
      <c r="B2" s="29">
        <f ca="1">IF(AND(I2,NOT(J2),NOT(H2)),1,0)</f>
        <v>0</v>
      </c>
      <c r="C2" s="33" t="s">
        <v>47</v>
      </c>
      <c r="D2" s="22" t="s">
        <v>47</v>
      </c>
      <c r="E2" s="22" t="s">
        <v>167</v>
      </c>
      <c r="F2" s="90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166</v>
      </c>
      <c r="D3" s="24" t="s">
        <v>166</v>
      </c>
      <c r="E3" s="24" t="s">
        <v>172</v>
      </c>
      <c r="F3" s="91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175</v>
      </c>
      <c r="D4" s="24" t="s">
        <v>175</v>
      </c>
      <c r="E4" s="24" t="s">
        <v>176</v>
      </c>
      <c r="F4" s="91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1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1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1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1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1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1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1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1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1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1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1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1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1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1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1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1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1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1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1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1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1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1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1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1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1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1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1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1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1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1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1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1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1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1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1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1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1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1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1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1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1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1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1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1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1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1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1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1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1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1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1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1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1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1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1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1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1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1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1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1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1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1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1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1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1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1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1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1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1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1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1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1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1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1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1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1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1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1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1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1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1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1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1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1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1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1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1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1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1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1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1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1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1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1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1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1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2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58" priority="4" operator="equal">
      <formula>1</formula>
    </cfRule>
  </conditionalFormatting>
  <conditionalFormatting sqref="D2:E101">
    <cfRule type="expression" dxfId="157" priority="3">
      <formula>$J2</formula>
    </cfRule>
  </conditionalFormatting>
  <conditionalFormatting sqref="F2:F101">
    <cfRule type="cellIs" dxfId="156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A1867C2C-6359-4532-BB0E-034E523B1B33}"/>
    <hyperlink ref="C3" location="'受注'!A1" display="受注" xr:uid="{5F7622B0-2770-4C2D-A3AC-1B6627D0FFA1}"/>
    <hyperlink ref="C4" location="'受注明細'!A1" display="受注明細" xr:uid="{7B020BDE-E72A-4441-A438-5F95811ED9BE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4"/>
      <c r="E2" s="88" t="s">
        <v>158</v>
      </c>
      <c r="F2" s="89" t="s">
        <v>159</v>
      </c>
      <c r="G2" s="40"/>
      <c r="AF2" s="7" t="s">
        <v>17</v>
      </c>
      <c r="AG2" s="7" t="b">
        <f ca="1">OR(ISERROR(TABLE_JP),ISERROR(TABLE_EN))</f>
        <v>1</v>
      </c>
    </row>
    <row r="3" spans="1:43">
      <c r="B3" s="68" t="str">
        <f>AQ3</f>
        <v>フィールドの設定が１つもありません。</v>
      </c>
      <c r="AE3" s="7" t="s">
        <v>8</v>
      </c>
      <c r="AF3" s="7" t="s">
        <v>25</v>
      </c>
      <c r="AG3" s="7" t="b">
        <f>AI6="N/A"</f>
        <v>1</v>
      </c>
      <c r="AH3" s="7" t="s">
        <v>222</v>
      </c>
      <c r="AI3" s="7" t="s">
        <v>180</v>
      </c>
      <c r="AQ3" s="117" t="str">
        <f>IF(AG3,AH3,AQ4)</f>
        <v>フィールドの設定が１つもありません。</v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>$AQ$7</f>
        <v>PKの指定がありません。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1</v>
      </c>
      <c r="AJ5" s="69">
        <f>COUNTA(AJ6:AJ105)</f>
        <v>1</v>
      </c>
      <c r="AK5" s="98">
        <f>COUNTA(AK6:AK105)</f>
        <v>1</v>
      </c>
      <c r="AL5" s="86" cm="1">
        <f t="array" aca="1" ref="AL5" ca="1">IFERROR(INDIRECT($L$26&amp;"!R5C35",FALSE),1)</f>
        <v>1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178</v>
      </c>
      <c r="L6" s="115" t="s">
        <v>203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33</v>
      </c>
      <c r="AJ6" s="69" t="s">
        <v>33</v>
      </c>
      <c r="AK6" s="98" t="s">
        <v>180</v>
      </c>
      <c r="AL6" s="86" t="str" cm="1">
        <f t="array" aca="1" ref="AL6" ca="1">IFERROR(OFFSET(INDIRECT($L$26&amp;"!R6C35",FALSE),,,AL5,),"N/A")</f>
        <v>N/A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1</v>
      </c>
      <c r="AH7" s="7" t="s">
        <v>212</v>
      </c>
      <c r="AI7" s="59"/>
      <c r="AJ7" s="69"/>
      <c r="AK7" s="98"/>
      <c r="AL7" s="86"/>
      <c r="AM7" s="86"/>
      <c r="AN7" s="86"/>
      <c r="AO7" s="86"/>
      <c r="AP7" s="86"/>
      <c r="AQ7" s="117" t="str">
        <f>IF(AG7,AH7,AQ8)</f>
        <v>PKの指定がありません。</v>
      </c>
    </row>
    <row r="8" spans="1:43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0" t="s">
        <v>14</v>
      </c>
      <c r="L8" s="71"/>
      <c r="M8" s="72"/>
      <c r="N8" s="72"/>
      <c r="O8" s="72"/>
      <c r="P8" s="73"/>
      <c r="R8" s="86" t="str">
        <f>_xlfn.CONCAT(L8:P8)</f>
        <v/>
      </c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/>
      <c r="AJ8" s="69"/>
      <c r="AK8" s="98"/>
      <c r="AL8" s="86"/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/>
      <c r="AJ9" s="69"/>
      <c r="AK9" s="98"/>
      <c r="AL9" s="86"/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8" t="str">
        <f ca="1">$AQ$10</f>
        <v/>
      </c>
      <c r="T10" s="19" t="b">
        <f t="shared" ca="1" si="0"/>
        <v>0</v>
      </c>
      <c r="U10" s="19" t="b">
        <f t="shared" si="1"/>
        <v>0</v>
      </c>
      <c r="V10" s="19" t="b">
        <f t="shared" ca="1" si="2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/>
      <c r="AJ10" s="69"/>
      <c r="AK10" s="98"/>
      <c r="AL10" s="86"/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1"/>
        <v>0</v>
      </c>
      <c r="V11" s="19" t="b">
        <f t="shared" ca="1" si="2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/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2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2"/>
        <v>0</v>
      </c>
      <c r="X13" s="7" t="s">
        <v>155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8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2"/>
        <v>0</v>
      </c>
      <c r="X14" s="7" t="s">
        <v>156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8"/>
        <v/>
      </c>
      <c r="T15" s="19" t="b">
        <f t="shared" ca="1" si="0"/>
        <v>0</v>
      </c>
      <c r="U15" s="19" t="b">
        <f t="shared" si="1"/>
        <v>0</v>
      </c>
      <c r="V15" s="19" t="b">
        <f t="shared" ca="1" si="2"/>
        <v>0</v>
      </c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8"/>
        <v/>
      </c>
      <c r="T16" s="19" t="b">
        <f t="shared" ca="1" si="0"/>
        <v>0</v>
      </c>
      <c r="U16" s="19" t="b">
        <f t="shared" si="1"/>
        <v>0</v>
      </c>
      <c r="V16" s="19" t="b">
        <f t="shared" ca="1" si="2"/>
        <v>0</v>
      </c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8"/>
        <v/>
      </c>
      <c r="T17" s="19" t="b">
        <f t="shared" ca="1" si="0"/>
        <v>0</v>
      </c>
      <c r="U17" s="19" t="b">
        <f t="shared" si="1"/>
        <v>0</v>
      </c>
      <c r="V17" s="19" t="b">
        <f t="shared" ca="1" si="2"/>
        <v>0</v>
      </c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8"/>
        <v/>
      </c>
      <c r="T18" s="19" t="b">
        <f t="shared" ca="1" si="0"/>
        <v>0</v>
      </c>
      <c r="U18" s="19" t="b">
        <f t="shared" si="1"/>
        <v>0</v>
      </c>
      <c r="V18" s="19" t="b">
        <f t="shared" ca="1" si="2"/>
        <v>0</v>
      </c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8"/>
        <v/>
      </c>
      <c r="T19" s="19" t="b">
        <f t="shared" ca="1" si="0"/>
        <v>0</v>
      </c>
      <c r="U19" s="19" t="b">
        <f t="shared" si="1"/>
        <v>0</v>
      </c>
      <c r="V19" s="19" t="b">
        <f t="shared" ca="1" si="2"/>
        <v>0</v>
      </c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8"/>
        <v/>
      </c>
      <c r="T20" s="19" t="b">
        <f t="shared" ca="1" si="0"/>
        <v>0</v>
      </c>
      <c r="U20" s="19" t="b">
        <f t="shared" si="1"/>
        <v>0</v>
      </c>
      <c r="V20" s="19" t="b">
        <f t="shared" ca="1" si="2"/>
        <v>0</v>
      </c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8"/>
        <v/>
      </c>
      <c r="T21" s="19" t="b">
        <f t="shared" ca="1" si="0"/>
        <v>0</v>
      </c>
      <c r="U21" s="19" t="b">
        <f t="shared" si="1"/>
        <v>0</v>
      </c>
      <c r="V21" s="19" t="b">
        <f t="shared" ca="1" si="2"/>
        <v>0</v>
      </c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8"/>
        <v/>
      </c>
      <c r="T22" s="19" t="b">
        <f t="shared" ca="1" si="0"/>
        <v>0</v>
      </c>
      <c r="U22" s="19" t="b">
        <f t="shared" si="1"/>
        <v>0</v>
      </c>
      <c r="V22" s="19" t="b">
        <f t="shared" ca="1" si="2"/>
        <v>0</v>
      </c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2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2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1"/>
        <v>0</v>
      </c>
      <c r="V25" s="19" t="b">
        <f t="shared" ca="1" si="2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/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1"/>
        <v>0</v>
      </c>
      <c r="V26" s="19" t="b">
        <f t="shared" ca="1" si="2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/>
      </c>
      <c r="S27" s="69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2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/>
      <c r="M28" s="76"/>
      <c r="N28" s="76"/>
      <c r="O28" s="76"/>
      <c r="P28" s="77"/>
      <c r="T28" s="19" t="b">
        <f t="shared" ca="1" si="0"/>
        <v>0</v>
      </c>
      <c r="U28" s="19" t="b">
        <f t="shared" si="1"/>
        <v>0</v>
      </c>
      <c r="V28" s="19" t="b">
        <f t="shared" ca="1" si="2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/>
      <c r="M29" s="84"/>
      <c r="N29" s="84"/>
      <c r="O29" s="84"/>
      <c r="P29" s="85"/>
      <c r="R29" s="86" t="str">
        <f t="shared" ref="R29" si="10">_xlfn.CONCAT(L29:P29)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2"/>
        <v>0</v>
      </c>
      <c r="Y29" s="86" t="str">
        <f ca="1">IFERROR(VLOOKUP(L28,項目!DATA_AREA,8,FALSE),"N/A")</f>
        <v>N/A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2"/>
        <v>0</v>
      </c>
      <c r="Y30" s="86" t="str">
        <f ca="1">IFERROR(VLOOKUP(L29,項目!DATA_AREA,8,FALSE),"N/A")</f>
        <v>N/A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1"/>
        <v>0</v>
      </c>
      <c r="V31" s="19" t="b">
        <f t="shared" ca="1" si="2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2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1"/>
        <v>0</v>
      </c>
      <c r="V33" s="19" t="b">
        <f t="shared" ca="1" si="2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1">_xlfn.CONCAT(L34:P34)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2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2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1"/>
        <v>0</v>
      </c>
      <c r="V36" s="19" t="b">
        <f t="shared" ca="1" si="2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2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ref="T38:T69" ca="1" si="12">AND(B38&lt;&gt;"",ISNA(MATCH(B38,項目リスト,0)))</f>
        <v>0</v>
      </c>
      <c r="U38" s="19" t="b">
        <f t="shared" ref="U38:U69" si="13">COUNTIF(FIELD_NAME,B38)&gt;1</f>
        <v>0</v>
      </c>
      <c r="V38" s="19" t="b">
        <f t="shared" ca="1" si="2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12"/>
        <v>0</v>
      </c>
      <c r="U39" s="19" t="b">
        <f t="shared" si="13"/>
        <v>0</v>
      </c>
      <c r="V39" s="19" t="b">
        <f t="shared" ca="1" si="2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2"/>
        <v>0</v>
      </c>
      <c r="U40" s="19" t="b">
        <f t="shared" si="13"/>
        <v>0</v>
      </c>
      <c r="V40" s="19" t="b">
        <f t="shared" ca="1" si="2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12"/>
        <v>0</v>
      </c>
      <c r="U41" s="19" t="b">
        <f t="shared" si="13"/>
        <v>0</v>
      </c>
      <c r="V41" s="19" t="b">
        <f t="shared" ca="1" si="2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12"/>
        <v>0</v>
      </c>
      <c r="U42" s="19" t="b">
        <f t="shared" si="13"/>
        <v>0</v>
      </c>
      <c r="V42" s="19" t="b">
        <f t="shared" ca="1" si="2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12"/>
        <v>0</v>
      </c>
      <c r="U43" s="19" t="b">
        <f t="shared" si="13"/>
        <v>0</v>
      </c>
      <c r="V43" s="19" t="b">
        <f t="shared" ca="1" si="2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12"/>
        <v>0</v>
      </c>
      <c r="U44" s="19" t="b">
        <f t="shared" si="13"/>
        <v>0</v>
      </c>
      <c r="V44" s="19" t="b">
        <f t="shared" ca="1" si="2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2"/>
        <v>0</v>
      </c>
      <c r="U45" s="19" t="b">
        <f t="shared" si="13"/>
        <v>0</v>
      </c>
      <c r="V45" s="19" t="b">
        <f t="shared" ca="1" si="2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12"/>
        <v>0</v>
      </c>
      <c r="U46" s="19" t="b">
        <f t="shared" si="13"/>
        <v>0</v>
      </c>
      <c r="V46" s="19" t="b">
        <f t="shared" ca="1" si="2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12"/>
        <v>0</v>
      </c>
      <c r="U47" s="19" t="b">
        <f t="shared" si="13"/>
        <v>0</v>
      </c>
      <c r="V47" s="19" t="b">
        <f t="shared" ca="1" si="2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12"/>
        <v>0</v>
      </c>
      <c r="U48" s="19" t="b">
        <f t="shared" si="13"/>
        <v>0</v>
      </c>
      <c r="V48" s="19" t="b">
        <f t="shared" ca="1" si="2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12"/>
        <v>0</v>
      </c>
      <c r="U49" s="19" t="b">
        <f t="shared" si="13"/>
        <v>0</v>
      </c>
      <c r="V49" s="19" t="b">
        <f t="shared" ca="1" si="2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2"/>
        <v>0</v>
      </c>
      <c r="U50" s="19" t="b">
        <f t="shared" si="13"/>
        <v>0</v>
      </c>
      <c r="V50" s="19" t="b">
        <f t="shared" ca="1" si="2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12"/>
        <v>0</v>
      </c>
      <c r="U51" s="19" t="b">
        <f t="shared" si="13"/>
        <v>0</v>
      </c>
      <c r="V51" s="19" t="b">
        <f t="shared" ca="1" si="2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12"/>
        <v>0</v>
      </c>
      <c r="U52" s="19" t="b">
        <f t="shared" si="13"/>
        <v>0</v>
      </c>
      <c r="V52" s="19" t="b">
        <f t="shared" ca="1" si="2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12"/>
        <v>0</v>
      </c>
      <c r="U53" s="19" t="b">
        <f t="shared" si="13"/>
        <v>0</v>
      </c>
      <c r="V53" s="19" t="b">
        <f t="shared" ca="1" si="2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12"/>
        <v>0</v>
      </c>
      <c r="U54" s="19" t="b">
        <f t="shared" si="13"/>
        <v>0</v>
      </c>
      <c r="V54" s="19" t="b">
        <f t="shared" ca="1" si="2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/>
      <c r="M55" s="110"/>
      <c r="N55" s="110"/>
      <c r="O55" s="110"/>
      <c r="P55" s="111"/>
      <c r="R55" s="86" t="str">
        <f t="shared" ref="R55:R63" si="17">_xlfn.CONCAT(L55:P55)</f>
        <v/>
      </c>
      <c r="T55" s="19" t="b">
        <f t="shared" ca="1" si="12"/>
        <v>0</v>
      </c>
      <c r="U55" s="19" t="b">
        <f t="shared" si="13"/>
        <v>0</v>
      </c>
      <c r="V55" s="19" t="b">
        <f t="shared" ca="1" si="2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/>
      <c r="N56" s="113"/>
      <c r="O56" s="113"/>
      <c r="P56" s="114"/>
      <c r="T56" s="19" t="b">
        <f t="shared" ca="1" si="12"/>
        <v>0</v>
      </c>
      <c r="U56" s="19" t="b">
        <f t="shared" si="13"/>
        <v>0</v>
      </c>
      <c r="V56" s="19" t="b">
        <f t="shared" ca="1" si="2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12"/>
        <v>0</v>
      </c>
      <c r="U57" s="19" t="b">
        <f t="shared" si="13"/>
        <v>0</v>
      </c>
      <c r="V57" s="19" t="b">
        <f t="shared" ca="1" si="2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12"/>
        <v>0</v>
      </c>
      <c r="U58" s="19" t="b">
        <f t="shared" si="13"/>
        <v>0</v>
      </c>
      <c r="V58" s="19" t="b">
        <f t="shared" ca="1" si="2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12"/>
        <v>0</v>
      </c>
      <c r="U59" s="19" t="b">
        <f t="shared" si="13"/>
        <v>0</v>
      </c>
      <c r="V59" s="19" t="b">
        <f t="shared" ca="1" si="2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12"/>
        <v>0</v>
      </c>
      <c r="U60" s="19" t="b">
        <f t="shared" si="13"/>
        <v>0</v>
      </c>
      <c r="V60" s="19" t="b">
        <f t="shared" ca="1" si="2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12"/>
        <v>0</v>
      </c>
      <c r="U61" s="19" t="b">
        <f t="shared" si="13"/>
        <v>0</v>
      </c>
      <c r="V61" s="19" t="b">
        <f t="shared" ca="1" si="2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12"/>
        <v>0</v>
      </c>
      <c r="U62" s="19" t="b">
        <f t="shared" si="13"/>
        <v>0</v>
      </c>
      <c r="V62" s="19" t="b">
        <f t="shared" ca="1" si="2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12"/>
        <v>0</v>
      </c>
      <c r="U63" s="19" t="b">
        <f t="shared" si="13"/>
        <v>0</v>
      </c>
      <c r="V63" s="19" t="b">
        <f t="shared" ca="1" si="2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12"/>
        <v>0</v>
      </c>
      <c r="U64" s="19" t="b">
        <f t="shared" si="13"/>
        <v>0</v>
      </c>
      <c r="V64" s="19" t="b">
        <f t="shared" ca="1" si="2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2"/>
        <v>0</v>
      </c>
      <c r="U65" s="19" t="b">
        <f t="shared" si="13"/>
        <v>0</v>
      </c>
      <c r="V65" s="19" t="b">
        <f t="shared" ca="1" si="2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2"/>
        <v>0</v>
      </c>
      <c r="U66" s="19" t="b">
        <f t="shared" si="13"/>
        <v>0</v>
      </c>
      <c r="V66" s="19" t="b">
        <f t="shared" ca="1" si="2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2"/>
        <v>0</v>
      </c>
      <c r="U67" s="19" t="b">
        <f t="shared" si="13"/>
        <v>0</v>
      </c>
      <c r="V67" s="19" t="b">
        <f t="shared" ca="1" si="2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2"/>
        <v>0</v>
      </c>
      <c r="U68" s="19" t="b">
        <f t="shared" si="13"/>
        <v>0</v>
      </c>
      <c r="V68" s="19" t="b">
        <f t="shared" ca="1" si="2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2"/>
        <v>0</v>
      </c>
      <c r="U69" s="19" t="b">
        <f t="shared" si="13"/>
        <v>0</v>
      </c>
      <c r="V69" s="19" t="b">
        <f t="shared" ca="1" si="2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2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2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2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N/A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" ca="1">IFERROR(OFFSET(INDIRECT($L$26&amp;"!R13C18",FALSE),,,10,),"N/A")</f>
        <v>N/A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/>
      <c r="AM108" s="69"/>
      <c r="AN108" s="69"/>
      <c r="AO108" s="69"/>
      <c r="AP108" s="69"/>
    </row>
    <row r="109" spans="1:42">
      <c r="AL109" s="69"/>
      <c r="AM109" s="69"/>
      <c r="AN109" s="69"/>
      <c r="AO109" s="69"/>
      <c r="AP109" s="69"/>
    </row>
    <row r="110" spans="1:42">
      <c r="AL110" s="69"/>
      <c r="AM110" s="69"/>
      <c r="AN110" s="69"/>
      <c r="AO110" s="69"/>
      <c r="AP110" s="69"/>
    </row>
    <row r="111" spans="1:42">
      <c r="AL111" s="69"/>
      <c r="AM111" s="69"/>
      <c r="AN111" s="69"/>
      <c r="AO111" s="69"/>
      <c r="AP111" s="69"/>
    </row>
    <row r="112" spans="1:42">
      <c r="AL112" s="69"/>
      <c r="AM112" s="69"/>
      <c r="AN112" s="69"/>
      <c r="AO112" s="69"/>
      <c r="AP112" s="69"/>
    </row>
    <row r="113" spans="38:42">
      <c r="AL113" s="69"/>
      <c r="AM113" s="69"/>
      <c r="AN113" s="69"/>
      <c r="AO113" s="69"/>
      <c r="AP113" s="69"/>
    </row>
    <row r="114" spans="38:42">
      <c r="AL114" s="69"/>
      <c r="AM114" s="69"/>
      <c r="AN114" s="69"/>
      <c r="AO114" s="69"/>
      <c r="AP114" s="69"/>
    </row>
    <row r="115" spans="38:42">
      <c r="AL115" s="69"/>
      <c r="AM115" s="69"/>
      <c r="AN115" s="69"/>
      <c r="AO115" s="69"/>
      <c r="AP115" s="69"/>
    </row>
    <row r="116" spans="38:42">
      <c r="AL116" s="69"/>
      <c r="AM116" s="69"/>
      <c r="AN116" s="69"/>
      <c r="AO116" s="69"/>
      <c r="AP116" s="69"/>
    </row>
  </sheetData>
  <phoneticPr fontId="2"/>
  <conditionalFormatting sqref="B2:C2">
    <cfRule type="expression" dxfId="155" priority="147">
      <formula>ISERROR(B2)</formula>
    </cfRule>
  </conditionalFormatting>
  <conditionalFormatting sqref="B6:B105">
    <cfRule type="expression" dxfId="154" priority="144">
      <formula>COUNTIF(FIELD_NAME,B6)&gt;1</formula>
    </cfRule>
    <cfRule type="expression" dxfId="153" priority="145">
      <formula>AND($B6&lt;&gt;"",ISNA(MATCH($B6,項目リスト,0)))</formula>
    </cfRule>
  </conditionalFormatting>
  <conditionalFormatting sqref="B6">
    <cfRule type="expression" dxfId="152" priority="139">
      <formula>$AI$6="N/A"</formula>
    </cfRule>
  </conditionalFormatting>
  <conditionalFormatting sqref="D1">
    <cfRule type="cellIs" dxfId="151" priority="128" operator="greaterThan">
      <formula>0</formula>
    </cfRule>
  </conditionalFormatting>
  <conditionalFormatting sqref="L8:P8">
    <cfRule type="expression" dxfId="150" priority="159">
      <formula>Y8</formula>
    </cfRule>
    <cfRule type="expression" dxfId="149" priority="160">
      <formula>Y7</formula>
    </cfRule>
  </conditionalFormatting>
  <conditionalFormatting sqref="L13:P22">
    <cfRule type="expression" dxfId="148" priority="91">
      <formula>Y13</formula>
    </cfRule>
    <cfRule type="expression" dxfId="147" priority="92">
      <formula>$AD13</formula>
    </cfRule>
  </conditionalFormatting>
  <conditionalFormatting sqref="L8">
    <cfRule type="expression" dxfId="146" priority="158">
      <formula>$AG$7</formula>
    </cfRule>
  </conditionalFormatting>
  <conditionalFormatting sqref="L55:P64">
    <cfRule type="expression" dxfId="145" priority="24">
      <formula>Y55</formula>
    </cfRule>
    <cfRule type="expression" dxfId="144" priority="25">
      <formula>$AD55</formula>
    </cfRule>
  </conditionalFormatting>
  <conditionalFormatting sqref="L43:P44">
    <cfRule type="expression" dxfId="143" priority="15">
      <formula>Y42</formula>
    </cfRule>
  </conditionalFormatting>
  <conditionalFormatting sqref="L43:P43">
    <cfRule type="expression" dxfId="142" priority="13">
      <formula>$AD42</formula>
    </cfRule>
    <cfRule type="expression" dxfId="141" priority="162">
      <formula>Y41</formula>
    </cfRule>
  </conditionalFormatting>
  <conditionalFormatting sqref="L43">
    <cfRule type="expression" dxfId="140" priority="14">
      <formula>$AD41</formula>
    </cfRule>
  </conditionalFormatting>
  <conditionalFormatting sqref="L28:P29 L33:P34 L38:P39 L48:P49 L43:P44">
    <cfRule type="expression" dxfId="139" priority="165">
      <formula>Y27</formula>
    </cfRule>
  </conditionalFormatting>
  <conditionalFormatting sqref="L29:P29 L34:P34 L39:P39 L49:P49">
    <cfRule type="expression" dxfId="138" priority="168">
      <formula>$AD27</formula>
    </cfRule>
    <cfRule type="expression" dxfId="137" priority="169">
      <formula>Y26</formula>
    </cfRule>
  </conditionalFormatting>
  <conditionalFormatting sqref="L28 L33 L38 L48 L43">
    <cfRule type="expression" dxfId="136" priority="170">
      <formula>$AD26</formula>
    </cfRule>
  </conditionalFormatting>
  <conditionalFormatting sqref="L44:P44">
    <cfRule type="expression" dxfId="135" priority="173">
      <formula>$AD42</formula>
    </cfRule>
    <cfRule type="expression" dxfId="134" priority="174">
      <formula>Y41</formula>
    </cfRule>
  </conditionalFormatting>
  <conditionalFormatting sqref="L28:P28 L33:P33 L38:P38 L43:P43 L48:P48">
    <cfRule type="expression" dxfId="133" priority="12">
      <formula>$AD27</formula>
    </cfRule>
    <cfRule type="expression" dxfId="132" priority="161">
      <formula>Y26</formula>
    </cfRule>
  </conditionalFormatting>
  <conditionalFormatting sqref="K56">
    <cfRule type="expression" dxfId="131" priority="10">
      <formula>X56</formula>
    </cfRule>
    <cfRule type="expression" dxfId="130" priority="11">
      <formula>$AD56</formula>
    </cfRule>
  </conditionalFormatting>
  <conditionalFormatting sqref="K58">
    <cfRule type="expression" dxfId="129" priority="8">
      <formula>X58</formula>
    </cfRule>
    <cfRule type="expression" dxfId="128" priority="9">
      <formula>$AD58</formula>
    </cfRule>
  </conditionalFormatting>
  <conditionalFormatting sqref="K60">
    <cfRule type="expression" dxfId="127" priority="6">
      <formula>X60</formula>
    </cfRule>
    <cfRule type="expression" dxfId="126" priority="7">
      <formula>$AD60</formula>
    </cfRule>
  </conditionalFormatting>
  <conditionalFormatting sqref="K62">
    <cfRule type="expression" dxfId="125" priority="4">
      <formula>X62</formula>
    </cfRule>
    <cfRule type="expression" dxfId="124" priority="5">
      <formula>$AD62</formula>
    </cfRule>
  </conditionalFormatting>
  <conditionalFormatting sqref="K64">
    <cfRule type="expression" dxfId="123" priority="2">
      <formula>X64</formula>
    </cfRule>
    <cfRule type="expression" dxfId="122" priority="3">
      <formula>$AD64</formula>
    </cfRule>
  </conditionalFormatting>
  <conditionalFormatting sqref="L29:P29 L34:P34 L39:P39 L44:P44 L49:P49">
    <cfRule type="expression" dxfId="121" priority="1">
      <formula>$AD28</formula>
    </cfRule>
  </conditionalFormatting>
  <dataValidations count="16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A99A8-84FE-4E19-A7C2-57FE8E01C5A4}">
  <sheetPr codeName="template1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4">
        <v>1</v>
      </c>
      <c r="E2" s="88" t="s">
        <v>158</v>
      </c>
      <c r="F2" s="89" t="s">
        <v>168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6</v>
      </c>
      <c r="AJ5" s="69">
        <f>COUNTA(AJ6:AJ105)</f>
        <v>5</v>
      </c>
      <c r="AK5" s="98">
        <f>COUNTA(AK6:AK105)</f>
        <v>2</v>
      </c>
      <c r="AL5" s="86" cm="1">
        <f t="array" aca="1" ref="AL5" ca="1">IFERROR(INDIRECT($L$26&amp;"!R5C35",FALSE),1)</f>
        <v>1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32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171</v>
      </c>
      <c r="AJ6" s="69" t="s">
        <v>171</v>
      </c>
      <c r="AK6" s="98" t="s">
        <v>146</v>
      </c>
      <c r="AL6" s="86" t="str" cm="1">
        <f t="array" aca="1" ref="AL6" ca="1">IFERROR(OFFSET(INDIRECT($L$26&amp;"!R6C35",FALSE),,,AL5,),"N/A")</f>
        <v>N/A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47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169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47</v>
      </c>
      <c r="AJ7" s="69" t="s">
        <v>47</v>
      </c>
      <c r="AK7" s="98" t="s">
        <v>175</v>
      </c>
      <c r="AL7" s="86"/>
      <c r="AM7" s="86"/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0" t="s">
        <v>14</v>
      </c>
      <c r="L8" s="71" t="s">
        <v>32</v>
      </c>
      <c r="M8" s="72"/>
      <c r="N8" s="72"/>
      <c r="O8" s="72"/>
      <c r="P8" s="73"/>
      <c r="R8" s="86" t="str">
        <f>_xlfn.CONCAT(L8:P8)</f>
        <v>得意先ID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31</v>
      </c>
      <c r="AJ8" s="69" t="s">
        <v>51</v>
      </c>
      <c r="AK8" s="98"/>
      <c r="AL8" s="86"/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51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51</v>
      </c>
      <c r="AJ9" s="69" t="s">
        <v>21</v>
      </c>
      <c r="AK9" s="98"/>
      <c r="AL9" s="86"/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170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21</v>
      </c>
      <c r="AJ10" s="69" t="s">
        <v>141</v>
      </c>
      <c r="AK10" s="98"/>
      <c r="AL10" s="86"/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 t="s">
        <v>141</v>
      </c>
      <c r="C11" s="35" t="str">
        <f ca="1">IFERROR(VLOOKUP(B11,項目!DATA_AREA,2,FALSE),"")</f>
        <v>product_pic</v>
      </c>
      <c r="D11" s="35" t="str">
        <f ca="1">IFERROR(VLOOKUP(B11,項目!DATA_AREA,3,FALSE),"")</f>
        <v>varchar(4)</v>
      </c>
      <c r="E11" s="51">
        <v>1</v>
      </c>
      <c r="F11" s="45"/>
      <c r="G11" s="38" t="str">
        <f ca="1">IFERROR(VLOOKUP(B11,項目!DATA_AREA,4,FALSE),"")</f>
        <v>(LENGTH(product_pic) = 4)</v>
      </c>
      <c r="H11" s="12" t="b">
        <f ca="1">IFERROR(VLOOKUP(B11,項目!DATA_AREA,5,FALSE),"")</f>
        <v>0</v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 t="s">
        <v>141</v>
      </c>
      <c r="AJ11" s="69"/>
      <c r="AK11" s="98"/>
      <c r="AL11" s="86"/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 t="s">
        <v>32</v>
      </c>
      <c r="M13" s="76" t="s">
        <v>31</v>
      </c>
      <c r="N13" s="76"/>
      <c r="O13" s="76"/>
      <c r="P13" s="77"/>
      <c r="R13" s="86" t="str">
        <f>_xlfn.CONCAT(L13:P13)</f>
        <v>得意先ID担当者名</v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 t="s">
        <v>21</v>
      </c>
      <c r="M14" s="80"/>
      <c r="N14" s="80"/>
      <c r="O14" s="80"/>
      <c r="P14" s="81"/>
      <c r="R14" s="86" t="str">
        <f t="shared" ref="R14:R22" si="9">_xlfn.CONCAT(L14:P14)</f>
        <v>登録日</v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 t="s">
        <v>141</v>
      </c>
      <c r="M15" s="80"/>
      <c r="N15" s="80"/>
      <c r="O15" s="80"/>
      <c r="P15" s="81"/>
      <c r="R15" s="86" t="str">
        <f t="shared" si="9"/>
        <v>商品担当者ID</v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/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/>
      </c>
      <c r="S27" s="69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/>
      <c r="M28" s="76"/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/>
      <c r="M29" s="84"/>
      <c r="N29" s="84"/>
      <c r="O29" s="84"/>
      <c r="P29" s="85"/>
      <c r="R29" s="86" t="str">
        <f t="shared" ref="R29" si="11">_xlfn.CONCAT(L29:P29)</f>
        <v/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N/A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N/A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2">_xlfn.CONCAT(L34:P34)</f>
        <v/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31</v>
      </c>
      <c r="M55" s="110"/>
      <c r="N55" s="110"/>
      <c r="O55" s="110"/>
      <c r="P55" s="111"/>
      <c r="R55" s="86" t="str">
        <f t="shared" ref="R55:R63" si="17">_xlfn.CONCAT(L55:P55)</f>
        <v>担当者名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/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 t="s">
        <v>21</v>
      </c>
      <c r="M57" s="110" t="s">
        <v>51</v>
      </c>
      <c r="N57" s="110"/>
      <c r="O57" s="110"/>
      <c r="P57" s="111"/>
      <c r="R57" s="86" t="str">
        <f t="shared" si="17"/>
        <v>登録日取引先区分</v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N/A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" ca="1">IFERROR(OFFSET(INDIRECT($L$26&amp;"!R13C18",FALSE),,,10,),"N/A")</f>
        <v>N/A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/>
      <c r="AM108" s="69"/>
      <c r="AN108" s="69"/>
      <c r="AO108" s="69"/>
      <c r="AP108" s="69"/>
    </row>
    <row r="109" spans="1:42">
      <c r="AL109" s="69"/>
      <c r="AM109" s="69"/>
      <c r="AN109" s="69"/>
      <c r="AO109" s="69"/>
      <c r="AP109" s="69"/>
    </row>
    <row r="110" spans="1:42">
      <c r="AL110" s="69"/>
      <c r="AM110" s="69"/>
      <c r="AN110" s="69"/>
      <c r="AO110" s="69"/>
      <c r="AP110" s="69"/>
    </row>
    <row r="111" spans="1:42">
      <c r="AL111" s="69"/>
      <c r="AM111" s="69"/>
      <c r="AN111" s="69"/>
      <c r="AO111" s="69"/>
      <c r="AP111" s="69"/>
    </row>
    <row r="112" spans="1:42">
      <c r="AL112" s="69"/>
      <c r="AM112" s="69"/>
      <c r="AN112" s="69"/>
      <c r="AO112" s="69"/>
      <c r="AP112" s="69"/>
    </row>
    <row r="113" spans="38:42">
      <c r="AL113" s="69"/>
      <c r="AM113" s="69"/>
      <c r="AN113" s="69"/>
      <c r="AO113" s="69"/>
      <c r="AP113" s="69"/>
    </row>
    <row r="114" spans="38:42">
      <c r="AL114" s="69"/>
      <c r="AM114" s="69"/>
      <c r="AN114" s="69"/>
      <c r="AO114" s="69"/>
      <c r="AP114" s="69"/>
    </row>
    <row r="115" spans="38:42">
      <c r="AL115" s="69"/>
      <c r="AM115" s="69"/>
      <c r="AN115" s="69"/>
      <c r="AO115" s="69"/>
      <c r="AP115" s="69"/>
    </row>
    <row r="116" spans="38:42">
      <c r="AL116" s="69"/>
      <c r="AM116" s="69"/>
      <c r="AN116" s="69"/>
      <c r="AO116" s="69"/>
      <c r="AP116" s="69"/>
    </row>
  </sheetData>
  <phoneticPr fontId="2"/>
  <conditionalFormatting sqref="B2:C2">
    <cfRule type="expression" dxfId="120" priority="24">
      <formula>ISERROR(B2)</formula>
    </cfRule>
  </conditionalFormatting>
  <conditionalFormatting sqref="B6:B105">
    <cfRule type="expression" dxfId="119" priority="22">
      <formula>COUNTIF(FIELD_NAME,B6)&gt;1</formula>
    </cfRule>
    <cfRule type="expression" dxfId="118" priority="23">
      <formula>AND($B6&lt;&gt;"",ISNA(MATCH($B6,項目リスト,0)))</formula>
    </cfRule>
  </conditionalFormatting>
  <conditionalFormatting sqref="B6">
    <cfRule type="expression" dxfId="117" priority="21">
      <formula>$AI$6="N/A"</formula>
    </cfRule>
  </conditionalFormatting>
  <conditionalFormatting sqref="D1">
    <cfRule type="cellIs" dxfId="116" priority="20" operator="greaterThan">
      <formula>0</formula>
    </cfRule>
  </conditionalFormatting>
  <conditionalFormatting sqref="L8:P8">
    <cfRule type="expression" dxfId="115" priority="26">
      <formula>Y8</formula>
    </cfRule>
    <cfRule type="expression" dxfId="114" priority="27">
      <formula>Y7</formula>
    </cfRule>
  </conditionalFormatting>
  <conditionalFormatting sqref="L13:P22">
    <cfRule type="expression" dxfId="113" priority="18">
      <formula>Y13</formula>
    </cfRule>
    <cfRule type="expression" dxfId="112" priority="19">
      <formula>$AD13</formula>
    </cfRule>
  </conditionalFormatting>
  <conditionalFormatting sqref="L8">
    <cfRule type="expression" dxfId="111" priority="25">
      <formula>$AG$7</formula>
    </cfRule>
  </conditionalFormatting>
  <conditionalFormatting sqref="L55:P64">
    <cfRule type="expression" dxfId="110" priority="16">
      <formula>Y55</formula>
    </cfRule>
    <cfRule type="expression" dxfId="109" priority="17">
      <formula>$AD55</formula>
    </cfRule>
  </conditionalFormatting>
  <conditionalFormatting sqref="L43:P44">
    <cfRule type="expression" dxfId="108" priority="15">
      <formula>Y42</formula>
    </cfRule>
  </conditionalFormatting>
  <conditionalFormatting sqref="L43:P43">
    <cfRule type="expression" dxfId="107" priority="13">
      <formula>$AD42</formula>
    </cfRule>
    <cfRule type="expression" dxfId="106" priority="29">
      <formula>Y41</formula>
    </cfRule>
  </conditionalFormatting>
  <conditionalFormatting sqref="L43">
    <cfRule type="expression" dxfId="105" priority="14">
      <formula>$AD41</formula>
    </cfRule>
  </conditionalFormatting>
  <conditionalFormatting sqref="L28:P29 L33:P34 L38:P39 L48:P49 L43:P44">
    <cfRule type="expression" dxfId="104" priority="30">
      <formula>Y27</formula>
    </cfRule>
  </conditionalFormatting>
  <conditionalFormatting sqref="L29:P29 L34:P34 L39:P39 L49:P49">
    <cfRule type="expression" dxfId="103" priority="31">
      <formula>$AD27</formula>
    </cfRule>
    <cfRule type="expression" dxfId="102" priority="32">
      <formula>Y26</formula>
    </cfRule>
  </conditionalFormatting>
  <conditionalFormatting sqref="L28 L33 L38 L48 L43">
    <cfRule type="expression" dxfId="101" priority="33">
      <formula>$AD26</formula>
    </cfRule>
  </conditionalFormatting>
  <conditionalFormatting sqref="L44:P44">
    <cfRule type="expression" dxfId="100" priority="34">
      <formula>$AD42</formula>
    </cfRule>
    <cfRule type="expression" dxfId="99" priority="35">
      <formula>Y41</formula>
    </cfRule>
  </conditionalFormatting>
  <conditionalFormatting sqref="L28:P28 L33:P33 L38:P38 L43:P43 L48:P48">
    <cfRule type="expression" dxfId="98" priority="12">
      <formula>$AD27</formula>
    </cfRule>
    <cfRule type="expression" dxfId="97" priority="28">
      <formula>Y26</formula>
    </cfRule>
  </conditionalFormatting>
  <conditionalFormatting sqref="K56">
    <cfRule type="expression" dxfId="96" priority="10">
      <formula>X56</formula>
    </cfRule>
    <cfRule type="expression" dxfId="95" priority="11">
      <formula>$AD56</formula>
    </cfRule>
  </conditionalFormatting>
  <conditionalFormatting sqref="K58">
    <cfRule type="expression" dxfId="94" priority="8">
      <formula>X58</formula>
    </cfRule>
    <cfRule type="expression" dxfId="93" priority="9">
      <formula>$AD58</formula>
    </cfRule>
  </conditionalFormatting>
  <conditionalFormatting sqref="K60">
    <cfRule type="expression" dxfId="92" priority="6">
      <formula>X60</formula>
    </cfRule>
    <cfRule type="expression" dxfId="91" priority="7">
      <formula>$AD60</formula>
    </cfRule>
  </conditionalFormatting>
  <conditionalFormatting sqref="K62">
    <cfRule type="expression" dxfId="90" priority="4">
      <formula>X62</formula>
    </cfRule>
    <cfRule type="expression" dxfId="89" priority="5">
      <formula>$AD62</formula>
    </cfRule>
  </conditionalFormatting>
  <conditionalFormatting sqref="K64">
    <cfRule type="expression" dxfId="88" priority="2">
      <formula>X64</formula>
    </cfRule>
    <cfRule type="expression" dxfId="87" priority="3">
      <formula>$AD64</formula>
    </cfRule>
  </conditionalFormatting>
  <conditionalFormatting sqref="L29:P29 L34:P34 L39:P39 L44:P44 L49:P49">
    <cfRule type="expression" dxfId="86" priority="1">
      <formula>$AD28</formula>
    </cfRule>
  </conditionalFormatting>
  <conditionalFormatting sqref="E6">
    <cfRule type="expression" dxfId="85" priority="36" stopIfTrue="1">
      <formula>$V6</formula>
    </cfRule>
  </conditionalFormatting>
  <conditionalFormatting sqref="E7">
    <cfRule type="expression" dxfId="84" priority="37" stopIfTrue="1">
      <formula>$V7</formula>
    </cfRule>
  </conditionalFormatting>
  <conditionalFormatting sqref="E8">
    <cfRule type="expression" dxfId="83" priority="38" stopIfTrue="1">
      <formula>$V8</formula>
    </cfRule>
  </conditionalFormatting>
  <conditionalFormatting sqref="E9">
    <cfRule type="expression" dxfId="82" priority="39" stopIfTrue="1">
      <formula>$V9</formula>
    </cfRule>
  </conditionalFormatting>
  <conditionalFormatting sqref="E10">
    <cfRule type="expression" dxfId="81" priority="40" stopIfTrue="1">
      <formula>$V10</formula>
    </cfRule>
  </conditionalFormatting>
  <conditionalFormatting sqref="E11">
    <cfRule type="expression" dxfId="80" priority="41" stopIfTrue="1">
      <formula>$V11</formula>
    </cfRule>
  </conditionalFormatting>
  <dataValidations count="16">
    <dataValidation imeMode="off" allowBlank="1" showInputMessage="1" showErrorMessage="1" sqref="D5:F5 C2" xr:uid="{69D063E0-7AD1-4346-8A85-A492ACABC161}"/>
    <dataValidation type="whole" imeMode="off" operator="equal" allowBlank="1" showInputMessage="1" showErrorMessage="1" error="DESC指定の場合に‐1を入力" sqref="L56:P56 L58:P58 L60:P60 L62:P62 L64:P64" xr:uid="{34E99AFF-84AB-4E34-816C-6E295904F8FF}">
      <formula1>-1</formula1>
    </dataValidation>
    <dataValidation type="whole" imeMode="off" operator="equal" allowBlank="1" showInputMessage="1" showErrorMessage="1" error="Unique indexの場合に1を入力" sqref="K56 K58 K60 K62 K64" xr:uid="{AB725812-52D9-4FDC-8905-91DCDF1BD67B}">
      <formula1>1</formula1>
    </dataValidation>
    <dataValidation type="list" allowBlank="1" showInputMessage="1" showErrorMessage="1" sqref="N26 P26 N31 P31 N36 P36 N41 P41 N46 P46" xr:uid="{2D001893-4961-4C7C-A806-AA03ABD67782}">
      <formula1>FK_OPTION</formula1>
    </dataValidation>
    <dataValidation type="list" allowBlank="1" showInputMessage="1" showErrorMessage="1" sqref="L49:P49" xr:uid="{384DFCAD-5DAB-47C8-BB09-75ACC00DA053}">
      <formula1>FK_FIELD_5</formula1>
    </dataValidation>
    <dataValidation type="list" allowBlank="1" showInputMessage="1" showErrorMessage="1" sqref="L44:P44" xr:uid="{B11EA646-0EE2-4141-BF25-D118F7DA47A6}">
      <formula1>FK_FIELD_4</formula1>
    </dataValidation>
    <dataValidation type="list" allowBlank="1" showInputMessage="1" showErrorMessage="1" sqref="L39:P39" xr:uid="{CD2B335F-894F-4199-B616-A9B19470551C}">
      <formula1>FK_FIELD_3</formula1>
    </dataValidation>
    <dataValidation type="list" allowBlank="1" showInputMessage="1" showErrorMessage="1" sqref="L34:P34" xr:uid="{1216936C-FFBE-441F-B0E7-47CCCBF62C65}">
      <formula1>FK_FIELD_2</formula1>
    </dataValidation>
    <dataValidation type="list" allowBlank="1" showInputMessage="1" showErrorMessage="1" sqref="L29:P29" xr:uid="{F2BFBBD0-AFF0-456E-B97C-2A79F023A837}">
      <formula1>FK_FIELD_1</formula1>
    </dataValidation>
    <dataValidation type="list" allowBlank="1" showInputMessage="1" showErrorMessage="1" sqref="L26 L31 L36 L41 L46" xr:uid="{0FD1B756-A2E6-4C2E-BD4E-C8E812E7E153}">
      <formula1>TABLEリスト</formula1>
    </dataValidation>
    <dataValidation type="list" allowBlank="1" showInputMessage="1" showErrorMessage="1" sqref="F2" xr:uid="{2B8C2097-62C6-4FC3-B983-95C589E82DC2}">
      <formula1>"○,-"</formula1>
    </dataValidation>
    <dataValidation type="list" allowBlank="1" showInputMessage="1" showErrorMessage="1" sqref="L13:P22 L43:P43 L48:P48 L33:P33 L38:P38 L28:P28 L55:P55 L57:P57 L59:P59 L61:P61 L63:P63" xr:uid="{DB0218E7-52EF-4215-A171-2F78851BD3E2}">
      <formula1>FIELDリスト</formula1>
    </dataValidation>
    <dataValidation type="list" allowBlank="1" showInputMessage="1" showErrorMessage="1" sqref="L8:P8" xr:uid="{404452FE-96A6-4032-967F-BB430C1D5CB4}">
      <formula1>FIELDリストNN</formula1>
    </dataValidation>
    <dataValidation type="whole" imeMode="off" operator="equal" allowBlank="1" showInputMessage="1" showErrorMessage="1" error="NotNullの場合は[1]を入力する。" sqref="E6:E105" xr:uid="{E207C418-8164-4C71-BD8E-DA5C0A6CAAF3}">
      <formula1>1</formula1>
    </dataValidation>
    <dataValidation type="list" allowBlank="1" showInputMessage="1" showErrorMessage="1" sqref="B6:B105" xr:uid="{056550F2-B70E-4ACF-8C33-CD13F7CB821A}">
      <formula1>項目リスト</formula1>
    </dataValidation>
    <dataValidation imeMode="on" allowBlank="1" showInputMessage="1" showErrorMessage="1" sqref="K12 A5 A1:A2 E2 K7 F6:H105 K54" xr:uid="{B67E6D40-F0F7-4DE7-AAC2-46038203D1D5}"/>
  </dataValidations>
  <hyperlinks>
    <hyperlink ref="E1" location="一覧!R1C1" display="一覧へ" xr:uid="{B17835AD-8999-4592-97E3-EE03AB87A8EC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D8564-1310-4324-9F80-6C51E6326DE5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4">
        <v>2</v>
      </c>
      <c r="E2" s="88" t="s">
        <v>158</v>
      </c>
      <c r="F2" s="89" t="s">
        <v>173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5</v>
      </c>
      <c r="AJ5" s="69">
        <f>COUNTA(AJ6:AJ105)</f>
        <v>3</v>
      </c>
      <c r="AK5" s="98">
        <f>COUNTA(AK6:AK105)</f>
        <v>2</v>
      </c>
      <c r="AL5" s="86" cm="1">
        <f t="array" aca="1" ref="AL5" ca="1">IFERROR(INDIRECT($L$26&amp;"!R5C35",FALSE),1)</f>
        <v>6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174</v>
      </c>
      <c r="AJ6" s="69" t="s">
        <v>174</v>
      </c>
      <c r="AK6" s="98" t="s">
        <v>179</v>
      </c>
      <c r="AL6" s="86" t="str" cm="1">
        <f t="array" aca="1" ref="AL6:AL11" ca="1">IFERROR(OFFSET(INDIRECT($L$26&amp;"!R6C35",FALSE),,,AL5,),"N/A")</f>
        <v>得意先ID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28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28</v>
      </c>
      <c r="AJ7" s="69" t="s">
        <v>28</v>
      </c>
      <c r="AK7" s="98" t="s">
        <v>175</v>
      </c>
      <c r="AL7" s="86" t="str">
        <f ca="1"/>
        <v>得意先</v>
      </c>
      <c r="AM7" s="86"/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0" t="s">
        <v>14</v>
      </c>
      <c r="L8" s="71" t="s">
        <v>30</v>
      </c>
      <c r="M8" s="72"/>
      <c r="N8" s="72"/>
      <c r="O8" s="72"/>
      <c r="P8" s="73"/>
      <c r="R8" s="86" t="str">
        <f>_xlfn.CONCAT(L8:P8)</f>
        <v>受注No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31</v>
      </c>
      <c r="AJ8" s="69" t="s">
        <v>32</v>
      </c>
      <c r="AK8" s="98"/>
      <c r="AL8" s="86" t="str">
        <f ca="1"/>
        <v>担当者名</v>
      </c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32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32</v>
      </c>
      <c r="AJ9" s="69"/>
      <c r="AK9" s="98"/>
      <c r="AL9" s="86" t="str">
        <f ca="1"/>
        <v>取引先区分</v>
      </c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22</v>
      </c>
      <c r="AJ10" s="69"/>
      <c r="AK10" s="98"/>
      <c r="AL10" s="86" t="str">
        <f ca="1"/>
        <v>登録日</v>
      </c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 t="str">
        <f ca="1"/>
        <v>商品担当者ID</v>
      </c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 t="s">
        <v>47</v>
      </c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>得意先ID担当者名</v>
      </c>
      <c r="S27" s="69" t="str">
        <f>_xlfn.CONCAT(L26,R27)</f>
        <v>得意先得意先ID担当者名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 t="s">
        <v>32</v>
      </c>
      <c r="M28" s="76" t="s">
        <v>31</v>
      </c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 t="s">
        <v>32</v>
      </c>
      <c r="M29" s="84" t="s">
        <v>31</v>
      </c>
      <c r="N29" s="84"/>
      <c r="O29" s="84"/>
      <c r="P29" s="85"/>
      <c r="R29" s="86" t="str">
        <f t="shared" ref="R29" si="11">_xlfn.CONCAT(L29:P29)</f>
        <v>得意先ID担当者名</v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得意先ID</v>
      </c>
      <c r="Z29" s="86" t="str">
        <f ca="1">IFERROR(VLOOKUP(M28,項目!DATA_AREA,8,FALSE),"N/A")</f>
        <v>担当者名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得意先ID</v>
      </c>
      <c r="Z30" s="86" t="str">
        <f ca="1">IFERROR(VLOOKUP(M29,項目!DATA_AREA,8,FALSE),"N/A")</f>
        <v>担当者名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2">_xlfn.CONCAT(L34:P34)</f>
        <v/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31</v>
      </c>
      <c r="M55" s="110" t="s">
        <v>30</v>
      </c>
      <c r="N55" s="110"/>
      <c r="O55" s="110"/>
      <c r="P55" s="111"/>
      <c r="R55" s="86" t="str">
        <f t="shared" ref="R55:R63" si="17">_xlfn.CONCAT(L55:P55)</f>
        <v>担当者名受注No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>
        <v>1</v>
      </c>
      <c r="L56" s="112"/>
      <c r="M56" s="113"/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得意先ID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:AL116" ca="1">IFERROR(OFFSET(INDIRECT($L$26&amp;"!R13C18",FALSE),,,10,),"N/A")</f>
        <v>得意先ID担当者名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 t="str">
        <f ca="1"/>
        <v>登録日</v>
      </c>
      <c r="AM108" s="69"/>
      <c r="AN108" s="69"/>
      <c r="AO108" s="69"/>
      <c r="AP108" s="69"/>
    </row>
    <row r="109" spans="1:42">
      <c r="AL109" s="69" t="str">
        <f ca="1"/>
        <v>商品担当者ID</v>
      </c>
      <c r="AM109" s="69"/>
      <c r="AN109" s="69"/>
      <c r="AO109" s="69"/>
      <c r="AP109" s="69"/>
    </row>
    <row r="110" spans="1:42">
      <c r="AL110" s="69" t="str">
        <f ca="1"/>
        <v/>
      </c>
      <c r="AM110" s="69"/>
      <c r="AN110" s="69"/>
      <c r="AO110" s="69"/>
      <c r="AP110" s="69"/>
    </row>
    <row r="111" spans="1:42">
      <c r="AL111" s="69" t="str">
        <f ca="1"/>
        <v/>
      </c>
      <c r="AM111" s="69"/>
      <c r="AN111" s="69"/>
      <c r="AO111" s="69"/>
      <c r="AP111" s="69"/>
    </row>
    <row r="112" spans="1:42">
      <c r="AL112" s="69" t="str">
        <f ca="1"/>
        <v/>
      </c>
      <c r="AM112" s="69"/>
      <c r="AN112" s="69"/>
      <c r="AO112" s="69"/>
      <c r="AP112" s="69"/>
    </row>
    <row r="113" spans="38:42">
      <c r="AL113" s="69" t="str">
        <f ca="1"/>
        <v/>
      </c>
      <c r="AM113" s="69"/>
      <c r="AN113" s="69"/>
      <c r="AO113" s="69"/>
      <c r="AP113" s="69"/>
    </row>
    <row r="114" spans="38:42">
      <c r="AL114" s="69" t="str">
        <f ca="1"/>
        <v/>
      </c>
      <c r="AM114" s="69"/>
      <c r="AN114" s="69"/>
      <c r="AO114" s="69"/>
      <c r="AP114" s="69"/>
    </row>
    <row r="115" spans="38:42">
      <c r="AL115" s="69" t="str">
        <f ca="1"/>
        <v/>
      </c>
      <c r="AM115" s="69"/>
      <c r="AN115" s="69"/>
      <c r="AO115" s="69"/>
      <c r="AP115" s="69"/>
    </row>
    <row r="116" spans="38:42">
      <c r="AL116" s="69" t="str">
        <f ca="1"/>
        <v/>
      </c>
      <c r="AM116" s="69"/>
      <c r="AN116" s="69"/>
      <c r="AO116" s="69"/>
      <c r="AP116" s="69"/>
    </row>
  </sheetData>
  <phoneticPr fontId="2"/>
  <conditionalFormatting sqref="B2:C2">
    <cfRule type="expression" dxfId="79" priority="24">
      <formula>ISERROR(B2)</formula>
    </cfRule>
  </conditionalFormatting>
  <conditionalFormatting sqref="B6:B105">
    <cfRule type="expression" dxfId="78" priority="22">
      <formula>COUNTIF(FIELD_NAME,B6)&gt;1</formula>
    </cfRule>
    <cfRule type="expression" dxfId="77" priority="23">
      <formula>AND($B6&lt;&gt;"",ISNA(MATCH($B6,項目リスト,0)))</formula>
    </cfRule>
  </conditionalFormatting>
  <conditionalFormatting sqref="B6">
    <cfRule type="expression" dxfId="76" priority="21">
      <formula>$AI$6="N/A"</formula>
    </cfRule>
  </conditionalFormatting>
  <conditionalFormatting sqref="D1">
    <cfRule type="cellIs" dxfId="75" priority="20" operator="greaterThan">
      <formula>0</formula>
    </cfRule>
  </conditionalFormatting>
  <conditionalFormatting sqref="L8:P8">
    <cfRule type="expression" dxfId="74" priority="26">
      <formula>Y8</formula>
    </cfRule>
    <cfRule type="expression" dxfId="73" priority="27">
      <formula>Y7</formula>
    </cfRule>
  </conditionalFormatting>
  <conditionalFormatting sqref="L13:P22">
    <cfRule type="expression" dxfId="72" priority="18">
      <formula>Y13</formula>
    </cfRule>
    <cfRule type="expression" dxfId="71" priority="19">
      <formula>$AD13</formula>
    </cfRule>
  </conditionalFormatting>
  <conditionalFormatting sqref="L8">
    <cfRule type="expression" dxfId="70" priority="25">
      <formula>$AG$7</formula>
    </cfRule>
  </conditionalFormatting>
  <conditionalFormatting sqref="L55:P64">
    <cfRule type="expression" dxfId="69" priority="16">
      <formula>Y55</formula>
    </cfRule>
    <cfRule type="expression" dxfId="68" priority="17">
      <formula>$AD55</formula>
    </cfRule>
  </conditionalFormatting>
  <conditionalFormatting sqref="L43:P44">
    <cfRule type="expression" dxfId="67" priority="15">
      <formula>Y42</formula>
    </cfRule>
  </conditionalFormatting>
  <conditionalFormatting sqref="L43:P43">
    <cfRule type="expression" dxfId="66" priority="13">
      <formula>$AD42</formula>
    </cfRule>
    <cfRule type="expression" dxfId="65" priority="29">
      <formula>Y41</formula>
    </cfRule>
  </conditionalFormatting>
  <conditionalFormatting sqref="L43">
    <cfRule type="expression" dxfId="64" priority="14">
      <formula>$AD41</formula>
    </cfRule>
  </conditionalFormatting>
  <conditionalFormatting sqref="L28:P29 L33:P34 L38:P39 L48:P49 L43:P44">
    <cfRule type="expression" dxfId="63" priority="30">
      <formula>Y27</formula>
    </cfRule>
  </conditionalFormatting>
  <conditionalFormatting sqref="L29:P29 L34:P34 L39:P39 L49:P49">
    <cfRule type="expression" dxfId="62" priority="31">
      <formula>$AD27</formula>
    </cfRule>
    <cfRule type="expression" dxfId="61" priority="32">
      <formula>Y26</formula>
    </cfRule>
  </conditionalFormatting>
  <conditionalFormatting sqref="L28 L33 L38 L48 L43">
    <cfRule type="expression" dxfId="60" priority="33">
      <formula>$AD26</formula>
    </cfRule>
  </conditionalFormatting>
  <conditionalFormatting sqref="L44:P44">
    <cfRule type="expression" dxfId="59" priority="34">
      <formula>$AD42</formula>
    </cfRule>
    <cfRule type="expression" dxfId="58" priority="35">
      <formula>Y41</formula>
    </cfRule>
  </conditionalFormatting>
  <conditionalFormatting sqref="L28:P28 L33:P33 L38:P38 L43:P43 L48:P48">
    <cfRule type="expression" dxfId="57" priority="12">
      <formula>$AD27</formula>
    </cfRule>
    <cfRule type="expression" dxfId="56" priority="28">
      <formula>Y26</formula>
    </cfRule>
  </conditionalFormatting>
  <conditionalFormatting sqref="K56">
    <cfRule type="expression" dxfId="55" priority="10">
      <formula>X56</formula>
    </cfRule>
    <cfRule type="expression" dxfId="54" priority="11">
      <formula>$AD56</formula>
    </cfRule>
  </conditionalFormatting>
  <conditionalFormatting sqref="K58">
    <cfRule type="expression" dxfId="53" priority="8">
      <formula>X58</formula>
    </cfRule>
    <cfRule type="expression" dxfId="52" priority="9">
      <formula>$AD58</formula>
    </cfRule>
  </conditionalFormatting>
  <conditionalFormatting sqref="K60">
    <cfRule type="expression" dxfId="51" priority="6">
      <formula>X60</formula>
    </cfRule>
    <cfRule type="expression" dxfId="50" priority="7">
      <formula>$AD60</formula>
    </cfRule>
  </conditionalFormatting>
  <conditionalFormatting sqref="K62">
    <cfRule type="expression" dxfId="49" priority="4">
      <formula>X62</formula>
    </cfRule>
    <cfRule type="expression" dxfId="48" priority="5">
      <formula>$AD62</formula>
    </cfRule>
  </conditionalFormatting>
  <conditionalFormatting sqref="K64">
    <cfRule type="expression" dxfId="47" priority="2">
      <formula>X64</formula>
    </cfRule>
    <cfRule type="expression" dxfId="46" priority="3">
      <formula>$AD64</formula>
    </cfRule>
  </conditionalFormatting>
  <conditionalFormatting sqref="L29:P29 L34:P34 L39:P39 L44:P44 L49:P49">
    <cfRule type="expression" dxfId="45" priority="1">
      <formula>$AD28</formula>
    </cfRule>
  </conditionalFormatting>
  <conditionalFormatting sqref="E6">
    <cfRule type="expression" dxfId="44" priority="36" stopIfTrue="1">
      <formula>$V6</formula>
    </cfRule>
  </conditionalFormatting>
  <conditionalFormatting sqref="E7">
    <cfRule type="expression" dxfId="43" priority="37" stopIfTrue="1">
      <formula>$V7</formula>
    </cfRule>
  </conditionalFormatting>
  <conditionalFormatting sqref="E8">
    <cfRule type="expression" dxfId="42" priority="38" stopIfTrue="1">
      <formula>$V8</formula>
    </cfRule>
  </conditionalFormatting>
  <conditionalFormatting sqref="E9">
    <cfRule type="expression" dxfId="41" priority="39" stopIfTrue="1">
      <formula>$V9</formula>
    </cfRule>
  </conditionalFormatting>
  <conditionalFormatting sqref="E10">
    <cfRule type="expression" dxfId="40" priority="40" stopIfTrue="1">
      <formula>$V10</formula>
    </cfRule>
  </conditionalFormatting>
  <dataValidations count="16">
    <dataValidation imeMode="off" allowBlank="1" showInputMessage="1" showErrorMessage="1" sqref="D5:F5 C2" xr:uid="{6B1F7E65-8F0D-4757-93CB-1304D9011F30}"/>
    <dataValidation type="whole" imeMode="off" operator="equal" allowBlank="1" showInputMessage="1" showErrorMessage="1" error="DESC指定の場合に‐1を入力" sqref="L56:P56 L58:P58 L60:P60 L62:P62 L64:P64" xr:uid="{44F25846-FC0B-4DE4-94FA-D6F343E08DB2}">
      <formula1>-1</formula1>
    </dataValidation>
    <dataValidation type="whole" imeMode="off" operator="equal" allowBlank="1" showInputMessage="1" showErrorMessage="1" error="Unique indexの場合に1を入力" sqref="K56 K58 K60 K62 K64" xr:uid="{52852DFC-AAEF-482D-9A98-E674E6B117C7}">
      <formula1>1</formula1>
    </dataValidation>
    <dataValidation type="list" allowBlank="1" showInputMessage="1" showErrorMessage="1" sqref="N26 P26 N31 P31 N36 P36 N41 P41 N46 P46" xr:uid="{7C09A474-B74A-47EA-B70A-B892F746D74F}">
      <formula1>FK_OPTION</formula1>
    </dataValidation>
    <dataValidation type="list" allowBlank="1" showInputMessage="1" showErrorMessage="1" sqref="L49:P49" xr:uid="{498EDD07-E588-488C-8874-9DC317CD4ED5}">
      <formula1>FK_FIELD_5</formula1>
    </dataValidation>
    <dataValidation type="list" allowBlank="1" showInputMessage="1" showErrorMessage="1" sqref="L44:P44" xr:uid="{C7F2DFE9-CB7A-40A8-B48C-C0288AA58C0C}">
      <formula1>FK_FIELD_4</formula1>
    </dataValidation>
    <dataValidation type="list" allowBlank="1" showInputMessage="1" showErrorMessage="1" sqref="L39:P39" xr:uid="{B0C26493-4EDC-4BA8-89C5-0D691EEC18A5}">
      <formula1>FK_FIELD_3</formula1>
    </dataValidation>
    <dataValidation type="list" allowBlank="1" showInputMessage="1" showErrorMessage="1" sqref="L34:P34" xr:uid="{2165CCB6-C5D2-4928-8F9B-D38D0683B2E5}">
      <formula1>FK_FIELD_2</formula1>
    </dataValidation>
    <dataValidation type="list" allowBlank="1" showInputMessage="1" showErrorMessage="1" sqref="L29:P29" xr:uid="{65F8CC1C-D3E5-4748-9586-5A8836476A2A}">
      <formula1>FK_FIELD_1</formula1>
    </dataValidation>
    <dataValidation type="list" allowBlank="1" showInputMessage="1" showErrorMessage="1" sqref="L26 L31 L36 L41 L46" xr:uid="{E46EBB93-A94D-47B6-AB43-3F2810CBE5E3}">
      <formula1>TABLEリスト</formula1>
    </dataValidation>
    <dataValidation type="list" allowBlank="1" showInputMessage="1" showErrorMessage="1" sqref="F2" xr:uid="{E8B88A06-A963-46D7-A445-8490B3AF2C19}">
      <formula1>"○,-"</formula1>
    </dataValidation>
    <dataValidation type="list" allowBlank="1" showInputMessage="1" showErrorMessage="1" sqref="L13:P22 L43:P43 L48:P48 L33:P33 L38:P38 L28:P28 L55:P55 L57:P57 L59:P59 L61:P61 L63:P63" xr:uid="{53D67D91-799B-4049-9398-687D0E5C687A}">
      <formula1>FIELDリスト</formula1>
    </dataValidation>
    <dataValidation type="list" allowBlank="1" showInputMessage="1" showErrorMessage="1" sqref="L8:P8" xr:uid="{649A7EB8-CC0E-4B34-B1DC-FA9385C90FD4}">
      <formula1>FIELDリストNN</formula1>
    </dataValidation>
    <dataValidation type="whole" imeMode="off" operator="equal" allowBlank="1" showInputMessage="1" showErrorMessage="1" error="NotNullの場合は[1]を入力する。" sqref="E6:E105" xr:uid="{A8BD63E0-9C66-4E37-A037-24A44192D049}">
      <formula1>1</formula1>
    </dataValidation>
    <dataValidation type="list" allowBlank="1" showInputMessage="1" showErrorMessage="1" sqref="B6:B105" xr:uid="{B782A759-FA3B-4F5D-AEF4-85DC6F7A2A98}">
      <formula1>項目リスト</formula1>
    </dataValidation>
    <dataValidation imeMode="on" allowBlank="1" showInputMessage="1" showErrorMessage="1" sqref="K12 A5 A1:A2 E2 K7 F6:H105 K54" xr:uid="{74BF5F3C-DC4E-4DE1-AEA5-D474881E8BFD}"/>
  </dataValidations>
  <hyperlinks>
    <hyperlink ref="E1" location="一覧!R1C1" display="一覧へ" xr:uid="{E78493CB-7090-4C60-86C7-0C3C3CFC7F4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66DED-C5C3-4CFD-B9FF-9D492551E999}">
  <sheetPr codeName="template3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4">
        <v>3</v>
      </c>
      <c r="E2" s="88" t="s">
        <v>158</v>
      </c>
      <c r="F2" s="89" t="s">
        <v>173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5</v>
      </c>
      <c r="AJ5" s="69">
        <f>COUNTA(AJ6:AJ105)</f>
        <v>2</v>
      </c>
      <c r="AK5" s="98">
        <f>COUNTA(AK6:AK105)</f>
        <v>2</v>
      </c>
      <c r="AL5" s="86" cm="1">
        <f t="array" aca="1" ref="AL5" ca="1">IFERROR(INDIRECT($L$26&amp;"!R5C35",FALSE),1)</f>
        <v>5</v>
      </c>
      <c r="AM5" s="86" cm="1">
        <f t="array" aca="1" ref="AM5" ca="1">IFERROR(INDIRECT($L$31&amp;"!R5C35",FALSE),1)</f>
        <v>6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174</v>
      </c>
      <c r="AJ6" s="69" t="s">
        <v>174</v>
      </c>
      <c r="AK6" s="98" t="s">
        <v>179</v>
      </c>
      <c r="AL6" s="86" t="str" cm="1">
        <f t="array" aca="1" ref="AL6:AL10" ca="1">IFERROR(OFFSET(INDIRECT($L$26&amp;"!R6C35",FALSE),,,AL5,),"N/A")</f>
        <v>受注No</v>
      </c>
      <c r="AM6" s="86" t="str" cm="1">
        <f t="array" aca="1" ref="AM6:AM11" ca="1">IFERROR(OFFSET(INDIRECT($L$31&amp;"!R6C35",FALSE),,,AM5,),"N/A")</f>
        <v>得意先ID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27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27</v>
      </c>
      <c r="AJ7" s="69" t="s">
        <v>27</v>
      </c>
      <c r="AK7" s="98" t="s">
        <v>166</v>
      </c>
      <c r="AL7" s="86" t="str">
        <f ca="1"/>
        <v>受注日</v>
      </c>
      <c r="AM7" s="86" t="str">
        <f ca="1"/>
        <v>得意先</v>
      </c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29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0" t="s">
        <v>14</v>
      </c>
      <c r="L8" s="71" t="s">
        <v>30</v>
      </c>
      <c r="M8" s="72" t="s">
        <v>27</v>
      </c>
      <c r="N8" s="72"/>
      <c r="O8" s="72"/>
      <c r="P8" s="73"/>
      <c r="R8" s="86" t="str">
        <f>_xlfn.CONCAT(L8:P8)</f>
        <v>受注No商品No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29</v>
      </c>
      <c r="AJ8" s="69"/>
      <c r="AK8" s="98"/>
      <c r="AL8" s="86" t="str">
        <f ca="1"/>
        <v>担当者名</v>
      </c>
      <c r="AM8" s="86" t="str">
        <f ca="1"/>
        <v>担当者名</v>
      </c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4</v>
      </c>
      <c r="AJ9" s="69"/>
      <c r="AK9" s="98"/>
      <c r="AL9" s="86" t="str">
        <f ca="1"/>
        <v>得意先ID</v>
      </c>
      <c r="AM9" s="86" t="str">
        <f ca="1"/>
        <v>取引先区分</v>
      </c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138</v>
      </c>
      <c r="C10" s="35" t="str">
        <f ca="1">IFERROR(VLOOKUP(B10,項目!DATA_AREA,2,FALSE),"")</f>
        <v>order_pic</v>
      </c>
      <c r="D10" s="35" t="str">
        <f ca="1">IFERROR(VLOOKUP(B10,項目!DATA_AREA,3,FALSE),"")</f>
        <v>varchar(4)</v>
      </c>
      <c r="E10" s="51"/>
      <c r="F10" s="45"/>
      <c r="G10" s="38" t="str">
        <f ca="1">IFERROR(VLOOKUP(B10,項目!DATA_AREA,4,FALSE),"")</f>
        <v>(LENGTH(order_pic) = 4)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138</v>
      </c>
      <c r="AJ10" s="69"/>
      <c r="AK10" s="98"/>
      <c r="AL10" s="86" t="str">
        <f ca="1"/>
        <v>コメント</v>
      </c>
      <c r="AM10" s="86" t="str">
        <f ca="1"/>
        <v>登録日</v>
      </c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/>
      <c r="AM11" s="86" t="str">
        <f ca="1"/>
        <v>商品担当者ID</v>
      </c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 t="s">
        <v>166</v>
      </c>
      <c r="M26" s="107" t="s">
        <v>198</v>
      </c>
      <c r="N26" s="103" t="s">
        <v>189</v>
      </c>
      <c r="O26" s="107" t="s">
        <v>199</v>
      </c>
      <c r="P26" s="103" t="s">
        <v>189</v>
      </c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>受注No</v>
      </c>
      <c r="S27" s="69" t="str">
        <f>_xlfn.CONCAT(L26,R27)</f>
        <v>受注受注No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 t="s">
        <v>30</v>
      </c>
      <c r="M28" s="76"/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 t="s">
        <v>30</v>
      </c>
      <c r="M29" s="84"/>
      <c r="N29" s="84"/>
      <c r="O29" s="84"/>
      <c r="P29" s="85"/>
      <c r="R29" s="86" t="str">
        <f t="shared" ref="R29" si="11">_xlfn.CONCAT(L29:P29)</f>
        <v>受注No</v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受注No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受注No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 t="s">
        <v>47</v>
      </c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>受注担当者ID</v>
      </c>
      <c r="S32" s="69" t="str">
        <f>_xlfn.CONCAT(L31,R32)</f>
        <v>得意先受注担当者ID</v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 t="s">
        <v>138</v>
      </c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 t="s">
        <v>141</v>
      </c>
      <c r="M34" s="84"/>
      <c r="N34" s="84"/>
      <c r="O34" s="84"/>
      <c r="P34" s="85"/>
      <c r="R34" s="86" t="str">
        <f t="shared" ref="R34" si="12">_xlfn.CONCAT(L34:P34)</f>
        <v>商品担当者ID</v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ユーザーID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ユーザーID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27</v>
      </c>
      <c r="M55" s="110" t="s">
        <v>29</v>
      </c>
      <c r="N55" s="110"/>
      <c r="O55" s="110"/>
      <c r="P55" s="111"/>
      <c r="R55" s="86" t="str">
        <f t="shared" ref="R55:R63" si="17">_xlfn.CONCAT(L55:P55)</f>
        <v>商品No数量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>
        <v>-1</v>
      </c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受注No</v>
      </c>
      <c r="AM106" s="69" t="str" cm="1">
        <f t="array" aca="1" ref="AM106" ca="1">IFERROR(INDIRECT($L$31&amp;"!R8C18",FALSE),"N/A")</f>
        <v>得意先ID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:AL116" ca="1">IFERROR(OFFSET(INDIRECT($L$26&amp;"!R13C18",FALSE),,,10,),"N/A")</f>
        <v/>
      </c>
      <c r="AM107" s="69" t="str" cm="1">
        <f t="array" aca="1" ref="AM107:AM116" ca="1">IFERROR(OFFSET(INDIRECT($L$31&amp;"!R13C18",FALSE),,,10,),"N/A")</f>
        <v>得意先ID担当者名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 t="str">
        <f ca="1"/>
        <v/>
      </c>
      <c r="AM108" s="69" t="str">
        <f ca="1"/>
        <v>登録日</v>
      </c>
      <c r="AN108" s="69"/>
      <c r="AO108" s="69"/>
      <c r="AP108" s="69"/>
    </row>
    <row r="109" spans="1:42">
      <c r="AL109" s="69" t="str">
        <f ca="1"/>
        <v/>
      </c>
      <c r="AM109" s="69" t="str">
        <f ca="1"/>
        <v>商品担当者ID</v>
      </c>
      <c r="AN109" s="69"/>
      <c r="AO109" s="69"/>
      <c r="AP109" s="69"/>
    </row>
    <row r="110" spans="1:42">
      <c r="AL110" s="69" t="str">
        <f ca="1"/>
        <v/>
      </c>
      <c r="AM110" s="69" t="str">
        <f ca="1"/>
        <v/>
      </c>
      <c r="AN110" s="69"/>
      <c r="AO110" s="69"/>
      <c r="AP110" s="69"/>
    </row>
    <row r="111" spans="1:42">
      <c r="AL111" s="69" t="str">
        <f ca="1"/>
        <v/>
      </c>
      <c r="AM111" s="69" t="str">
        <f ca="1"/>
        <v/>
      </c>
      <c r="AN111" s="69"/>
      <c r="AO111" s="69"/>
      <c r="AP111" s="69"/>
    </row>
    <row r="112" spans="1:42">
      <c r="AL112" s="69" t="str">
        <f ca="1"/>
        <v/>
      </c>
      <c r="AM112" s="69" t="str">
        <f ca="1"/>
        <v/>
      </c>
      <c r="AN112" s="69"/>
      <c r="AO112" s="69"/>
      <c r="AP112" s="69"/>
    </row>
    <row r="113" spans="38:42">
      <c r="AL113" s="69" t="str">
        <f ca="1"/>
        <v/>
      </c>
      <c r="AM113" s="69" t="str">
        <f ca="1"/>
        <v/>
      </c>
      <c r="AN113" s="69"/>
      <c r="AO113" s="69"/>
      <c r="AP113" s="69"/>
    </row>
    <row r="114" spans="38:42">
      <c r="AL114" s="69" t="str">
        <f ca="1"/>
        <v/>
      </c>
      <c r="AM114" s="69" t="str">
        <f ca="1"/>
        <v/>
      </c>
      <c r="AN114" s="69"/>
      <c r="AO114" s="69"/>
      <c r="AP114" s="69"/>
    </row>
    <row r="115" spans="38:42">
      <c r="AL115" s="69" t="str">
        <f ca="1"/>
        <v/>
      </c>
      <c r="AM115" s="69" t="str">
        <f ca="1"/>
        <v/>
      </c>
      <c r="AN115" s="69"/>
      <c r="AO115" s="69"/>
      <c r="AP115" s="69"/>
    </row>
    <row r="116" spans="38:42">
      <c r="AL116" s="69" t="str">
        <f ca="1"/>
        <v/>
      </c>
      <c r="AM116" s="69" t="str">
        <f ca="1"/>
        <v/>
      </c>
      <c r="AN116" s="69"/>
      <c r="AO116" s="69"/>
      <c r="AP116" s="69"/>
    </row>
  </sheetData>
  <phoneticPr fontId="2"/>
  <conditionalFormatting sqref="B2:C2">
    <cfRule type="expression" dxfId="39" priority="24">
      <formula>ISERROR(B2)</formula>
    </cfRule>
  </conditionalFormatting>
  <conditionalFormatting sqref="B6:B105">
    <cfRule type="expression" dxfId="38" priority="22">
      <formula>COUNTIF(FIELD_NAME,B6)&gt;1</formula>
    </cfRule>
    <cfRule type="expression" dxfId="37" priority="23">
      <formula>AND($B6&lt;&gt;"",ISNA(MATCH($B6,項目リスト,0)))</formula>
    </cfRule>
  </conditionalFormatting>
  <conditionalFormatting sqref="B6">
    <cfRule type="expression" dxfId="36" priority="21">
      <formula>$AI$6="N/A"</formula>
    </cfRule>
  </conditionalFormatting>
  <conditionalFormatting sqref="D1">
    <cfRule type="cellIs" dxfId="35" priority="20" operator="greaterThan">
      <formula>0</formula>
    </cfRule>
  </conditionalFormatting>
  <conditionalFormatting sqref="L8:P8">
    <cfRule type="expression" dxfId="34" priority="26">
      <formula>Y8</formula>
    </cfRule>
    <cfRule type="expression" dxfId="33" priority="27">
      <formula>Y7</formula>
    </cfRule>
  </conditionalFormatting>
  <conditionalFormatting sqref="L13:P22">
    <cfRule type="expression" dxfId="32" priority="18">
      <formula>Y13</formula>
    </cfRule>
    <cfRule type="expression" dxfId="31" priority="19">
      <formula>$AD13</formula>
    </cfRule>
  </conditionalFormatting>
  <conditionalFormatting sqref="L8">
    <cfRule type="expression" dxfId="30" priority="25">
      <formula>$AG$7</formula>
    </cfRule>
  </conditionalFormatting>
  <conditionalFormatting sqref="L55:P64">
    <cfRule type="expression" dxfId="29" priority="16">
      <formula>Y55</formula>
    </cfRule>
    <cfRule type="expression" dxfId="28" priority="17">
      <formula>$AD55</formula>
    </cfRule>
  </conditionalFormatting>
  <conditionalFormatting sqref="L43:P44">
    <cfRule type="expression" dxfId="27" priority="15">
      <formula>Y42</formula>
    </cfRule>
  </conditionalFormatting>
  <conditionalFormatting sqref="L43:P43">
    <cfRule type="expression" dxfId="26" priority="13">
      <formula>$AD42</formula>
    </cfRule>
    <cfRule type="expression" dxfId="25" priority="29">
      <formula>Y41</formula>
    </cfRule>
  </conditionalFormatting>
  <conditionalFormatting sqref="L43">
    <cfRule type="expression" dxfId="24" priority="14">
      <formula>$AD41</formula>
    </cfRule>
  </conditionalFormatting>
  <conditionalFormatting sqref="L28:P29 L33:P34 L38:P39 L48:P49 L43:P44">
    <cfRule type="expression" dxfId="23" priority="30">
      <formula>Y27</formula>
    </cfRule>
  </conditionalFormatting>
  <conditionalFormatting sqref="L29:P29 L34:P34 L39:P39 L49:P49">
    <cfRule type="expression" dxfId="22" priority="31">
      <formula>$AD27</formula>
    </cfRule>
    <cfRule type="expression" dxfId="21" priority="32">
      <formula>Y26</formula>
    </cfRule>
  </conditionalFormatting>
  <conditionalFormatting sqref="L28 L33 L38 L48 L43">
    <cfRule type="expression" dxfId="20" priority="33">
      <formula>$AD26</formula>
    </cfRule>
  </conditionalFormatting>
  <conditionalFormatting sqref="L44:P44">
    <cfRule type="expression" dxfId="19" priority="34">
      <formula>$AD42</formula>
    </cfRule>
    <cfRule type="expression" dxfId="18" priority="35">
      <formula>Y41</formula>
    </cfRule>
  </conditionalFormatting>
  <conditionalFormatting sqref="L28:P28 L33:P33 L38:P38 L43:P43 L48:P48">
    <cfRule type="expression" dxfId="17" priority="12">
      <formula>$AD27</formula>
    </cfRule>
    <cfRule type="expression" dxfId="16" priority="28">
      <formula>Y26</formula>
    </cfRule>
  </conditionalFormatting>
  <conditionalFormatting sqref="K56">
    <cfRule type="expression" dxfId="15" priority="10">
      <formula>X56</formula>
    </cfRule>
    <cfRule type="expression" dxfId="14" priority="11">
      <formula>$AD56</formula>
    </cfRule>
  </conditionalFormatting>
  <conditionalFormatting sqref="K58">
    <cfRule type="expression" dxfId="13" priority="8">
      <formula>X58</formula>
    </cfRule>
    <cfRule type="expression" dxfId="12" priority="9">
      <formula>$AD58</formula>
    </cfRule>
  </conditionalFormatting>
  <conditionalFormatting sqref="K60">
    <cfRule type="expression" dxfId="11" priority="6">
      <formula>X60</formula>
    </cfRule>
    <cfRule type="expression" dxfId="10" priority="7">
      <formula>$AD60</formula>
    </cfRule>
  </conditionalFormatting>
  <conditionalFormatting sqref="K62">
    <cfRule type="expression" dxfId="9" priority="4">
      <formula>X62</formula>
    </cfRule>
    <cfRule type="expression" dxfId="8" priority="5">
      <formula>$AD62</formula>
    </cfRule>
  </conditionalFormatting>
  <conditionalFormatting sqref="K64">
    <cfRule type="expression" dxfId="7" priority="2">
      <formula>X64</formula>
    </cfRule>
    <cfRule type="expression" dxfId="6" priority="3">
      <formula>$AD64</formula>
    </cfRule>
  </conditionalFormatting>
  <conditionalFormatting sqref="L29:P29 L34:P34 L39:P39 L44:P44 L49:P49">
    <cfRule type="expression" dxfId="5" priority="1">
      <formula>$AD28</formula>
    </cfRule>
  </conditionalFormatting>
  <conditionalFormatting sqref="E6">
    <cfRule type="expression" dxfId="4" priority="36" stopIfTrue="1">
      <formula>$V6</formula>
    </cfRule>
  </conditionalFormatting>
  <conditionalFormatting sqref="E7">
    <cfRule type="expression" dxfId="3" priority="37" stopIfTrue="1">
      <formula>$V7</formula>
    </cfRule>
  </conditionalFormatting>
  <conditionalFormatting sqref="E8">
    <cfRule type="expression" dxfId="2" priority="38" stopIfTrue="1">
      <formula>$V8</formula>
    </cfRule>
  </conditionalFormatting>
  <conditionalFormatting sqref="E9">
    <cfRule type="expression" dxfId="1" priority="39" stopIfTrue="1">
      <formula>$V9</formula>
    </cfRule>
  </conditionalFormatting>
  <conditionalFormatting sqref="E10">
    <cfRule type="expression" dxfId="0" priority="40" stopIfTrue="1">
      <formula>$V10</formula>
    </cfRule>
  </conditionalFormatting>
  <dataValidations count="16">
    <dataValidation imeMode="off" allowBlank="1" showInputMessage="1" showErrorMessage="1" sqref="D5:F5 C2" xr:uid="{280ED79A-8365-4FBB-AF9C-C0C869FD9728}"/>
    <dataValidation type="whole" imeMode="off" operator="equal" allowBlank="1" showInputMessage="1" showErrorMessage="1" error="DESC指定の場合に‐1を入力" sqref="L56:P56 L58:P58 L60:P60 L62:P62 L64:P64" xr:uid="{8B8F581C-44D6-4921-8F17-92D31F5C77AD}">
      <formula1>-1</formula1>
    </dataValidation>
    <dataValidation type="whole" imeMode="off" operator="equal" allowBlank="1" showInputMessage="1" showErrorMessage="1" error="Unique indexの場合に1を入力" sqref="K56 K58 K60 K62 K64" xr:uid="{9A20873D-60D5-454D-BD21-663B09A3E084}">
      <formula1>1</formula1>
    </dataValidation>
    <dataValidation type="list" allowBlank="1" showInputMessage="1" showErrorMessage="1" sqref="N26 P26 N31 P31 N36 P36 N41 P41 N46 P46" xr:uid="{F0569CF8-8C03-4CAD-97D9-00E7A8B208DE}">
      <formula1>FK_OPTION</formula1>
    </dataValidation>
    <dataValidation type="list" allowBlank="1" showInputMessage="1" showErrorMessage="1" sqref="L49:P49" xr:uid="{CB94D1EC-2927-4122-9491-C3F53B620801}">
      <formula1>FK_FIELD_5</formula1>
    </dataValidation>
    <dataValidation type="list" allowBlank="1" showInputMessage="1" showErrorMessage="1" sqref="L44:P44" xr:uid="{0376E399-1746-41E9-BE81-D3F0747753CB}">
      <formula1>FK_FIELD_4</formula1>
    </dataValidation>
    <dataValidation type="list" allowBlank="1" showInputMessage="1" showErrorMessage="1" sqref="L39:P39" xr:uid="{BA46B749-467E-49A2-A17A-853EABAE2321}">
      <formula1>FK_FIELD_3</formula1>
    </dataValidation>
    <dataValidation type="list" allowBlank="1" showInputMessage="1" showErrorMessage="1" sqref="L34:P34" xr:uid="{96C345CA-3418-4592-99EF-4E3D0ECD65D8}">
      <formula1>FK_FIELD_2</formula1>
    </dataValidation>
    <dataValidation type="list" allowBlank="1" showInputMessage="1" showErrorMessage="1" sqref="L29:P29" xr:uid="{FF839FBD-3BE0-4497-8FE6-93C9A60EA3A3}">
      <formula1>FK_FIELD_1</formula1>
    </dataValidation>
    <dataValidation type="list" allowBlank="1" showInputMessage="1" showErrorMessage="1" sqref="L26 L31 L36 L41 L46" xr:uid="{8B98ADEF-B3E8-40ED-BE5F-26854F90C946}">
      <formula1>TABLEリスト</formula1>
    </dataValidation>
    <dataValidation type="list" allowBlank="1" showInputMessage="1" showErrorMessage="1" sqref="F2" xr:uid="{AFCE7811-FF66-4B51-B905-108EB5F3F58F}">
      <formula1>"○,-"</formula1>
    </dataValidation>
    <dataValidation type="list" allowBlank="1" showInputMessage="1" showErrorMessage="1" sqref="L13:P22 L43:P43 L48:P48 L33:P33 L38:P38 L28:P28 L55:P55 L57:P57 L59:P59 L61:P61 L63:P63" xr:uid="{45A44D78-09AB-4131-A2A4-76D6A6D0050C}">
      <formula1>FIELDリスト</formula1>
    </dataValidation>
    <dataValidation type="list" allowBlank="1" showInputMessage="1" showErrorMessage="1" sqref="L8:P8" xr:uid="{D3C6733B-A649-47EC-81CC-96135C6D67FB}">
      <formula1>FIELDリストNN</formula1>
    </dataValidation>
    <dataValidation type="whole" imeMode="off" operator="equal" allowBlank="1" showInputMessage="1" showErrorMessage="1" error="NotNullの場合は[1]を入力する。" sqref="E6:E105" xr:uid="{5680DDEB-6F4C-4F06-8B2D-02FAE537D845}">
      <formula1>1</formula1>
    </dataValidation>
    <dataValidation type="list" allowBlank="1" showInputMessage="1" showErrorMessage="1" sqref="B6:B105" xr:uid="{70A96122-2DE3-4CB5-BA36-3D27CBA5E124}">
      <formula1>項目リスト</formula1>
    </dataValidation>
    <dataValidation imeMode="on" allowBlank="1" showInputMessage="1" showErrorMessage="1" sqref="K12 A5 A1:A2 E2 K7 F6:H105 K54" xr:uid="{F1492381-3821-4EB9-BD4D-3654832EE46B}"/>
  </dataValidations>
  <hyperlinks>
    <hyperlink ref="E1" location="一覧!R1C1" display="一覧へ" xr:uid="{48F86C8E-61C5-45EC-8C41-7089FE7E5A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E6" sqref="E6:E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148</v>
      </c>
      <c r="C5" t="s">
        <v>157</v>
      </c>
      <c r="E5" t="s">
        <v>188</v>
      </c>
    </row>
    <row r="6" spans="1:8">
      <c r="A6" s="67" t="s">
        <v>146</v>
      </c>
      <c r="C6" s="87"/>
    </row>
    <row r="7" spans="1:8">
      <c r="E7" s="100" t="s">
        <v>189</v>
      </c>
    </row>
    <row r="8" spans="1:8">
      <c r="A8" t="s">
        <v>149</v>
      </c>
      <c r="E8" s="100" t="s">
        <v>190</v>
      </c>
    </row>
    <row r="9" spans="1:8">
      <c r="A9" s="67" t="s">
        <v>147</v>
      </c>
      <c r="E9" s="100" t="s">
        <v>191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91</vt:i4>
      </vt:variant>
    </vt:vector>
  </HeadingPairs>
  <TitlesOfParts>
    <vt:vector size="9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テンプレート!FK_ENABLE_1</vt:lpstr>
      <vt:lpstr>受注!FK_ENABLE_1</vt:lpstr>
      <vt:lpstr>受注明細!FK_ENABLE_1</vt:lpstr>
      <vt:lpstr>得意先!FK_ENABLE_1</vt:lpstr>
      <vt:lpstr>テンプレート!FK_ENABLE_2</vt:lpstr>
      <vt:lpstr>受注!FK_ENABLE_2</vt:lpstr>
      <vt:lpstr>受注明細!FK_ENABLE_2</vt:lpstr>
      <vt:lpstr>得意先!FK_ENABLE_2</vt:lpstr>
      <vt:lpstr>テンプレート!FK_ENABLE_3</vt:lpstr>
      <vt:lpstr>受注!FK_ENABLE_3</vt:lpstr>
      <vt:lpstr>受注明細!FK_ENABLE_3</vt:lpstr>
      <vt:lpstr>得意先!FK_ENABLE_3</vt:lpstr>
      <vt:lpstr>テンプレート!FK_ENABLE_4</vt:lpstr>
      <vt:lpstr>受注!FK_ENABLE_4</vt:lpstr>
      <vt:lpstr>受注明細!FK_ENABLE_4</vt:lpstr>
      <vt:lpstr>得意先!FK_ENABLE_4</vt:lpstr>
      <vt:lpstr>テンプレート!FK_ENABLE_5</vt:lpstr>
      <vt:lpstr>受注!FK_ENABLE_5</vt:lpstr>
      <vt:lpstr>受注明細!FK_ENABLE_5</vt:lpstr>
      <vt:lpstr>得意先!FK_ENABLE_5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2024-02-24T10:22:37Z</dcterms:modified>
</cp:coreProperties>
</file>