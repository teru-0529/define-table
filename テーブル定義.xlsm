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D7E82896-525E-41E4-9DE3-DD8062453DEF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WORK" sheetId="5" state="hidden" r:id="rId4"/>
    <sheet name="得意先" sheetId="131" r:id="rId5"/>
    <sheet name="受注" sheetId="132" r:id="rId6"/>
    <sheet name="受注明細" sheetId="133" r:id="rId7"/>
  </sheets>
  <functionGroups builtInGroupCount="19"/>
  <definedNames>
    <definedName name="CURRENT_DATETIME">45334.3384143518</definedName>
    <definedName name="DATA_ROWS" localSheetId="0">MAX((項目!$A:$A&lt;&gt;"")*ROW(項目!$A:$A))-1</definedName>
    <definedName name="ELEM_A" comment="値がない場合は、項目NAをWORKシートのダミーセルを指定" localSheetId="0">IF(項目!DATA_ROWS&gt;0,OFFSET(項目!$A$2,,,項目!DATA_ROWS,1),WORK!$A$3)</definedName>
    <definedName name="ELEM_FULL" localSheetId="0">OFFSET(項目!ELEM_A,,9,,)</definedName>
    <definedName name="ELEM_H" localSheetId="0">OFFSET(項目!ELEM_A,,7,,)</definedName>
    <definedName name="INVALID">FALSE</definedName>
    <definedName name="MODIFY_DATETIME">45334.3384143518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OK">一覧!$K$1</definedName>
    <definedName name="VALID">TRUE</definedName>
    <definedName name="VALIDATION_RESULT">TRUE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エラーあり" localSheetId="5">受注!$D$1</definedName>
    <definedName name="エラーあり" localSheetId="6">受注明細!$D$1</definedName>
    <definedName name="エラーあり" localSheetId="4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5">受注!$C$1</definedName>
    <definedName name="スキーマE" localSheetId="6">受注明細!$C$1</definedName>
    <definedName name="スキーマE" localSheetId="4">得意先!$C$1</definedName>
    <definedName name="スキーマJ" localSheetId="2">テンプレート!$B$1</definedName>
    <definedName name="スキーマJ" localSheetId="5">受注!$B$1</definedName>
    <definedName name="スキーマJ" localSheetId="6">受注明細!$B$1</definedName>
    <definedName name="スキーマJ" localSheetId="4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5">受注!$C$2</definedName>
    <definedName name="テーブルEN" localSheetId="6">受注明細!$C$2</definedName>
    <definedName name="テーブルEN" localSheetId="4">得意先!$C$2</definedName>
    <definedName name="テーブルJP" localSheetId="2">テンプレート!$B$2</definedName>
    <definedName name="テーブルJP" localSheetId="5">受注!$B$2</definedName>
    <definedName name="テーブルJP" localSheetId="6">受注明細!$B$2</definedName>
    <definedName name="テーブルJP" localSheetId="4">得意先!$B$2</definedName>
    <definedName name="テーブルNo" localSheetId="5">受注!$D$2</definedName>
    <definedName name="テーブルNo" localSheetId="6">受注明細!$D$2</definedName>
    <definedName name="テーブルNo" localSheetId="4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2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2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33" l="1"/>
  <c r="T105" i="133"/>
  <c r="I105" i="133"/>
  <c r="H105" i="133"/>
  <c r="V105" i="133" s="1"/>
  <c r="G105" i="133"/>
  <c r="D105" i="133"/>
  <c r="C105" i="133"/>
  <c r="U104" i="133"/>
  <c r="T104" i="133"/>
  <c r="I104" i="133"/>
  <c r="H104" i="133"/>
  <c r="V104" i="133" s="1"/>
  <c r="G104" i="133"/>
  <c r="D104" i="133"/>
  <c r="C104" i="133"/>
  <c r="U103" i="133"/>
  <c r="T103" i="133"/>
  <c r="I103" i="133"/>
  <c r="H103" i="133"/>
  <c r="V103" i="133" s="1"/>
  <c r="G103" i="133"/>
  <c r="D103" i="133"/>
  <c r="C103" i="133"/>
  <c r="U102" i="133"/>
  <c r="T102" i="133"/>
  <c r="I102" i="133"/>
  <c r="H102" i="133"/>
  <c r="V102" i="133" s="1"/>
  <c r="G102" i="133"/>
  <c r="D102" i="133"/>
  <c r="C102" i="133"/>
  <c r="U101" i="133"/>
  <c r="T101" i="133"/>
  <c r="I101" i="133"/>
  <c r="H101" i="133"/>
  <c r="V101" i="133" s="1"/>
  <c r="G101" i="133"/>
  <c r="D101" i="133"/>
  <c r="C101" i="133"/>
  <c r="U100" i="133"/>
  <c r="T100" i="133"/>
  <c r="I100" i="133"/>
  <c r="H100" i="133"/>
  <c r="V100" i="133" s="1"/>
  <c r="G100" i="133"/>
  <c r="D100" i="133"/>
  <c r="C100" i="133"/>
  <c r="U99" i="133"/>
  <c r="T99" i="133"/>
  <c r="I99" i="133"/>
  <c r="H99" i="133"/>
  <c r="V99" i="133" s="1"/>
  <c r="G99" i="133"/>
  <c r="D99" i="133"/>
  <c r="C99" i="133"/>
  <c r="U98" i="133"/>
  <c r="T98" i="133"/>
  <c r="I98" i="133"/>
  <c r="H98" i="133"/>
  <c r="V98" i="133" s="1"/>
  <c r="G98" i="133"/>
  <c r="D98" i="133"/>
  <c r="C98" i="133"/>
  <c r="U97" i="133"/>
  <c r="T97" i="133"/>
  <c r="I97" i="133"/>
  <c r="H97" i="133"/>
  <c r="V97" i="133" s="1"/>
  <c r="G97" i="133"/>
  <c r="D97" i="133"/>
  <c r="C97" i="133"/>
  <c r="U96" i="133"/>
  <c r="T96" i="133"/>
  <c r="I96" i="133"/>
  <c r="H96" i="133"/>
  <c r="V96" i="133" s="1"/>
  <c r="G96" i="133"/>
  <c r="D96" i="133"/>
  <c r="C96" i="133"/>
  <c r="U95" i="133"/>
  <c r="T95" i="133"/>
  <c r="I95" i="133"/>
  <c r="H95" i="133"/>
  <c r="V95" i="133" s="1"/>
  <c r="G95" i="133"/>
  <c r="D95" i="133"/>
  <c r="C95" i="133"/>
  <c r="U94" i="133"/>
  <c r="T94" i="133"/>
  <c r="I94" i="133"/>
  <c r="H94" i="133"/>
  <c r="V94" i="133" s="1"/>
  <c r="G94" i="133"/>
  <c r="D94" i="133"/>
  <c r="C94" i="133"/>
  <c r="U93" i="133"/>
  <c r="T93" i="133"/>
  <c r="I93" i="133"/>
  <c r="H93" i="133"/>
  <c r="V93" i="133" s="1"/>
  <c r="G93" i="133"/>
  <c r="D93" i="133"/>
  <c r="C93" i="133"/>
  <c r="U92" i="133"/>
  <c r="T92" i="133"/>
  <c r="I92" i="133"/>
  <c r="H92" i="133"/>
  <c r="V92" i="133" s="1"/>
  <c r="G92" i="133"/>
  <c r="D92" i="133"/>
  <c r="C92" i="133"/>
  <c r="U91" i="133"/>
  <c r="T91" i="133"/>
  <c r="I91" i="133"/>
  <c r="H91" i="133"/>
  <c r="V91" i="133" s="1"/>
  <c r="G91" i="133"/>
  <c r="D91" i="133"/>
  <c r="C91" i="133"/>
  <c r="U90" i="133"/>
  <c r="T90" i="133"/>
  <c r="I90" i="133"/>
  <c r="H90" i="133"/>
  <c r="V90" i="133" s="1"/>
  <c r="G90" i="133"/>
  <c r="D90" i="133"/>
  <c r="C90" i="133"/>
  <c r="U89" i="133"/>
  <c r="T89" i="133"/>
  <c r="I89" i="133"/>
  <c r="H89" i="133"/>
  <c r="V89" i="133" s="1"/>
  <c r="G89" i="133"/>
  <c r="D89" i="133"/>
  <c r="C89" i="133"/>
  <c r="U88" i="133"/>
  <c r="T88" i="133"/>
  <c r="I88" i="133"/>
  <c r="H88" i="133"/>
  <c r="V88" i="133" s="1"/>
  <c r="G88" i="133"/>
  <c r="D88" i="133"/>
  <c r="C88" i="133"/>
  <c r="U87" i="133"/>
  <c r="T87" i="133"/>
  <c r="I87" i="133"/>
  <c r="H87" i="133"/>
  <c r="V87" i="133" s="1"/>
  <c r="G87" i="133"/>
  <c r="D87" i="133"/>
  <c r="C87" i="133"/>
  <c r="U86" i="133"/>
  <c r="T86" i="133"/>
  <c r="I86" i="133"/>
  <c r="H86" i="133"/>
  <c r="V86" i="133" s="1"/>
  <c r="G86" i="133"/>
  <c r="D86" i="133"/>
  <c r="C86" i="133"/>
  <c r="U85" i="133"/>
  <c r="T85" i="133"/>
  <c r="I85" i="133"/>
  <c r="H85" i="133"/>
  <c r="V85" i="133" s="1"/>
  <c r="G85" i="133"/>
  <c r="D85" i="133"/>
  <c r="C85" i="133"/>
  <c r="U84" i="133"/>
  <c r="T84" i="133"/>
  <c r="I84" i="133"/>
  <c r="H84" i="133"/>
  <c r="V84" i="133" s="1"/>
  <c r="G84" i="133"/>
  <c r="D84" i="133"/>
  <c r="C84" i="133"/>
  <c r="U83" i="133"/>
  <c r="T83" i="133"/>
  <c r="I83" i="133"/>
  <c r="H83" i="133"/>
  <c r="V83" i="133" s="1"/>
  <c r="G83" i="133"/>
  <c r="D83" i="133"/>
  <c r="C83" i="133"/>
  <c r="U82" i="133"/>
  <c r="T82" i="133"/>
  <c r="I82" i="133"/>
  <c r="H82" i="133"/>
  <c r="V82" i="133" s="1"/>
  <c r="G82" i="133"/>
  <c r="D82" i="133"/>
  <c r="C82" i="133"/>
  <c r="U81" i="133"/>
  <c r="T81" i="133"/>
  <c r="I81" i="133"/>
  <c r="H81" i="133"/>
  <c r="V81" i="133" s="1"/>
  <c r="G81" i="133"/>
  <c r="D81" i="133"/>
  <c r="C81" i="133"/>
  <c r="U80" i="133"/>
  <c r="T80" i="133"/>
  <c r="I80" i="133"/>
  <c r="H80" i="133"/>
  <c r="V80" i="133" s="1"/>
  <c r="G80" i="133"/>
  <c r="D80" i="133"/>
  <c r="C80" i="133"/>
  <c r="U79" i="133"/>
  <c r="T79" i="133"/>
  <c r="I79" i="133"/>
  <c r="H79" i="133"/>
  <c r="V79" i="133" s="1"/>
  <c r="G79" i="133"/>
  <c r="D79" i="133"/>
  <c r="C79" i="133"/>
  <c r="U78" i="133"/>
  <c r="T78" i="133"/>
  <c r="I78" i="133"/>
  <c r="H78" i="133"/>
  <c r="V78" i="133" s="1"/>
  <c r="G78" i="133"/>
  <c r="D78" i="133"/>
  <c r="C78" i="133"/>
  <c r="U77" i="133"/>
  <c r="T77" i="133"/>
  <c r="I77" i="133"/>
  <c r="H77" i="133"/>
  <c r="V77" i="133" s="1"/>
  <c r="G77" i="133"/>
  <c r="D77" i="133"/>
  <c r="C77" i="133"/>
  <c r="U76" i="133"/>
  <c r="T76" i="133"/>
  <c r="I76" i="133"/>
  <c r="H76" i="133"/>
  <c r="V76" i="133" s="1"/>
  <c r="G76" i="133"/>
  <c r="D76" i="133"/>
  <c r="C76" i="133"/>
  <c r="U75" i="133"/>
  <c r="T75" i="133"/>
  <c r="I75" i="133"/>
  <c r="H75" i="133"/>
  <c r="V75" i="133" s="1"/>
  <c r="G75" i="133"/>
  <c r="D75" i="133"/>
  <c r="C75" i="133"/>
  <c r="AB74" i="133"/>
  <c r="AA74" i="133"/>
  <c r="Z74" i="133"/>
  <c r="Y74" i="133"/>
  <c r="X74" i="133"/>
  <c r="U74" i="133"/>
  <c r="T74" i="133"/>
  <c r="I74" i="133"/>
  <c r="H74" i="133"/>
  <c r="V74" i="133" s="1"/>
  <c r="G74" i="133"/>
  <c r="D74" i="133"/>
  <c r="C74" i="133"/>
  <c r="AB73" i="133"/>
  <c r="AA73" i="133"/>
  <c r="Z73" i="133"/>
  <c r="Y73" i="133"/>
  <c r="X73" i="133"/>
  <c r="U73" i="133"/>
  <c r="T73" i="133"/>
  <c r="I73" i="133"/>
  <c r="H73" i="133"/>
  <c r="V73" i="133" s="1"/>
  <c r="G73" i="133"/>
  <c r="D73" i="133"/>
  <c r="C73" i="133"/>
  <c r="AB72" i="133"/>
  <c r="AA72" i="133"/>
  <c r="Z72" i="133"/>
  <c r="Y72" i="133"/>
  <c r="X72" i="133"/>
  <c r="U72" i="133"/>
  <c r="T72" i="133"/>
  <c r="I72" i="133"/>
  <c r="H72" i="133"/>
  <c r="V72" i="133" s="1"/>
  <c r="G72" i="133"/>
  <c r="D72" i="133"/>
  <c r="C72" i="133"/>
  <c r="AB71" i="133"/>
  <c r="AA71" i="133"/>
  <c r="Z71" i="133"/>
  <c r="Y71" i="133"/>
  <c r="X71" i="133"/>
  <c r="U71" i="133"/>
  <c r="T71" i="133"/>
  <c r="I71" i="133"/>
  <c r="H71" i="133"/>
  <c r="V71" i="133" s="1"/>
  <c r="G71" i="133"/>
  <c r="D71" i="133"/>
  <c r="C71" i="133"/>
  <c r="AB70" i="133"/>
  <c r="AA70" i="133"/>
  <c r="Z70" i="133"/>
  <c r="Y70" i="133"/>
  <c r="X70" i="133"/>
  <c r="U70" i="133"/>
  <c r="T70" i="133"/>
  <c r="I70" i="133"/>
  <c r="H70" i="133"/>
  <c r="V70" i="133" s="1"/>
  <c r="G70" i="133"/>
  <c r="D70" i="133"/>
  <c r="C70" i="133"/>
  <c r="AB69" i="133"/>
  <c r="AA69" i="133"/>
  <c r="Z69" i="133"/>
  <c r="Y69" i="133"/>
  <c r="X69" i="133"/>
  <c r="U69" i="133"/>
  <c r="T69" i="133"/>
  <c r="I69" i="133"/>
  <c r="H69" i="133"/>
  <c r="V69" i="133" s="1"/>
  <c r="G69" i="133"/>
  <c r="D69" i="133"/>
  <c r="C69" i="133"/>
  <c r="AB68" i="133"/>
  <c r="AA68" i="133"/>
  <c r="Z68" i="133"/>
  <c r="Y68" i="133"/>
  <c r="X68" i="133"/>
  <c r="U68" i="133"/>
  <c r="T68" i="133"/>
  <c r="I68" i="133"/>
  <c r="H68" i="133"/>
  <c r="V68" i="133" s="1"/>
  <c r="G68" i="133"/>
  <c r="D68" i="133"/>
  <c r="C68" i="133"/>
  <c r="AB67" i="133"/>
  <c r="AA67" i="133"/>
  <c r="Z67" i="133"/>
  <c r="Y67" i="133"/>
  <c r="X67" i="133"/>
  <c r="U67" i="133"/>
  <c r="T67" i="133"/>
  <c r="I67" i="133"/>
  <c r="H67" i="133"/>
  <c r="V67" i="133" s="1"/>
  <c r="G67" i="133"/>
  <c r="D67" i="133"/>
  <c r="C67" i="133"/>
  <c r="AB66" i="133"/>
  <c r="AA66" i="133"/>
  <c r="Z66" i="133"/>
  <c r="Y66" i="133"/>
  <c r="X66" i="133"/>
  <c r="U66" i="133"/>
  <c r="T66" i="133"/>
  <c r="I66" i="133"/>
  <c r="H66" i="133"/>
  <c r="V66" i="133" s="1"/>
  <c r="G66" i="133"/>
  <c r="D66" i="133"/>
  <c r="C66" i="133"/>
  <c r="AB65" i="133"/>
  <c r="AA65" i="133"/>
  <c r="Z65" i="133"/>
  <c r="Y65" i="133"/>
  <c r="X65" i="133"/>
  <c r="U65" i="133"/>
  <c r="T65" i="133"/>
  <c r="I65" i="133"/>
  <c r="H65" i="133"/>
  <c r="V65" i="133" s="1"/>
  <c r="G65" i="133"/>
  <c r="D65" i="133"/>
  <c r="C65" i="133"/>
  <c r="U64" i="133"/>
  <c r="T64" i="133"/>
  <c r="I64" i="133"/>
  <c r="H64" i="133"/>
  <c r="V64" i="133" s="1"/>
  <c r="G64" i="133"/>
  <c r="D64" i="133"/>
  <c r="C64" i="133"/>
  <c r="U63" i="133"/>
  <c r="T63" i="133"/>
  <c r="I63" i="133"/>
  <c r="H63" i="133"/>
  <c r="V63" i="133" s="1"/>
  <c r="G63" i="133"/>
  <c r="D63" i="133"/>
  <c r="C63" i="133"/>
  <c r="U62" i="133"/>
  <c r="T62" i="133"/>
  <c r="I62" i="133"/>
  <c r="H62" i="133"/>
  <c r="V62" i="133" s="1"/>
  <c r="G62" i="133"/>
  <c r="D62" i="133"/>
  <c r="C62" i="133"/>
  <c r="AB61" i="133"/>
  <c r="AA61" i="133"/>
  <c r="Z61" i="133"/>
  <c r="Y61" i="133"/>
  <c r="X61" i="133"/>
  <c r="U61" i="133"/>
  <c r="T61" i="133"/>
  <c r="I61" i="133"/>
  <c r="H61" i="133"/>
  <c r="V61" i="133" s="1"/>
  <c r="G61" i="133"/>
  <c r="D61" i="133"/>
  <c r="C61" i="133"/>
  <c r="AB60" i="133"/>
  <c r="AA60" i="133"/>
  <c r="Z60" i="133"/>
  <c r="Y60" i="133"/>
  <c r="X60" i="133"/>
  <c r="U60" i="133"/>
  <c r="T60" i="133"/>
  <c r="I60" i="133"/>
  <c r="H60" i="133"/>
  <c r="V60" i="133" s="1"/>
  <c r="G60" i="133"/>
  <c r="D60" i="133"/>
  <c r="C60" i="133"/>
  <c r="AB59" i="133"/>
  <c r="AA59" i="133"/>
  <c r="Z59" i="133"/>
  <c r="Y59" i="133"/>
  <c r="X59" i="133"/>
  <c r="U59" i="133"/>
  <c r="T59" i="133"/>
  <c r="I59" i="133"/>
  <c r="H59" i="133"/>
  <c r="V59" i="133" s="1"/>
  <c r="G59" i="133"/>
  <c r="D59" i="133"/>
  <c r="C59" i="133"/>
  <c r="AB58" i="133"/>
  <c r="AA58" i="133"/>
  <c r="Z58" i="133"/>
  <c r="Y58" i="133"/>
  <c r="X58" i="133"/>
  <c r="U58" i="133"/>
  <c r="T58" i="133"/>
  <c r="I58" i="133"/>
  <c r="H58" i="133"/>
  <c r="V58" i="133" s="1"/>
  <c r="G58" i="133"/>
  <c r="D58" i="133"/>
  <c r="C58" i="133"/>
  <c r="AB57" i="133"/>
  <c r="AA57" i="133"/>
  <c r="Z57" i="133"/>
  <c r="Y57" i="133"/>
  <c r="X57" i="133"/>
  <c r="U57" i="133"/>
  <c r="T57" i="133"/>
  <c r="I57" i="133"/>
  <c r="H57" i="133"/>
  <c r="V57" i="133" s="1"/>
  <c r="G57" i="133"/>
  <c r="D57" i="133"/>
  <c r="C57" i="133"/>
  <c r="AB56" i="133"/>
  <c r="AA56" i="133"/>
  <c r="Z56" i="133"/>
  <c r="Y56" i="133"/>
  <c r="X56" i="133"/>
  <c r="U56" i="133"/>
  <c r="T56" i="133"/>
  <c r="I56" i="133"/>
  <c r="H56" i="133"/>
  <c r="V56" i="133" s="1"/>
  <c r="G56" i="133"/>
  <c r="D56" i="133"/>
  <c r="C56" i="133"/>
  <c r="AB55" i="133"/>
  <c r="AA55" i="133"/>
  <c r="Z55" i="133"/>
  <c r="Y55" i="133"/>
  <c r="X55" i="133"/>
  <c r="U55" i="133"/>
  <c r="T55" i="133"/>
  <c r="I55" i="133"/>
  <c r="H55" i="133"/>
  <c r="V55" i="133" s="1"/>
  <c r="G55" i="133"/>
  <c r="D55" i="133"/>
  <c r="C55" i="133"/>
  <c r="AB54" i="133"/>
  <c r="AA54" i="133"/>
  <c r="Z54" i="133"/>
  <c r="Y54" i="133"/>
  <c r="X54" i="133"/>
  <c r="U54" i="133"/>
  <c r="T54" i="133"/>
  <c r="I54" i="133"/>
  <c r="H54" i="133"/>
  <c r="V54" i="133" s="1"/>
  <c r="G54" i="133"/>
  <c r="D54" i="133"/>
  <c r="C54" i="133"/>
  <c r="AB53" i="133"/>
  <c r="AA53" i="133"/>
  <c r="Z53" i="133"/>
  <c r="Y53" i="133"/>
  <c r="X53" i="133"/>
  <c r="U53" i="133"/>
  <c r="T53" i="133"/>
  <c r="I53" i="133"/>
  <c r="H53" i="133"/>
  <c r="V53" i="133" s="1"/>
  <c r="G53" i="133"/>
  <c r="D53" i="133"/>
  <c r="C53" i="133"/>
  <c r="AB52" i="133"/>
  <c r="AA52" i="133"/>
  <c r="Z52" i="133"/>
  <c r="Y52" i="133"/>
  <c r="X52" i="133"/>
  <c r="U52" i="133"/>
  <c r="T52" i="133"/>
  <c r="I52" i="133"/>
  <c r="H52" i="133"/>
  <c r="V52" i="133" s="1"/>
  <c r="G52" i="133"/>
  <c r="D52" i="133"/>
  <c r="C52" i="133"/>
  <c r="U51" i="133"/>
  <c r="T51" i="133"/>
  <c r="I51" i="133"/>
  <c r="H51" i="133"/>
  <c r="V51" i="133" s="1"/>
  <c r="G51" i="133"/>
  <c r="D51" i="133"/>
  <c r="C51" i="133"/>
  <c r="U50" i="133"/>
  <c r="T50" i="133"/>
  <c r="I50" i="133"/>
  <c r="H50" i="133"/>
  <c r="V50" i="133" s="1"/>
  <c r="G50" i="133"/>
  <c r="D50" i="133"/>
  <c r="C50" i="133"/>
  <c r="U49" i="133"/>
  <c r="T49" i="133"/>
  <c r="I49" i="133"/>
  <c r="H49" i="133"/>
  <c r="V49" i="133" s="1"/>
  <c r="G49" i="133"/>
  <c r="D49" i="133"/>
  <c r="C49" i="133"/>
  <c r="U48" i="133"/>
  <c r="T48" i="133"/>
  <c r="I48" i="133"/>
  <c r="H48" i="133"/>
  <c r="V48" i="133" s="1"/>
  <c r="G48" i="133"/>
  <c r="D48" i="133"/>
  <c r="C48" i="133"/>
  <c r="U47" i="133"/>
  <c r="T47" i="133"/>
  <c r="I47" i="133"/>
  <c r="H47" i="133"/>
  <c r="V47" i="133" s="1"/>
  <c r="G47" i="133"/>
  <c r="D47" i="133"/>
  <c r="C47" i="133"/>
  <c r="U46" i="133"/>
  <c r="T46" i="133"/>
  <c r="I46" i="133"/>
  <c r="H46" i="133"/>
  <c r="V46" i="133" s="1"/>
  <c r="G46" i="133"/>
  <c r="D46" i="133"/>
  <c r="C46" i="133"/>
  <c r="U45" i="133"/>
  <c r="T45" i="133"/>
  <c r="I45" i="133"/>
  <c r="H45" i="133"/>
  <c r="V45" i="133" s="1"/>
  <c r="G45" i="133"/>
  <c r="D45" i="133"/>
  <c r="C45" i="133"/>
  <c r="U44" i="133"/>
  <c r="T44" i="133"/>
  <c r="I44" i="133"/>
  <c r="H44" i="133"/>
  <c r="V44" i="133" s="1"/>
  <c r="G44" i="133"/>
  <c r="D44" i="133"/>
  <c r="C44" i="133"/>
  <c r="U43" i="133"/>
  <c r="T43" i="133"/>
  <c r="I43" i="133"/>
  <c r="H43" i="133"/>
  <c r="V43" i="133" s="1"/>
  <c r="G43" i="133"/>
  <c r="D43" i="133"/>
  <c r="C43" i="133"/>
  <c r="U42" i="133"/>
  <c r="T42" i="133"/>
  <c r="I42" i="133"/>
  <c r="H42" i="133"/>
  <c r="V42" i="133" s="1"/>
  <c r="G42" i="133"/>
  <c r="D42" i="133"/>
  <c r="C42" i="133"/>
  <c r="U41" i="133"/>
  <c r="T41" i="133"/>
  <c r="I41" i="133"/>
  <c r="H41" i="133"/>
  <c r="V41" i="133" s="1"/>
  <c r="G41" i="133"/>
  <c r="D41" i="133"/>
  <c r="C41" i="133"/>
  <c r="U40" i="133"/>
  <c r="T40" i="133"/>
  <c r="I40" i="133"/>
  <c r="H40" i="133"/>
  <c r="V40" i="133" s="1"/>
  <c r="G40" i="133"/>
  <c r="D40" i="133"/>
  <c r="C40" i="133"/>
  <c r="U39" i="133"/>
  <c r="T39" i="133"/>
  <c r="I39" i="133"/>
  <c r="H39" i="133"/>
  <c r="V39" i="133" s="1"/>
  <c r="G39" i="133"/>
  <c r="D39" i="133"/>
  <c r="C39" i="133"/>
  <c r="U38" i="133"/>
  <c r="T38" i="133"/>
  <c r="I38" i="133"/>
  <c r="H38" i="133"/>
  <c r="V38" i="133" s="1"/>
  <c r="G38" i="133"/>
  <c r="D38" i="133"/>
  <c r="C38" i="133"/>
  <c r="U37" i="133"/>
  <c r="T37" i="133"/>
  <c r="I37" i="133"/>
  <c r="H37" i="133"/>
  <c r="V37" i="133" s="1"/>
  <c r="G37" i="133"/>
  <c r="D37" i="133"/>
  <c r="C37" i="133"/>
  <c r="U36" i="133"/>
  <c r="T36" i="133"/>
  <c r="I36" i="133"/>
  <c r="H36" i="133"/>
  <c r="V36" i="133" s="1"/>
  <c r="G36" i="133"/>
  <c r="D36" i="133"/>
  <c r="C36" i="133"/>
  <c r="U35" i="133"/>
  <c r="T35" i="133"/>
  <c r="I35" i="133"/>
  <c r="H35" i="133"/>
  <c r="V35" i="133" s="1"/>
  <c r="G35" i="133"/>
  <c r="D35" i="133"/>
  <c r="C35" i="133"/>
  <c r="U34" i="133"/>
  <c r="T34" i="133"/>
  <c r="I34" i="133"/>
  <c r="H34" i="133"/>
  <c r="V34" i="133" s="1"/>
  <c r="G34" i="133"/>
  <c r="D34" i="133"/>
  <c r="C34" i="133"/>
  <c r="U33" i="133"/>
  <c r="T33" i="133"/>
  <c r="I33" i="133"/>
  <c r="H33" i="133"/>
  <c r="V33" i="133" s="1"/>
  <c r="G33" i="133"/>
  <c r="D33" i="133"/>
  <c r="C33" i="133"/>
  <c r="U32" i="133"/>
  <c r="T32" i="133"/>
  <c r="I32" i="133"/>
  <c r="H32" i="133"/>
  <c r="V32" i="133" s="1"/>
  <c r="G32" i="133"/>
  <c r="D32" i="133"/>
  <c r="C32" i="133"/>
  <c r="U31" i="133"/>
  <c r="T31" i="133"/>
  <c r="I31" i="133"/>
  <c r="H31" i="133"/>
  <c r="V31" i="133" s="1"/>
  <c r="G31" i="133"/>
  <c r="D31" i="133"/>
  <c r="C31" i="133"/>
  <c r="U30" i="133"/>
  <c r="T30" i="133"/>
  <c r="I30" i="133"/>
  <c r="H30" i="133"/>
  <c r="V30" i="133" s="1"/>
  <c r="G30" i="133"/>
  <c r="D30" i="133"/>
  <c r="C30" i="133"/>
  <c r="U29" i="133"/>
  <c r="T29" i="133"/>
  <c r="I29" i="133"/>
  <c r="H29" i="133"/>
  <c r="V29" i="133" s="1"/>
  <c r="G29" i="133"/>
  <c r="D29" i="133"/>
  <c r="C29" i="133"/>
  <c r="U28" i="133"/>
  <c r="T28" i="133"/>
  <c r="I28" i="133"/>
  <c r="H28" i="133"/>
  <c r="V28" i="133" s="1"/>
  <c r="G28" i="133"/>
  <c r="D28" i="133"/>
  <c r="C28" i="133"/>
  <c r="U27" i="133"/>
  <c r="T27" i="133"/>
  <c r="I27" i="133"/>
  <c r="H27" i="133"/>
  <c r="V27" i="133" s="1"/>
  <c r="G27" i="133"/>
  <c r="D27" i="133"/>
  <c r="C27" i="133"/>
  <c r="U26" i="133"/>
  <c r="T26" i="133"/>
  <c r="I26" i="133"/>
  <c r="H26" i="133"/>
  <c r="V26" i="133" s="1"/>
  <c r="G26" i="133"/>
  <c r="D26" i="133"/>
  <c r="C26" i="133"/>
  <c r="U25" i="133"/>
  <c r="T25" i="133"/>
  <c r="I25" i="133"/>
  <c r="H25" i="133"/>
  <c r="V25" i="133" s="1"/>
  <c r="G25" i="133"/>
  <c r="D25" i="133"/>
  <c r="C25" i="133"/>
  <c r="U24" i="133"/>
  <c r="T24" i="133"/>
  <c r="I24" i="133"/>
  <c r="H24" i="133"/>
  <c r="V24" i="133" s="1"/>
  <c r="G24" i="133"/>
  <c r="D24" i="133"/>
  <c r="C24" i="133"/>
  <c r="U23" i="133"/>
  <c r="T23" i="133"/>
  <c r="I23" i="133"/>
  <c r="H23" i="133"/>
  <c r="V23" i="133" s="1"/>
  <c r="G23" i="133"/>
  <c r="D23" i="133"/>
  <c r="C23" i="133"/>
  <c r="AO22" i="133"/>
  <c r="AN22" i="133"/>
  <c r="AM22" i="133"/>
  <c r="AL22" i="133"/>
  <c r="AK22" i="133"/>
  <c r="AC22" i="133"/>
  <c r="AB22" i="133"/>
  <c r="AA22" i="133"/>
  <c r="Z22" i="133"/>
  <c r="Y22" i="133"/>
  <c r="U22" i="133"/>
  <c r="T22" i="133"/>
  <c r="R22" i="133"/>
  <c r="I22" i="133"/>
  <c r="H22" i="133"/>
  <c r="V22" i="133" s="1"/>
  <c r="G22" i="133"/>
  <c r="D22" i="133"/>
  <c r="C22" i="133"/>
  <c r="AO21" i="133"/>
  <c r="AN21" i="133"/>
  <c r="AM21" i="133"/>
  <c r="AL21" i="133"/>
  <c r="AK21" i="133"/>
  <c r="AC21" i="133"/>
  <c r="AB21" i="133"/>
  <c r="AA21" i="133"/>
  <c r="Z21" i="133"/>
  <c r="Y21" i="133"/>
  <c r="U21" i="133"/>
  <c r="T21" i="133"/>
  <c r="R21" i="133"/>
  <c r="I21" i="133"/>
  <c r="H21" i="133"/>
  <c r="V21" i="133" s="1"/>
  <c r="G21" i="133"/>
  <c r="D21" i="133"/>
  <c r="C21" i="133"/>
  <c r="AO20" i="133"/>
  <c r="AN20" i="133"/>
  <c r="AM20" i="133"/>
  <c r="AL20" i="133"/>
  <c r="AK20" i="133"/>
  <c r="AC20" i="133"/>
  <c r="AB20" i="133"/>
  <c r="AA20" i="133"/>
  <c r="Z20" i="133"/>
  <c r="Y20" i="133"/>
  <c r="U20" i="133"/>
  <c r="T20" i="133"/>
  <c r="R20" i="133"/>
  <c r="I20" i="133"/>
  <c r="H20" i="133"/>
  <c r="V20" i="133" s="1"/>
  <c r="G20" i="133"/>
  <c r="D20" i="133"/>
  <c r="C20" i="133"/>
  <c r="AO19" i="133"/>
  <c r="AN19" i="133"/>
  <c r="AM19" i="133"/>
  <c r="AL19" i="133"/>
  <c r="AK19" i="133"/>
  <c r="AC19" i="133"/>
  <c r="AB19" i="133"/>
  <c r="AA19" i="133"/>
  <c r="Z19" i="133"/>
  <c r="Y19" i="133"/>
  <c r="U19" i="133"/>
  <c r="T19" i="133"/>
  <c r="R19" i="133"/>
  <c r="I19" i="133"/>
  <c r="H19" i="133"/>
  <c r="V19" i="133" s="1"/>
  <c r="G19" i="133"/>
  <c r="D19" i="133"/>
  <c r="C19" i="133"/>
  <c r="AO18" i="133"/>
  <c r="AN18" i="133"/>
  <c r="AM18" i="133"/>
  <c r="AL18" i="133"/>
  <c r="AK18" i="133"/>
  <c r="AC18" i="133"/>
  <c r="AB18" i="133"/>
  <c r="AA18" i="133"/>
  <c r="Z18" i="133"/>
  <c r="Y18" i="133"/>
  <c r="U18" i="133"/>
  <c r="T18" i="133"/>
  <c r="R18" i="133"/>
  <c r="I18" i="133"/>
  <c r="H18" i="133"/>
  <c r="V18" i="133" s="1"/>
  <c r="G18" i="133"/>
  <c r="D18" i="133"/>
  <c r="C18" i="133"/>
  <c r="AO17" i="133"/>
  <c r="AN17" i="133"/>
  <c r="AM17" i="133"/>
  <c r="AL17" i="133"/>
  <c r="AK17" i="133"/>
  <c r="AC17" i="133"/>
  <c r="AB17" i="133"/>
  <c r="AA17" i="133"/>
  <c r="Z17" i="133"/>
  <c r="Y17" i="133"/>
  <c r="U17" i="133"/>
  <c r="T17" i="133"/>
  <c r="R17" i="133"/>
  <c r="I17" i="133"/>
  <c r="H17" i="133"/>
  <c r="V17" i="133" s="1"/>
  <c r="G17" i="133"/>
  <c r="D17" i="133"/>
  <c r="C17" i="133"/>
  <c r="AO16" i="133"/>
  <c r="AN16" i="133"/>
  <c r="AM16" i="133"/>
  <c r="AL16" i="133"/>
  <c r="AK16" i="133"/>
  <c r="AC16" i="133"/>
  <c r="AB16" i="133"/>
  <c r="AA16" i="133"/>
  <c r="Z16" i="133"/>
  <c r="Y16" i="133"/>
  <c r="U16" i="133"/>
  <c r="T16" i="133"/>
  <c r="R16" i="133"/>
  <c r="I16" i="133"/>
  <c r="H16" i="133"/>
  <c r="V16" i="133" s="1"/>
  <c r="G16" i="133"/>
  <c r="D16" i="133"/>
  <c r="C16" i="133"/>
  <c r="AO15" i="133"/>
  <c r="AN15" i="133"/>
  <c r="AM15" i="133"/>
  <c r="AL15" i="133"/>
  <c r="AK15" i="133"/>
  <c r="AC15" i="133"/>
  <c r="AB15" i="133"/>
  <c r="AA15" i="133"/>
  <c r="Z15" i="133"/>
  <c r="Y15" i="133"/>
  <c r="U15" i="133"/>
  <c r="T15" i="133"/>
  <c r="R15" i="133"/>
  <c r="I15" i="133"/>
  <c r="H15" i="133"/>
  <c r="V15" i="133" s="1"/>
  <c r="G15" i="133"/>
  <c r="D15" i="133"/>
  <c r="C15" i="133"/>
  <c r="AO14" i="133"/>
  <c r="AN14" i="133"/>
  <c r="AM14" i="133"/>
  <c r="AL14" i="133"/>
  <c r="AK14" i="133"/>
  <c r="AC14" i="133"/>
  <c r="AB14" i="133"/>
  <c r="AA14" i="133"/>
  <c r="Z14" i="133"/>
  <c r="Y14" i="133"/>
  <c r="U14" i="133"/>
  <c r="T14" i="133"/>
  <c r="R14" i="133"/>
  <c r="R11" i="133" s="1"/>
  <c r="I14" i="133"/>
  <c r="H14" i="133"/>
  <c r="V14" i="133" s="1"/>
  <c r="G14" i="133"/>
  <c r="D14" i="133"/>
  <c r="C14" i="133"/>
  <c r="AO13" i="133"/>
  <c r="AN13" i="133"/>
  <c r="AM13" i="133"/>
  <c r="AL13" i="133"/>
  <c r="AK13" i="133"/>
  <c r="AC13" i="133"/>
  <c r="AB13" i="133"/>
  <c r="AA13" i="133"/>
  <c r="Z13" i="133"/>
  <c r="Y13" i="133"/>
  <c r="U13" i="133"/>
  <c r="T13" i="133"/>
  <c r="R13" i="133"/>
  <c r="I13" i="133"/>
  <c r="H13" i="133"/>
  <c r="V13" i="133" s="1"/>
  <c r="G13" i="133"/>
  <c r="D13" i="133"/>
  <c r="C13" i="133"/>
  <c r="U12" i="133"/>
  <c r="T12" i="133"/>
  <c r="I12" i="133"/>
  <c r="H12" i="133"/>
  <c r="V12" i="133" s="1"/>
  <c r="G12" i="133"/>
  <c r="D12" i="133"/>
  <c r="C12" i="133"/>
  <c r="U11" i="133"/>
  <c r="T11" i="133"/>
  <c r="I11" i="133"/>
  <c r="H11" i="133"/>
  <c r="V11" i="133" s="1"/>
  <c r="G11" i="133"/>
  <c r="D11" i="133"/>
  <c r="C11" i="133"/>
  <c r="U10" i="133"/>
  <c r="T10" i="133"/>
  <c r="I10" i="133"/>
  <c r="H10" i="133"/>
  <c r="V10" i="133" s="1"/>
  <c r="G10" i="133"/>
  <c r="D10" i="133"/>
  <c r="C10" i="133"/>
  <c r="U9" i="133"/>
  <c r="T9" i="133"/>
  <c r="P9" i="133"/>
  <c r="AC9" i="133" s="1"/>
  <c r="O9" i="133"/>
  <c r="AB9" i="133" s="1"/>
  <c r="N9" i="133"/>
  <c r="AA9" i="133" s="1"/>
  <c r="M9" i="133"/>
  <c r="Z9" i="133" s="1"/>
  <c r="L9" i="133"/>
  <c r="Y9" i="133" s="1"/>
  <c r="I9" i="133"/>
  <c r="H9" i="133"/>
  <c r="V9" i="133" s="1"/>
  <c r="G9" i="133"/>
  <c r="D9" i="133"/>
  <c r="C9" i="133"/>
  <c r="AO8" i="133"/>
  <c r="AN8" i="133"/>
  <c r="AM8" i="133"/>
  <c r="AC8" i="133"/>
  <c r="AB8" i="133"/>
  <c r="AA8" i="133"/>
  <c r="Z8" i="133"/>
  <c r="Y8" i="133"/>
  <c r="U8" i="133"/>
  <c r="T8" i="133"/>
  <c r="I8" i="133"/>
  <c r="H8" i="133"/>
  <c r="V8" i="133" s="1"/>
  <c r="G8" i="133"/>
  <c r="D8" i="133"/>
  <c r="C8" i="133"/>
  <c r="AG7" i="133"/>
  <c r="AC7" i="133"/>
  <c r="AB7" i="133"/>
  <c r="AA7" i="133"/>
  <c r="Z7" i="133"/>
  <c r="Y7" i="133"/>
  <c r="U7" i="133"/>
  <c r="T7" i="133"/>
  <c r="I7" i="133"/>
  <c r="H7" i="133"/>
  <c r="V7" i="133" s="1"/>
  <c r="G7" i="133"/>
  <c r="D7" i="133"/>
  <c r="C7" i="133"/>
  <c r="AL8" i="133" s="1"/>
  <c r="U6" i="133"/>
  <c r="T6" i="133"/>
  <c r="I6" i="133"/>
  <c r="H6" i="133"/>
  <c r="V6" i="133" s="1"/>
  <c r="G6" i="133"/>
  <c r="D6" i="133"/>
  <c r="C6" i="133"/>
  <c r="AK8" i="133" s="1"/>
  <c r="AG3" i="133"/>
  <c r="AG2" i="133"/>
  <c r="U105" i="132"/>
  <c r="T105" i="132"/>
  <c r="I105" i="132"/>
  <c r="H105" i="132"/>
  <c r="V105" i="132" s="1"/>
  <c r="G105" i="132"/>
  <c r="D105" i="132"/>
  <c r="C105" i="132"/>
  <c r="U104" i="132"/>
  <c r="T104" i="132"/>
  <c r="I104" i="132"/>
  <c r="H104" i="132"/>
  <c r="V104" i="132" s="1"/>
  <c r="G104" i="132"/>
  <c r="D104" i="132"/>
  <c r="C104" i="132"/>
  <c r="U103" i="132"/>
  <c r="T103" i="132"/>
  <c r="I103" i="132"/>
  <c r="H103" i="132"/>
  <c r="V103" i="132" s="1"/>
  <c r="G103" i="132"/>
  <c r="D103" i="132"/>
  <c r="C103" i="132"/>
  <c r="U102" i="132"/>
  <c r="T102" i="132"/>
  <c r="I102" i="132"/>
  <c r="H102" i="132"/>
  <c r="V102" i="132" s="1"/>
  <c r="G102" i="132"/>
  <c r="D102" i="132"/>
  <c r="C102" i="132"/>
  <c r="U101" i="132"/>
  <c r="T101" i="132"/>
  <c r="I101" i="132"/>
  <c r="H101" i="132"/>
  <c r="V101" i="132" s="1"/>
  <c r="G101" i="132"/>
  <c r="D101" i="132"/>
  <c r="C101" i="132"/>
  <c r="U100" i="132"/>
  <c r="T100" i="132"/>
  <c r="I100" i="132"/>
  <c r="H100" i="132"/>
  <c r="V100" i="132" s="1"/>
  <c r="G100" i="132"/>
  <c r="D100" i="132"/>
  <c r="C100" i="132"/>
  <c r="U99" i="132"/>
  <c r="T99" i="132"/>
  <c r="I99" i="132"/>
  <c r="H99" i="132"/>
  <c r="V99" i="132" s="1"/>
  <c r="G99" i="132"/>
  <c r="D99" i="132"/>
  <c r="C99" i="132"/>
  <c r="U98" i="132"/>
  <c r="T98" i="132"/>
  <c r="I98" i="132"/>
  <c r="H98" i="132"/>
  <c r="V98" i="132" s="1"/>
  <c r="G98" i="132"/>
  <c r="D98" i="132"/>
  <c r="C98" i="132"/>
  <c r="U97" i="132"/>
  <c r="T97" i="132"/>
  <c r="I97" i="132"/>
  <c r="H97" i="132"/>
  <c r="V97" i="132" s="1"/>
  <c r="G97" i="132"/>
  <c r="D97" i="132"/>
  <c r="C97" i="132"/>
  <c r="U96" i="132"/>
  <c r="T96" i="132"/>
  <c r="I96" i="132"/>
  <c r="H96" i="132"/>
  <c r="V96" i="132" s="1"/>
  <c r="G96" i="132"/>
  <c r="D96" i="132"/>
  <c r="C96" i="132"/>
  <c r="U95" i="132"/>
  <c r="T95" i="132"/>
  <c r="I95" i="132"/>
  <c r="H95" i="132"/>
  <c r="V95" i="132" s="1"/>
  <c r="G95" i="132"/>
  <c r="D95" i="132"/>
  <c r="C95" i="132"/>
  <c r="U94" i="132"/>
  <c r="T94" i="132"/>
  <c r="I94" i="132"/>
  <c r="H94" i="132"/>
  <c r="V94" i="132" s="1"/>
  <c r="G94" i="132"/>
  <c r="D94" i="132"/>
  <c r="C94" i="132"/>
  <c r="U93" i="132"/>
  <c r="T93" i="132"/>
  <c r="I93" i="132"/>
  <c r="H93" i="132"/>
  <c r="V93" i="132" s="1"/>
  <c r="G93" i="132"/>
  <c r="D93" i="132"/>
  <c r="C93" i="132"/>
  <c r="U92" i="132"/>
  <c r="T92" i="132"/>
  <c r="I92" i="132"/>
  <c r="H92" i="132"/>
  <c r="V92" i="132" s="1"/>
  <c r="G92" i="132"/>
  <c r="D92" i="132"/>
  <c r="C92" i="132"/>
  <c r="U91" i="132"/>
  <c r="T91" i="132"/>
  <c r="I91" i="132"/>
  <c r="H91" i="132"/>
  <c r="V91" i="132" s="1"/>
  <c r="G91" i="132"/>
  <c r="D91" i="132"/>
  <c r="C91" i="132"/>
  <c r="U90" i="132"/>
  <c r="T90" i="132"/>
  <c r="I90" i="132"/>
  <c r="H90" i="132"/>
  <c r="V90" i="132" s="1"/>
  <c r="G90" i="132"/>
  <c r="D90" i="132"/>
  <c r="C90" i="132"/>
  <c r="U89" i="132"/>
  <c r="T89" i="132"/>
  <c r="I89" i="132"/>
  <c r="H89" i="132"/>
  <c r="V89" i="132" s="1"/>
  <c r="G89" i="132"/>
  <c r="D89" i="132"/>
  <c r="C89" i="132"/>
  <c r="U88" i="132"/>
  <c r="T88" i="132"/>
  <c r="I88" i="132"/>
  <c r="H88" i="132"/>
  <c r="V88" i="132" s="1"/>
  <c r="G88" i="132"/>
  <c r="D88" i="132"/>
  <c r="C88" i="132"/>
  <c r="U87" i="132"/>
  <c r="T87" i="132"/>
  <c r="I87" i="132"/>
  <c r="H87" i="132"/>
  <c r="V87" i="132" s="1"/>
  <c r="G87" i="132"/>
  <c r="D87" i="132"/>
  <c r="C87" i="132"/>
  <c r="U86" i="132"/>
  <c r="T86" i="132"/>
  <c r="I86" i="132"/>
  <c r="H86" i="132"/>
  <c r="V86" i="132" s="1"/>
  <c r="G86" i="132"/>
  <c r="D86" i="132"/>
  <c r="C86" i="132"/>
  <c r="U85" i="132"/>
  <c r="T85" i="132"/>
  <c r="I85" i="132"/>
  <c r="H85" i="132"/>
  <c r="V85" i="132" s="1"/>
  <c r="G85" i="132"/>
  <c r="D85" i="132"/>
  <c r="C85" i="132"/>
  <c r="U84" i="132"/>
  <c r="T84" i="132"/>
  <c r="I84" i="132"/>
  <c r="H84" i="132"/>
  <c r="V84" i="132" s="1"/>
  <c r="G84" i="132"/>
  <c r="D84" i="132"/>
  <c r="C84" i="132"/>
  <c r="U83" i="132"/>
  <c r="T83" i="132"/>
  <c r="I83" i="132"/>
  <c r="H83" i="132"/>
  <c r="V83" i="132" s="1"/>
  <c r="G83" i="132"/>
  <c r="D83" i="132"/>
  <c r="C83" i="132"/>
  <c r="U82" i="132"/>
  <c r="T82" i="132"/>
  <c r="I82" i="132"/>
  <c r="H82" i="132"/>
  <c r="V82" i="132" s="1"/>
  <c r="G82" i="132"/>
  <c r="D82" i="132"/>
  <c r="C82" i="132"/>
  <c r="U81" i="132"/>
  <c r="T81" i="132"/>
  <c r="I81" i="132"/>
  <c r="H81" i="132"/>
  <c r="V81" i="132" s="1"/>
  <c r="G81" i="132"/>
  <c r="D81" i="132"/>
  <c r="C81" i="132"/>
  <c r="U80" i="132"/>
  <c r="T80" i="132"/>
  <c r="I80" i="132"/>
  <c r="H80" i="132"/>
  <c r="V80" i="132" s="1"/>
  <c r="G80" i="132"/>
  <c r="D80" i="132"/>
  <c r="C80" i="132"/>
  <c r="U79" i="132"/>
  <c r="T79" i="132"/>
  <c r="I79" i="132"/>
  <c r="H79" i="132"/>
  <c r="V79" i="132" s="1"/>
  <c r="G79" i="132"/>
  <c r="D79" i="132"/>
  <c r="C79" i="132"/>
  <c r="U78" i="132"/>
  <c r="T78" i="132"/>
  <c r="I78" i="132"/>
  <c r="H78" i="132"/>
  <c r="V78" i="132" s="1"/>
  <c r="G78" i="132"/>
  <c r="D78" i="132"/>
  <c r="C78" i="132"/>
  <c r="U77" i="132"/>
  <c r="T77" i="132"/>
  <c r="I77" i="132"/>
  <c r="H77" i="132"/>
  <c r="V77" i="132" s="1"/>
  <c r="G77" i="132"/>
  <c r="D77" i="132"/>
  <c r="C77" i="132"/>
  <c r="U76" i="132"/>
  <c r="T76" i="132"/>
  <c r="I76" i="132"/>
  <c r="H76" i="132"/>
  <c r="V76" i="132" s="1"/>
  <c r="G76" i="132"/>
  <c r="D76" i="132"/>
  <c r="C76" i="132"/>
  <c r="U75" i="132"/>
  <c r="T75" i="132"/>
  <c r="I75" i="132"/>
  <c r="H75" i="132"/>
  <c r="V75" i="132" s="1"/>
  <c r="G75" i="132"/>
  <c r="D75" i="132"/>
  <c r="C75" i="132"/>
  <c r="AB74" i="132"/>
  <c r="AA74" i="132"/>
  <c r="Z74" i="132"/>
  <c r="Y74" i="132"/>
  <c r="X74" i="132"/>
  <c r="U74" i="132"/>
  <c r="T74" i="132"/>
  <c r="I74" i="132"/>
  <c r="H74" i="132"/>
  <c r="V74" i="132" s="1"/>
  <c r="G74" i="132"/>
  <c r="D74" i="132"/>
  <c r="C74" i="132"/>
  <c r="AB73" i="132"/>
  <c r="AA73" i="132"/>
  <c r="Z73" i="132"/>
  <c r="Y73" i="132"/>
  <c r="X73" i="132"/>
  <c r="U73" i="132"/>
  <c r="T73" i="132"/>
  <c r="I73" i="132"/>
  <c r="H73" i="132"/>
  <c r="V73" i="132" s="1"/>
  <c r="G73" i="132"/>
  <c r="D73" i="132"/>
  <c r="C73" i="132"/>
  <c r="AB72" i="132"/>
  <c r="AA72" i="132"/>
  <c r="Z72" i="132"/>
  <c r="Y72" i="132"/>
  <c r="X72" i="132"/>
  <c r="U72" i="132"/>
  <c r="T72" i="132"/>
  <c r="I72" i="132"/>
  <c r="H72" i="132"/>
  <c r="V72" i="132" s="1"/>
  <c r="G72" i="132"/>
  <c r="D72" i="132"/>
  <c r="C72" i="132"/>
  <c r="AB71" i="132"/>
  <c r="AA71" i="132"/>
  <c r="Z71" i="132"/>
  <c r="Y71" i="132"/>
  <c r="X71" i="132"/>
  <c r="U71" i="132"/>
  <c r="T71" i="132"/>
  <c r="I71" i="132"/>
  <c r="H71" i="132"/>
  <c r="V71" i="132" s="1"/>
  <c r="G71" i="132"/>
  <c r="D71" i="132"/>
  <c r="C71" i="132"/>
  <c r="AB70" i="132"/>
  <c r="AA70" i="132"/>
  <c r="Z70" i="132"/>
  <c r="Y70" i="132"/>
  <c r="X70" i="132"/>
  <c r="U70" i="132"/>
  <c r="T70" i="132"/>
  <c r="I70" i="132"/>
  <c r="H70" i="132"/>
  <c r="V70" i="132" s="1"/>
  <c r="G70" i="132"/>
  <c r="D70" i="132"/>
  <c r="C70" i="132"/>
  <c r="AB69" i="132"/>
  <c r="AA69" i="132"/>
  <c r="Z69" i="132"/>
  <c r="Y69" i="132"/>
  <c r="X69" i="132"/>
  <c r="U69" i="132"/>
  <c r="T69" i="132"/>
  <c r="I69" i="132"/>
  <c r="H69" i="132"/>
  <c r="V69" i="132" s="1"/>
  <c r="G69" i="132"/>
  <c r="D69" i="132"/>
  <c r="C69" i="132"/>
  <c r="AB68" i="132"/>
  <c r="AA68" i="132"/>
  <c r="Z68" i="132"/>
  <c r="Y68" i="132"/>
  <c r="X68" i="132"/>
  <c r="U68" i="132"/>
  <c r="T68" i="132"/>
  <c r="I68" i="132"/>
  <c r="H68" i="132"/>
  <c r="V68" i="132" s="1"/>
  <c r="G68" i="132"/>
  <c r="D68" i="132"/>
  <c r="C68" i="132"/>
  <c r="AB67" i="132"/>
  <c r="AA67" i="132"/>
  <c r="Z67" i="132"/>
  <c r="Y67" i="132"/>
  <c r="X67" i="132"/>
  <c r="U67" i="132"/>
  <c r="T67" i="132"/>
  <c r="I67" i="132"/>
  <c r="H67" i="132"/>
  <c r="V67" i="132" s="1"/>
  <c r="G67" i="132"/>
  <c r="D67" i="132"/>
  <c r="C67" i="132"/>
  <c r="AB66" i="132"/>
  <c r="AA66" i="132"/>
  <c r="Z66" i="132"/>
  <c r="Y66" i="132"/>
  <c r="X66" i="132"/>
  <c r="U66" i="132"/>
  <c r="T66" i="132"/>
  <c r="I66" i="132"/>
  <c r="H66" i="132"/>
  <c r="V66" i="132" s="1"/>
  <c r="G66" i="132"/>
  <c r="D66" i="132"/>
  <c r="C66" i="132"/>
  <c r="AB65" i="132"/>
  <c r="AA65" i="132"/>
  <c r="Z65" i="132"/>
  <c r="Y65" i="132"/>
  <c r="X65" i="132"/>
  <c r="U65" i="132"/>
  <c r="T65" i="132"/>
  <c r="I65" i="132"/>
  <c r="H65" i="132"/>
  <c r="V65" i="132" s="1"/>
  <c r="G65" i="132"/>
  <c r="D65" i="132"/>
  <c r="C65" i="132"/>
  <c r="U64" i="132"/>
  <c r="T64" i="132"/>
  <c r="I64" i="132"/>
  <c r="H64" i="132"/>
  <c r="V64" i="132" s="1"/>
  <c r="G64" i="132"/>
  <c r="D64" i="132"/>
  <c r="C64" i="132"/>
  <c r="U63" i="132"/>
  <c r="T63" i="132"/>
  <c r="I63" i="132"/>
  <c r="H63" i="132"/>
  <c r="V63" i="132" s="1"/>
  <c r="G63" i="132"/>
  <c r="D63" i="132"/>
  <c r="C63" i="132"/>
  <c r="U62" i="132"/>
  <c r="T62" i="132"/>
  <c r="I62" i="132"/>
  <c r="H62" i="132"/>
  <c r="V62" i="132" s="1"/>
  <c r="G62" i="132"/>
  <c r="D62" i="132"/>
  <c r="C62" i="132"/>
  <c r="AB61" i="132"/>
  <c r="AA61" i="132"/>
  <c r="Z61" i="132"/>
  <c r="Y61" i="132"/>
  <c r="X61" i="132"/>
  <c r="U61" i="132"/>
  <c r="T61" i="132"/>
  <c r="I61" i="132"/>
  <c r="H61" i="132"/>
  <c r="V61" i="132" s="1"/>
  <c r="G61" i="132"/>
  <c r="D61" i="132"/>
  <c r="C61" i="132"/>
  <c r="AB60" i="132"/>
  <c r="AA60" i="132"/>
  <c r="Z60" i="132"/>
  <c r="Y60" i="132"/>
  <c r="X60" i="132"/>
  <c r="U60" i="132"/>
  <c r="T60" i="132"/>
  <c r="I60" i="132"/>
  <c r="H60" i="132"/>
  <c r="V60" i="132" s="1"/>
  <c r="G60" i="132"/>
  <c r="D60" i="132"/>
  <c r="C60" i="132"/>
  <c r="AB59" i="132"/>
  <c r="AA59" i="132"/>
  <c r="Z59" i="132"/>
  <c r="Y59" i="132"/>
  <c r="X59" i="132"/>
  <c r="U59" i="132"/>
  <c r="T59" i="132"/>
  <c r="I59" i="132"/>
  <c r="H59" i="132"/>
  <c r="V59" i="132" s="1"/>
  <c r="G59" i="132"/>
  <c r="D59" i="132"/>
  <c r="C59" i="132"/>
  <c r="AB58" i="132"/>
  <c r="AA58" i="132"/>
  <c r="Z58" i="132"/>
  <c r="Y58" i="132"/>
  <c r="X58" i="132"/>
  <c r="U58" i="132"/>
  <c r="T58" i="132"/>
  <c r="I58" i="132"/>
  <c r="H58" i="132"/>
  <c r="V58" i="132" s="1"/>
  <c r="G58" i="132"/>
  <c r="D58" i="132"/>
  <c r="C58" i="132"/>
  <c r="AB57" i="132"/>
  <c r="AA57" i="132"/>
  <c r="Z57" i="132"/>
  <c r="Y57" i="132"/>
  <c r="X57" i="132"/>
  <c r="U57" i="132"/>
  <c r="T57" i="132"/>
  <c r="I57" i="132"/>
  <c r="H57" i="132"/>
  <c r="V57" i="132" s="1"/>
  <c r="G57" i="132"/>
  <c r="D57" i="132"/>
  <c r="C57" i="132"/>
  <c r="AB56" i="132"/>
  <c r="AA56" i="132"/>
  <c r="Z56" i="132"/>
  <c r="Y56" i="132"/>
  <c r="X56" i="132"/>
  <c r="U56" i="132"/>
  <c r="T56" i="132"/>
  <c r="I56" i="132"/>
  <c r="H56" i="132"/>
  <c r="V56" i="132" s="1"/>
  <c r="G56" i="132"/>
  <c r="D56" i="132"/>
  <c r="C56" i="132"/>
  <c r="AB55" i="132"/>
  <c r="AA55" i="132"/>
  <c r="Z55" i="132"/>
  <c r="Y55" i="132"/>
  <c r="X55" i="132"/>
  <c r="U55" i="132"/>
  <c r="T55" i="132"/>
  <c r="I55" i="132"/>
  <c r="H55" i="132"/>
  <c r="V55" i="132" s="1"/>
  <c r="G55" i="132"/>
  <c r="D55" i="132"/>
  <c r="C55" i="132"/>
  <c r="AB54" i="132"/>
  <c r="AA54" i="132"/>
  <c r="Z54" i="132"/>
  <c r="Y54" i="132"/>
  <c r="X54" i="132"/>
  <c r="U54" i="132"/>
  <c r="T54" i="132"/>
  <c r="I54" i="132"/>
  <c r="H54" i="132"/>
  <c r="V54" i="132" s="1"/>
  <c r="G54" i="132"/>
  <c r="D54" i="132"/>
  <c r="C54" i="132"/>
  <c r="AB53" i="132"/>
  <c r="AA53" i="132"/>
  <c r="Z53" i="132"/>
  <c r="Y53" i="132"/>
  <c r="X53" i="132"/>
  <c r="U53" i="132"/>
  <c r="T53" i="132"/>
  <c r="I53" i="132"/>
  <c r="H53" i="132"/>
  <c r="V53" i="132" s="1"/>
  <c r="G53" i="132"/>
  <c r="D53" i="132"/>
  <c r="C53" i="132"/>
  <c r="AB52" i="132"/>
  <c r="AA52" i="132"/>
  <c r="Z52" i="132"/>
  <c r="Y52" i="132"/>
  <c r="X52" i="132"/>
  <c r="U52" i="132"/>
  <c r="T52" i="132"/>
  <c r="I52" i="132"/>
  <c r="H52" i="132"/>
  <c r="V52" i="132" s="1"/>
  <c r="G52" i="132"/>
  <c r="D52" i="132"/>
  <c r="C52" i="132"/>
  <c r="U51" i="132"/>
  <c r="T51" i="132"/>
  <c r="I51" i="132"/>
  <c r="H51" i="132"/>
  <c r="V51" i="132" s="1"/>
  <c r="G51" i="132"/>
  <c r="D51" i="132"/>
  <c r="C51" i="132"/>
  <c r="U50" i="132"/>
  <c r="T50" i="132"/>
  <c r="I50" i="132"/>
  <c r="H50" i="132"/>
  <c r="V50" i="132" s="1"/>
  <c r="G50" i="132"/>
  <c r="D50" i="132"/>
  <c r="C50" i="132"/>
  <c r="U49" i="132"/>
  <c r="T49" i="132"/>
  <c r="I49" i="132"/>
  <c r="H49" i="132"/>
  <c r="V49" i="132" s="1"/>
  <c r="G49" i="132"/>
  <c r="D49" i="132"/>
  <c r="C49" i="132"/>
  <c r="U48" i="132"/>
  <c r="T48" i="132"/>
  <c r="I48" i="132"/>
  <c r="H48" i="132"/>
  <c r="V48" i="132" s="1"/>
  <c r="G48" i="132"/>
  <c r="D48" i="132"/>
  <c r="C48" i="132"/>
  <c r="U47" i="132"/>
  <c r="T47" i="132"/>
  <c r="I47" i="132"/>
  <c r="H47" i="132"/>
  <c r="V47" i="132" s="1"/>
  <c r="G47" i="132"/>
  <c r="D47" i="132"/>
  <c r="C47" i="132"/>
  <c r="U46" i="132"/>
  <c r="T46" i="132"/>
  <c r="I46" i="132"/>
  <c r="H46" i="132"/>
  <c r="V46" i="132" s="1"/>
  <c r="G46" i="132"/>
  <c r="D46" i="132"/>
  <c r="C46" i="132"/>
  <c r="U45" i="132"/>
  <c r="T45" i="132"/>
  <c r="I45" i="132"/>
  <c r="H45" i="132"/>
  <c r="V45" i="132" s="1"/>
  <c r="G45" i="132"/>
  <c r="D45" i="132"/>
  <c r="C45" i="132"/>
  <c r="U44" i="132"/>
  <c r="T44" i="132"/>
  <c r="I44" i="132"/>
  <c r="H44" i="132"/>
  <c r="V44" i="132" s="1"/>
  <c r="G44" i="132"/>
  <c r="D44" i="132"/>
  <c r="C44" i="132"/>
  <c r="U43" i="132"/>
  <c r="T43" i="132"/>
  <c r="I43" i="132"/>
  <c r="H43" i="132"/>
  <c r="V43" i="132" s="1"/>
  <c r="G43" i="132"/>
  <c r="D43" i="132"/>
  <c r="C43" i="132"/>
  <c r="U42" i="132"/>
  <c r="T42" i="132"/>
  <c r="I42" i="132"/>
  <c r="H42" i="132"/>
  <c r="V42" i="132" s="1"/>
  <c r="G42" i="132"/>
  <c r="D42" i="132"/>
  <c r="C42" i="132"/>
  <c r="U41" i="132"/>
  <c r="T41" i="132"/>
  <c r="I41" i="132"/>
  <c r="H41" i="132"/>
  <c r="V41" i="132" s="1"/>
  <c r="G41" i="132"/>
  <c r="D41" i="132"/>
  <c r="C41" i="132"/>
  <c r="U40" i="132"/>
  <c r="T40" i="132"/>
  <c r="I40" i="132"/>
  <c r="H40" i="132"/>
  <c r="V40" i="132" s="1"/>
  <c r="G40" i="132"/>
  <c r="D40" i="132"/>
  <c r="C40" i="132"/>
  <c r="U39" i="132"/>
  <c r="T39" i="132"/>
  <c r="I39" i="132"/>
  <c r="H39" i="132"/>
  <c r="V39" i="132" s="1"/>
  <c r="G39" i="132"/>
  <c r="D39" i="132"/>
  <c r="C39" i="132"/>
  <c r="U38" i="132"/>
  <c r="T38" i="132"/>
  <c r="I38" i="132"/>
  <c r="H38" i="132"/>
  <c r="V38" i="132" s="1"/>
  <c r="G38" i="132"/>
  <c r="D38" i="132"/>
  <c r="C38" i="132"/>
  <c r="U37" i="132"/>
  <c r="T37" i="132"/>
  <c r="I37" i="132"/>
  <c r="H37" i="132"/>
  <c r="V37" i="132" s="1"/>
  <c r="G37" i="132"/>
  <c r="D37" i="132"/>
  <c r="C37" i="132"/>
  <c r="U36" i="132"/>
  <c r="T36" i="132"/>
  <c r="I36" i="132"/>
  <c r="H36" i="132"/>
  <c r="V36" i="132" s="1"/>
  <c r="G36" i="132"/>
  <c r="D36" i="132"/>
  <c r="C36" i="132"/>
  <c r="U35" i="132"/>
  <c r="T35" i="132"/>
  <c r="I35" i="132"/>
  <c r="H35" i="132"/>
  <c r="V35" i="132" s="1"/>
  <c r="G35" i="132"/>
  <c r="D35" i="132"/>
  <c r="C35" i="132"/>
  <c r="U34" i="132"/>
  <c r="T34" i="132"/>
  <c r="I34" i="132"/>
  <c r="H34" i="132"/>
  <c r="V34" i="132" s="1"/>
  <c r="G34" i="132"/>
  <c r="D34" i="132"/>
  <c r="C34" i="132"/>
  <c r="U33" i="132"/>
  <c r="T33" i="132"/>
  <c r="I33" i="132"/>
  <c r="H33" i="132"/>
  <c r="V33" i="132" s="1"/>
  <c r="G33" i="132"/>
  <c r="D33" i="132"/>
  <c r="C33" i="132"/>
  <c r="U32" i="132"/>
  <c r="T32" i="132"/>
  <c r="I32" i="132"/>
  <c r="H32" i="132"/>
  <c r="V32" i="132" s="1"/>
  <c r="G32" i="132"/>
  <c r="D32" i="132"/>
  <c r="C32" i="132"/>
  <c r="U31" i="132"/>
  <c r="T31" i="132"/>
  <c r="I31" i="132"/>
  <c r="H31" i="132"/>
  <c r="V31" i="132" s="1"/>
  <c r="G31" i="132"/>
  <c r="D31" i="132"/>
  <c r="C31" i="132"/>
  <c r="U30" i="132"/>
  <c r="T30" i="132"/>
  <c r="I30" i="132"/>
  <c r="H30" i="132"/>
  <c r="V30" i="132" s="1"/>
  <c r="G30" i="132"/>
  <c r="D30" i="132"/>
  <c r="C30" i="132"/>
  <c r="U29" i="132"/>
  <c r="T29" i="132"/>
  <c r="I29" i="132"/>
  <c r="H29" i="132"/>
  <c r="V29" i="132" s="1"/>
  <c r="G29" i="132"/>
  <c r="D29" i="132"/>
  <c r="C29" i="132"/>
  <c r="U28" i="132"/>
  <c r="T28" i="132"/>
  <c r="I28" i="132"/>
  <c r="H28" i="132"/>
  <c r="V28" i="132" s="1"/>
  <c r="G28" i="132"/>
  <c r="D28" i="132"/>
  <c r="C28" i="132"/>
  <c r="U27" i="132"/>
  <c r="T27" i="132"/>
  <c r="I27" i="132"/>
  <c r="H27" i="132"/>
  <c r="V27" i="132" s="1"/>
  <c r="G27" i="132"/>
  <c r="D27" i="132"/>
  <c r="C27" i="132"/>
  <c r="U26" i="132"/>
  <c r="T26" i="132"/>
  <c r="I26" i="132"/>
  <c r="H26" i="132"/>
  <c r="V26" i="132" s="1"/>
  <c r="G26" i="132"/>
  <c r="D26" i="132"/>
  <c r="C26" i="132"/>
  <c r="U25" i="132"/>
  <c r="T25" i="132"/>
  <c r="I25" i="132"/>
  <c r="H25" i="132"/>
  <c r="V25" i="132" s="1"/>
  <c r="G25" i="132"/>
  <c r="D25" i="132"/>
  <c r="C25" i="132"/>
  <c r="U24" i="132"/>
  <c r="T24" i="132"/>
  <c r="I24" i="132"/>
  <c r="H24" i="132"/>
  <c r="V24" i="132" s="1"/>
  <c r="G24" i="132"/>
  <c r="D24" i="132"/>
  <c r="C24" i="132"/>
  <c r="U23" i="132"/>
  <c r="T23" i="132"/>
  <c r="I23" i="132"/>
  <c r="H23" i="132"/>
  <c r="V23" i="132" s="1"/>
  <c r="G23" i="132"/>
  <c r="D23" i="132"/>
  <c r="C23" i="132"/>
  <c r="AO22" i="132"/>
  <c r="AN22" i="132"/>
  <c r="AM22" i="132"/>
  <c r="AL22" i="132"/>
  <c r="AK22" i="132"/>
  <c r="AC22" i="132"/>
  <c r="AB22" i="132"/>
  <c r="AA22" i="132"/>
  <c r="Z22" i="132"/>
  <c r="Y22" i="132"/>
  <c r="U22" i="132"/>
  <c r="T22" i="132"/>
  <c r="R22" i="132"/>
  <c r="I22" i="132"/>
  <c r="H22" i="132"/>
  <c r="V22" i="132" s="1"/>
  <c r="G22" i="132"/>
  <c r="D22" i="132"/>
  <c r="C22" i="132"/>
  <c r="AO21" i="132"/>
  <c r="AN21" i="132"/>
  <c r="AM21" i="132"/>
  <c r="AL21" i="132"/>
  <c r="AK21" i="132"/>
  <c r="AC21" i="132"/>
  <c r="AB21" i="132"/>
  <c r="AA21" i="132"/>
  <c r="Z21" i="132"/>
  <c r="Y21" i="132"/>
  <c r="U21" i="132"/>
  <c r="T21" i="132"/>
  <c r="R21" i="132"/>
  <c r="I21" i="132"/>
  <c r="H21" i="132"/>
  <c r="V21" i="132" s="1"/>
  <c r="G21" i="132"/>
  <c r="D21" i="132"/>
  <c r="C21" i="132"/>
  <c r="AO20" i="132"/>
  <c r="AN20" i="132"/>
  <c r="AM20" i="132"/>
  <c r="AL20" i="132"/>
  <c r="AK20" i="132"/>
  <c r="AC20" i="132"/>
  <c r="AB20" i="132"/>
  <c r="AA20" i="132"/>
  <c r="Z20" i="132"/>
  <c r="Y20" i="132"/>
  <c r="U20" i="132"/>
  <c r="T20" i="132"/>
  <c r="R20" i="132"/>
  <c r="I20" i="132"/>
  <c r="H20" i="132"/>
  <c r="V20" i="132" s="1"/>
  <c r="G20" i="132"/>
  <c r="D20" i="132"/>
  <c r="C20" i="132"/>
  <c r="AO19" i="132"/>
  <c r="AN19" i="132"/>
  <c r="AM19" i="132"/>
  <c r="AL19" i="132"/>
  <c r="AK19" i="132"/>
  <c r="AC19" i="132"/>
  <c r="AB19" i="132"/>
  <c r="AA19" i="132"/>
  <c r="Z19" i="132"/>
  <c r="Y19" i="132"/>
  <c r="U19" i="132"/>
  <c r="T19" i="132"/>
  <c r="R19" i="132"/>
  <c r="I19" i="132"/>
  <c r="H19" i="132"/>
  <c r="V19" i="132" s="1"/>
  <c r="G19" i="132"/>
  <c r="D19" i="132"/>
  <c r="C19" i="132"/>
  <c r="AO18" i="132"/>
  <c r="AN18" i="132"/>
  <c r="AM18" i="132"/>
  <c r="AL18" i="132"/>
  <c r="AK18" i="132"/>
  <c r="AC18" i="132"/>
  <c r="AB18" i="132"/>
  <c r="AA18" i="132"/>
  <c r="Z18" i="132"/>
  <c r="Y18" i="132"/>
  <c r="U18" i="132"/>
  <c r="T18" i="132"/>
  <c r="R18" i="132"/>
  <c r="I18" i="132"/>
  <c r="H18" i="132"/>
  <c r="V18" i="132" s="1"/>
  <c r="G18" i="132"/>
  <c r="D18" i="132"/>
  <c r="C18" i="132"/>
  <c r="AO17" i="132"/>
  <c r="AN17" i="132"/>
  <c r="AM17" i="132"/>
  <c r="AL17" i="132"/>
  <c r="AK17" i="132"/>
  <c r="AC17" i="132"/>
  <c r="AB17" i="132"/>
  <c r="AA17" i="132"/>
  <c r="Z17" i="132"/>
  <c r="Y17" i="132"/>
  <c r="U17" i="132"/>
  <c r="T17" i="132"/>
  <c r="R17" i="132"/>
  <c r="I17" i="132"/>
  <c r="H17" i="132"/>
  <c r="V17" i="132" s="1"/>
  <c r="G17" i="132"/>
  <c r="D17" i="132"/>
  <c r="C17" i="132"/>
  <c r="AO16" i="132"/>
  <c r="AN16" i="132"/>
  <c r="AM16" i="132"/>
  <c r="AL16" i="132"/>
  <c r="AK16" i="132"/>
  <c r="AC16" i="132"/>
  <c r="AB16" i="132"/>
  <c r="AA16" i="132"/>
  <c r="Z16" i="132"/>
  <c r="Y16" i="132"/>
  <c r="U16" i="132"/>
  <c r="T16" i="132"/>
  <c r="R16" i="132"/>
  <c r="R11" i="132" s="1"/>
  <c r="I16" i="132"/>
  <c r="H16" i="132"/>
  <c r="V16" i="132" s="1"/>
  <c r="G16" i="132"/>
  <c r="D16" i="132"/>
  <c r="C16" i="132"/>
  <c r="AO15" i="132"/>
  <c r="AN15" i="132"/>
  <c r="AM15" i="132"/>
  <c r="AL15" i="132"/>
  <c r="AK15" i="132"/>
  <c r="AC15" i="132"/>
  <c r="AB15" i="132"/>
  <c r="AA15" i="132"/>
  <c r="Z15" i="132"/>
  <c r="Y15" i="132"/>
  <c r="U15" i="132"/>
  <c r="T15" i="132"/>
  <c r="R15" i="132"/>
  <c r="I15" i="132"/>
  <c r="H15" i="132"/>
  <c r="V15" i="132" s="1"/>
  <c r="G15" i="132"/>
  <c r="D15" i="132"/>
  <c r="C15" i="132"/>
  <c r="AO14" i="132"/>
  <c r="AN14" i="132"/>
  <c r="AM14" i="132"/>
  <c r="AL14" i="132"/>
  <c r="AK14" i="132"/>
  <c r="AC14" i="132"/>
  <c r="AB14" i="132"/>
  <c r="AA14" i="132"/>
  <c r="Z14" i="132"/>
  <c r="Y14" i="132"/>
  <c r="U14" i="132"/>
  <c r="T14" i="132"/>
  <c r="R14" i="132"/>
  <c r="I14" i="132"/>
  <c r="H14" i="132"/>
  <c r="V14" i="132" s="1"/>
  <c r="G14" i="132"/>
  <c r="D14" i="132"/>
  <c r="C14" i="132"/>
  <c r="AO13" i="132"/>
  <c r="AN13" i="132"/>
  <c r="AM13" i="132"/>
  <c r="AL13" i="132"/>
  <c r="AK13" i="132"/>
  <c r="AC13" i="132"/>
  <c r="AB13" i="132"/>
  <c r="AA13" i="132"/>
  <c r="Z13" i="132"/>
  <c r="Y13" i="132"/>
  <c r="U13" i="132"/>
  <c r="T13" i="132"/>
  <c r="R13" i="132"/>
  <c r="I13" i="132"/>
  <c r="H13" i="132"/>
  <c r="V13" i="132" s="1"/>
  <c r="G13" i="132"/>
  <c r="D13" i="132"/>
  <c r="C13" i="132"/>
  <c r="U12" i="132"/>
  <c r="T12" i="132"/>
  <c r="I12" i="132"/>
  <c r="H12" i="132"/>
  <c r="V12" i="132" s="1"/>
  <c r="G12" i="132"/>
  <c r="D12" i="132"/>
  <c r="C12" i="132"/>
  <c r="U11" i="132"/>
  <c r="T11" i="132"/>
  <c r="I11" i="132"/>
  <c r="H11" i="132"/>
  <c r="V11" i="132" s="1"/>
  <c r="G11" i="132"/>
  <c r="D11" i="132"/>
  <c r="C11" i="132"/>
  <c r="U10" i="132"/>
  <c r="T10" i="132"/>
  <c r="I10" i="132"/>
  <c r="H10" i="132"/>
  <c r="V10" i="132" s="1"/>
  <c r="G10" i="132"/>
  <c r="D10" i="132"/>
  <c r="C10" i="132"/>
  <c r="U9" i="132"/>
  <c r="T9" i="132"/>
  <c r="P9" i="132"/>
  <c r="AC9" i="132" s="1"/>
  <c r="O9" i="132"/>
  <c r="AB9" i="132" s="1"/>
  <c r="N9" i="132"/>
  <c r="AA9" i="132" s="1"/>
  <c r="M9" i="132"/>
  <c r="Z9" i="132" s="1"/>
  <c r="L9" i="132"/>
  <c r="Y9" i="132" s="1"/>
  <c r="I9" i="132"/>
  <c r="H9" i="132"/>
  <c r="V9" i="132" s="1"/>
  <c r="G9" i="132"/>
  <c r="D9" i="132"/>
  <c r="C9" i="132"/>
  <c r="AO8" i="132"/>
  <c r="AN8" i="132"/>
  <c r="AM8" i="132"/>
  <c r="AL8" i="132"/>
  <c r="AC8" i="132"/>
  <c r="AB8" i="132"/>
  <c r="AA8" i="132"/>
  <c r="Z8" i="132"/>
  <c r="Y8" i="132"/>
  <c r="U8" i="132"/>
  <c r="T8" i="132"/>
  <c r="I8" i="132"/>
  <c r="H8" i="132"/>
  <c r="V8" i="132" s="1"/>
  <c r="G8" i="132"/>
  <c r="D8" i="132"/>
  <c r="C8" i="132"/>
  <c r="AG7" i="132"/>
  <c r="AC7" i="132"/>
  <c r="AB7" i="132"/>
  <c r="AA7" i="132"/>
  <c r="Z7" i="132"/>
  <c r="Y7" i="132"/>
  <c r="U7" i="132"/>
  <c r="T7" i="132"/>
  <c r="I7" i="132"/>
  <c r="H7" i="132"/>
  <c r="V7" i="132" s="1"/>
  <c r="G7" i="132"/>
  <c r="D7" i="132"/>
  <c r="C7" i="132"/>
  <c r="U6" i="132"/>
  <c r="T6" i="132"/>
  <c r="I6" i="132"/>
  <c r="H6" i="132"/>
  <c r="V6" i="132" s="1"/>
  <c r="G6" i="132"/>
  <c r="D6" i="132"/>
  <c r="C6" i="132"/>
  <c r="AK8" i="132" s="1"/>
  <c r="AG3" i="132"/>
  <c r="AG2" i="132"/>
  <c r="U105" i="131"/>
  <c r="T105" i="131"/>
  <c r="I105" i="131"/>
  <c r="H105" i="131"/>
  <c r="V105" i="131" s="1"/>
  <c r="G105" i="131"/>
  <c r="D105" i="131"/>
  <c r="C105" i="131"/>
  <c r="U104" i="131"/>
  <c r="T104" i="131"/>
  <c r="I104" i="131"/>
  <c r="H104" i="131"/>
  <c r="V104" i="131" s="1"/>
  <c r="G104" i="131"/>
  <c r="D104" i="131"/>
  <c r="C104" i="131"/>
  <c r="U103" i="131"/>
  <c r="T103" i="131"/>
  <c r="I103" i="131"/>
  <c r="H103" i="131"/>
  <c r="V103" i="131" s="1"/>
  <c r="G103" i="131"/>
  <c r="D103" i="131"/>
  <c r="C103" i="131"/>
  <c r="U102" i="131"/>
  <c r="T102" i="131"/>
  <c r="I102" i="131"/>
  <c r="H102" i="131"/>
  <c r="V102" i="131" s="1"/>
  <c r="G102" i="131"/>
  <c r="D102" i="131"/>
  <c r="C102" i="131"/>
  <c r="U101" i="131"/>
  <c r="T101" i="131"/>
  <c r="I101" i="131"/>
  <c r="H101" i="131"/>
  <c r="V101" i="131" s="1"/>
  <c r="G101" i="131"/>
  <c r="D101" i="131"/>
  <c r="C101" i="131"/>
  <c r="U100" i="131"/>
  <c r="T100" i="131"/>
  <c r="I100" i="131"/>
  <c r="H100" i="131"/>
  <c r="V100" i="131" s="1"/>
  <c r="G100" i="131"/>
  <c r="D100" i="131"/>
  <c r="C100" i="131"/>
  <c r="U99" i="131"/>
  <c r="T99" i="131"/>
  <c r="I99" i="131"/>
  <c r="H99" i="131"/>
  <c r="V99" i="131" s="1"/>
  <c r="G99" i="131"/>
  <c r="D99" i="131"/>
  <c r="C99" i="131"/>
  <c r="U98" i="131"/>
  <c r="T98" i="131"/>
  <c r="I98" i="131"/>
  <c r="H98" i="131"/>
  <c r="V98" i="131" s="1"/>
  <c r="G98" i="131"/>
  <c r="D98" i="131"/>
  <c r="C98" i="131"/>
  <c r="U97" i="131"/>
  <c r="T97" i="131"/>
  <c r="I97" i="131"/>
  <c r="H97" i="131"/>
  <c r="V97" i="131" s="1"/>
  <c r="G97" i="131"/>
  <c r="D97" i="131"/>
  <c r="C97" i="131"/>
  <c r="U96" i="131"/>
  <c r="T96" i="131"/>
  <c r="I96" i="131"/>
  <c r="H96" i="131"/>
  <c r="V96" i="131" s="1"/>
  <c r="G96" i="131"/>
  <c r="D96" i="131"/>
  <c r="C96" i="131"/>
  <c r="U95" i="131"/>
  <c r="T95" i="131"/>
  <c r="I95" i="131"/>
  <c r="H95" i="131"/>
  <c r="V95" i="131" s="1"/>
  <c r="G95" i="131"/>
  <c r="D95" i="131"/>
  <c r="C95" i="131"/>
  <c r="U94" i="131"/>
  <c r="T94" i="131"/>
  <c r="I94" i="131"/>
  <c r="H94" i="131"/>
  <c r="V94" i="131" s="1"/>
  <c r="G94" i="131"/>
  <c r="D94" i="131"/>
  <c r="C94" i="131"/>
  <c r="U93" i="131"/>
  <c r="T93" i="131"/>
  <c r="I93" i="131"/>
  <c r="H93" i="131"/>
  <c r="V93" i="131" s="1"/>
  <c r="G93" i="131"/>
  <c r="D93" i="131"/>
  <c r="C93" i="131"/>
  <c r="U92" i="131"/>
  <c r="T92" i="131"/>
  <c r="I92" i="131"/>
  <c r="H92" i="131"/>
  <c r="V92" i="131" s="1"/>
  <c r="G92" i="131"/>
  <c r="D92" i="131"/>
  <c r="C92" i="131"/>
  <c r="U91" i="131"/>
  <c r="T91" i="131"/>
  <c r="I91" i="131"/>
  <c r="H91" i="131"/>
  <c r="V91" i="131" s="1"/>
  <c r="G91" i="131"/>
  <c r="D91" i="131"/>
  <c r="C91" i="131"/>
  <c r="U90" i="131"/>
  <c r="T90" i="131"/>
  <c r="I90" i="131"/>
  <c r="H90" i="131"/>
  <c r="V90" i="131" s="1"/>
  <c r="G90" i="131"/>
  <c r="D90" i="131"/>
  <c r="C90" i="131"/>
  <c r="U89" i="131"/>
  <c r="T89" i="131"/>
  <c r="I89" i="131"/>
  <c r="H89" i="131"/>
  <c r="V89" i="131" s="1"/>
  <c r="G89" i="131"/>
  <c r="D89" i="131"/>
  <c r="C89" i="131"/>
  <c r="U88" i="131"/>
  <c r="T88" i="131"/>
  <c r="I88" i="131"/>
  <c r="H88" i="131"/>
  <c r="V88" i="131" s="1"/>
  <c r="G88" i="131"/>
  <c r="D88" i="131"/>
  <c r="C88" i="131"/>
  <c r="U87" i="131"/>
  <c r="T87" i="131"/>
  <c r="I87" i="131"/>
  <c r="H87" i="131"/>
  <c r="V87" i="131" s="1"/>
  <c r="G87" i="131"/>
  <c r="D87" i="131"/>
  <c r="C87" i="131"/>
  <c r="U86" i="131"/>
  <c r="T86" i="131"/>
  <c r="I86" i="131"/>
  <c r="H86" i="131"/>
  <c r="V86" i="131" s="1"/>
  <c r="G86" i="131"/>
  <c r="D86" i="131"/>
  <c r="C86" i="131"/>
  <c r="U85" i="131"/>
  <c r="T85" i="131"/>
  <c r="I85" i="131"/>
  <c r="H85" i="131"/>
  <c r="V85" i="131" s="1"/>
  <c r="G85" i="131"/>
  <c r="D85" i="131"/>
  <c r="C85" i="131"/>
  <c r="U84" i="131"/>
  <c r="T84" i="131"/>
  <c r="I84" i="131"/>
  <c r="H84" i="131"/>
  <c r="V84" i="131" s="1"/>
  <c r="G84" i="131"/>
  <c r="D84" i="131"/>
  <c r="C84" i="131"/>
  <c r="U83" i="131"/>
  <c r="T83" i="131"/>
  <c r="I83" i="131"/>
  <c r="H83" i="131"/>
  <c r="V83" i="131" s="1"/>
  <c r="G83" i="131"/>
  <c r="D83" i="131"/>
  <c r="C83" i="131"/>
  <c r="U82" i="131"/>
  <c r="T82" i="131"/>
  <c r="I82" i="131"/>
  <c r="H82" i="131"/>
  <c r="V82" i="131" s="1"/>
  <c r="G82" i="131"/>
  <c r="D82" i="131"/>
  <c r="C82" i="131"/>
  <c r="U81" i="131"/>
  <c r="T81" i="131"/>
  <c r="I81" i="131"/>
  <c r="H81" i="131"/>
  <c r="V81" i="131" s="1"/>
  <c r="G81" i="131"/>
  <c r="D81" i="131"/>
  <c r="C81" i="131"/>
  <c r="U80" i="131"/>
  <c r="T80" i="131"/>
  <c r="I80" i="131"/>
  <c r="H80" i="131"/>
  <c r="V80" i="131" s="1"/>
  <c r="G80" i="131"/>
  <c r="D80" i="131"/>
  <c r="C80" i="131"/>
  <c r="U79" i="131"/>
  <c r="T79" i="131"/>
  <c r="I79" i="131"/>
  <c r="H79" i="131"/>
  <c r="V79" i="131" s="1"/>
  <c r="G79" i="131"/>
  <c r="D79" i="131"/>
  <c r="C79" i="131"/>
  <c r="U78" i="131"/>
  <c r="T78" i="131"/>
  <c r="I78" i="131"/>
  <c r="H78" i="131"/>
  <c r="V78" i="131" s="1"/>
  <c r="G78" i="131"/>
  <c r="D78" i="131"/>
  <c r="C78" i="131"/>
  <c r="U77" i="131"/>
  <c r="T77" i="131"/>
  <c r="I77" i="131"/>
  <c r="H77" i="131"/>
  <c r="V77" i="131" s="1"/>
  <c r="G77" i="131"/>
  <c r="D77" i="131"/>
  <c r="C77" i="131"/>
  <c r="U76" i="131"/>
  <c r="T76" i="131"/>
  <c r="I76" i="131"/>
  <c r="H76" i="131"/>
  <c r="V76" i="131" s="1"/>
  <c r="G76" i="131"/>
  <c r="D76" i="131"/>
  <c r="C76" i="131"/>
  <c r="U75" i="131"/>
  <c r="T75" i="131"/>
  <c r="I75" i="131"/>
  <c r="H75" i="131"/>
  <c r="V75" i="131" s="1"/>
  <c r="G75" i="131"/>
  <c r="D75" i="131"/>
  <c r="C75" i="131"/>
  <c r="AB74" i="131"/>
  <c r="AA74" i="131"/>
  <c r="Z74" i="131"/>
  <c r="Y74" i="131"/>
  <c r="X74" i="131"/>
  <c r="U74" i="131"/>
  <c r="T74" i="131"/>
  <c r="I74" i="131"/>
  <c r="H74" i="131"/>
  <c r="V74" i="131" s="1"/>
  <c r="G74" i="131"/>
  <c r="D74" i="131"/>
  <c r="C74" i="131"/>
  <c r="AB73" i="131"/>
  <c r="AA73" i="131"/>
  <c r="Z73" i="131"/>
  <c r="Y73" i="131"/>
  <c r="X73" i="131"/>
  <c r="U73" i="131"/>
  <c r="T73" i="131"/>
  <c r="I73" i="131"/>
  <c r="H73" i="131"/>
  <c r="V73" i="131" s="1"/>
  <c r="G73" i="131"/>
  <c r="D73" i="131"/>
  <c r="C73" i="131"/>
  <c r="AB72" i="131"/>
  <c r="AA72" i="131"/>
  <c r="Z72" i="131"/>
  <c r="Y72" i="131"/>
  <c r="X72" i="131"/>
  <c r="U72" i="131"/>
  <c r="T72" i="131"/>
  <c r="I72" i="131"/>
  <c r="H72" i="131"/>
  <c r="V72" i="131" s="1"/>
  <c r="G72" i="131"/>
  <c r="D72" i="131"/>
  <c r="C72" i="131"/>
  <c r="AB71" i="131"/>
  <c r="AA71" i="131"/>
  <c r="Z71" i="131"/>
  <c r="Y71" i="131"/>
  <c r="X71" i="131"/>
  <c r="U71" i="131"/>
  <c r="T71" i="131"/>
  <c r="I71" i="131"/>
  <c r="H71" i="131"/>
  <c r="V71" i="131" s="1"/>
  <c r="G71" i="131"/>
  <c r="D71" i="131"/>
  <c r="C71" i="131"/>
  <c r="AB70" i="131"/>
  <c r="AA70" i="131"/>
  <c r="Z70" i="131"/>
  <c r="Y70" i="131"/>
  <c r="X70" i="131"/>
  <c r="U70" i="131"/>
  <c r="T70" i="131"/>
  <c r="I70" i="131"/>
  <c r="H70" i="131"/>
  <c r="V70" i="131" s="1"/>
  <c r="G70" i="131"/>
  <c r="D70" i="131"/>
  <c r="C70" i="131"/>
  <c r="AB69" i="131"/>
  <c r="AA69" i="131"/>
  <c r="Z69" i="131"/>
  <c r="Y69" i="131"/>
  <c r="X69" i="131"/>
  <c r="U69" i="131"/>
  <c r="T69" i="131"/>
  <c r="I69" i="131"/>
  <c r="H69" i="131"/>
  <c r="V69" i="131" s="1"/>
  <c r="G69" i="131"/>
  <c r="D69" i="131"/>
  <c r="C69" i="131"/>
  <c r="AB68" i="131"/>
  <c r="AA68" i="131"/>
  <c r="Z68" i="131"/>
  <c r="Y68" i="131"/>
  <c r="X68" i="131"/>
  <c r="U68" i="131"/>
  <c r="T68" i="131"/>
  <c r="I68" i="131"/>
  <c r="H68" i="131"/>
  <c r="V68" i="131" s="1"/>
  <c r="G68" i="131"/>
  <c r="D68" i="131"/>
  <c r="C68" i="131"/>
  <c r="AB67" i="131"/>
  <c r="AA67" i="131"/>
  <c r="Z67" i="131"/>
  <c r="Y67" i="131"/>
  <c r="X67" i="131"/>
  <c r="U67" i="131"/>
  <c r="T67" i="131"/>
  <c r="I67" i="131"/>
  <c r="H67" i="131"/>
  <c r="V67" i="131" s="1"/>
  <c r="G67" i="131"/>
  <c r="D67" i="131"/>
  <c r="C67" i="131"/>
  <c r="AB66" i="131"/>
  <c r="AA66" i="131"/>
  <c r="Z66" i="131"/>
  <c r="Y66" i="131"/>
  <c r="X66" i="131"/>
  <c r="U66" i="131"/>
  <c r="T66" i="131"/>
  <c r="I66" i="131"/>
  <c r="H66" i="131"/>
  <c r="V66" i="131" s="1"/>
  <c r="G66" i="131"/>
  <c r="D66" i="131"/>
  <c r="C66" i="131"/>
  <c r="AB65" i="131"/>
  <c r="AA65" i="131"/>
  <c r="Z65" i="131"/>
  <c r="Y65" i="131"/>
  <c r="X65" i="131"/>
  <c r="U65" i="131"/>
  <c r="T65" i="131"/>
  <c r="I65" i="131"/>
  <c r="H65" i="131"/>
  <c r="V65" i="131" s="1"/>
  <c r="G65" i="131"/>
  <c r="D65" i="131"/>
  <c r="C65" i="131"/>
  <c r="U64" i="131"/>
  <c r="T64" i="131"/>
  <c r="I64" i="131"/>
  <c r="H64" i="131"/>
  <c r="V64" i="131" s="1"/>
  <c r="G64" i="131"/>
  <c r="D64" i="131"/>
  <c r="C64" i="131"/>
  <c r="U63" i="131"/>
  <c r="T63" i="131"/>
  <c r="I63" i="131"/>
  <c r="H63" i="131"/>
  <c r="V63" i="131" s="1"/>
  <c r="G63" i="131"/>
  <c r="D63" i="131"/>
  <c r="C63" i="131"/>
  <c r="U62" i="131"/>
  <c r="T62" i="131"/>
  <c r="I62" i="131"/>
  <c r="H62" i="131"/>
  <c r="V62" i="131" s="1"/>
  <c r="G62" i="131"/>
  <c r="D62" i="131"/>
  <c r="C62" i="131"/>
  <c r="AB61" i="131"/>
  <c r="AA61" i="131"/>
  <c r="Z61" i="131"/>
  <c r="Y61" i="131"/>
  <c r="X61" i="131"/>
  <c r="U61" i="131"/>
  <c r="T61" i="131"/>
  <c r="I61" i="131"/>
  <c r="H61" i="131"/>
  <c r="V61" i="131" s="1"/>
  <c r="G61" i="131"/>
  <c r="D61" i="131"/>
  <c r="C61" i="131"/>
  <c r="AB60" i="131"/>
  <c r="AA60" i="131"/>
  <c r="Z60" i="131"/>
  <c r="Y60" i="131"/>
  <c r="X60" i="131"/>
  <c r="U60" i="131"/>
  <c r="T60" i="131"/>
  <c r="I60" i="131"/>
  <c r="H60" i="131"/>
  <c r="V60" i="131" s="1"/>
  <c r="G60" i="131"/>
  <c r="D60" i="131"/>
  <c r="C60" i="131"/>
  <c r="AB59" i="131"/>
  <c r="AA59" i="131"/>
  <c r="Z59" i="131"/>
  <c r="Y59" i="131"/>
  <c r="X59" i="131"/>
  <c r="U59" i="131"/>
  <c r="T59" i="131"/>
  <c r="I59" i="131"/>
  <c r="H59" i="131"/>
  <c r="V59" i="131" s="1"/>
  <c r="G59" i="131"/>
  <c r="D59" i="131"/>
  <c r="C59" i="131"/>
  <c r="AB58" i="131"/>
  <c r="AA58" i="131"/>
  <c r="Z58" i="131"/>
  <c r="Y58" i="131"/>
  <c r="X58" i="131"/>
  <c r="U58" i="131"/>
  <c r="T58" i="131"/>
  <c r="I58" i="131"/>
  <c r="H58" i="131"/>
  <c r="V58" i="131" s="1"/>
  <c r="G58" i="131"/>
  <c r="D58" i="131"/>
  <c r="C58" i="131"/>
  <c r="AB57" i="131"/>
  <c r="AA57" i="131"/>
  <c r="Z57" i="131"/>
  <c r="Y57" i="131"/>
  <c r="X57" i="131"/>
  <c r="U57" i="131"/>
  <c r="T57" i="131"/>
  <c r="I57" i="131"/>
  <c r="H57" i="131"/>
  <c r="V57" i="131" s="1"/>
  <c r="G57" i="131"/>
  <c r="D57" i="131"/>
  <c r="C57" i="131"/>
  <c r="AB56" i="131"/>
  <c r="AA56" i="131"/>
  <c r="Z56" i="131"/>
  <c r="Y56" i="131"/>
  <c r="X56" i="131"/>
  <c r="U56" i="131"/>
  <c r="T56" i="131"/>
  <c r="I56" i="131"/>
  <c r="H56" i="131"/>
  <c r="V56" i="131" s="1"/>
  <c r="G56" i="131"/>
  <c r="D56" i="131"/>
  <c r="C56" i="131"/>
  <c r="AB55" i="131"/>
  <c r="AA55" i="131"/>
  <c r="Z55" i="131"/>
  <c r="Y55" i="131"/>
  <c r="X55" i="131"/>
  <c r="U55" i="131"/>
  <c r="T55" i="131"/>
  <c r="I55" i="131"/>
  <c r="H55" i="131"/>
  <c r="V55" i="131" s="1"/>
  <c r="G55" i="131"/>
  <c r="D55" i="131"/>
  <c r="C55" i="131"/>
  <c r="AB54" i="131"/>
  <c r="AA54" i="131"/>
  <c r="Z54" i="131"/>
  <c r="Y54" i="131"/>
  <c r="X54" i="131"/>
  <c r="U54" i="131"/>
  <c r="T54" i="131"/>
  <c r="I54" i="131"/>
  <c r="H54" i="131"/>
  <c r="V54" i="131" s="1"/>
  <c r="G54" i="131"/>
  <c r="D54" i="131"/>
  <c r="C54" i="131"/>
  <c r="AB53" i="131"/>
  <c r="AA53" i="131"/>
  <c r="Z53" i="131"/>
  <c r="Y53" i="131"/>
  <c r="X53" i="131"/>
  <c r="U53" i="131"/>
  <c r="T53" i="131"/>
  <c r="I53" i="131"/>
  <c r="H53" i="131"/>
  <c r="V53" i="131" s="1"/>
  <c r="G53" i="131"/>
  <c r="D53" i="131"/>
  <c r="C53" i="131"/>
  <c r="AB52" i="131"/>
  <c r="AA52" i="131"/>
  <c r="Z52" i="131"/>
  <c r="Y52" i="131"/>
  <c r="X52" i="131"/>
  <c r="U52" i="131"/>
  <c r="T52" i="131"/>
  <c r="I52" i="131"/>
  <c r="H52" i="131"/>
  <c r="V52" i="131" s="1"/>
  <c r="G52" i="131"/>
  <c r="D52" i="131"/>
  <c r="C52" i="131"/>
  <c r="U51" i="131"/>
  <c r="T51" i="131"/>
  <c r="I51" i="131"/>
  <c r="H51" i="131"/>
  <c r="V51" i="131" s="1"/>
  <c r="G51" i="131"/>
  <c r="D51" i="131"/>
  <c r="C51" i="131"/>
  <c r="U50" i="131"/>
  <c r="T50" i="131"/>
  <c r="I50" i="131"/>
  <c r="H50" i="131"/>
  <c r="V50" i="131" s="1"/>
  <c r="G50" i="131"/>
  <c r="D50" i="131"/>
  <c r="C50" i="131"/>
  <c r="U49" i="131"/>
  <c r="T49" i="131"/>
  <c r="I49" i="131"/>
  <c r="H49" i="131"/>
  <c r="V49" i="131" s="1"/>
  <c r="G49" i="131"/>
  <c r="D49" i="131"/>
  <c r="C49" i="131"/>
  <c r="U48" i="131"/>
  <c r="T48" i="131"/>
  <c r="I48" i="131"/>
  <c r="H48" i="131"/>
  <c r="V48" i="131" s="1"/>
  <c r="G48" i="131"/>
  <c r="D48" i="131"/>
  <c r="C48" i="131"/>
  <c r="U47" i="131"/>
  <c r="T47" i="131"/>
  <c r="I47" i="131"/>
  <c r="H47" i="131"/>
  <c r="V47" i="131" s="1"/>
  <c r="G47" i="131"/>
  <c r="D47" i="131"/>
  <c r="C47" i="131"/>
  <c r="U46" i="131"/>
  <c r="T46" i="131"/>
  <c r="I46" i="131"/>
  <c r="H46" i="131"/>
  <c r="V46" i="131" s="1"/>
  <c r="G46" i="131"/>
  <c r="D46" i="131"/>
  <c r="C46" i="131"/>
  <c r="U45" i="131"/>
  <c r="T45" i="131"/>
  <c r="I45" i="131"/>
  <c r="H45" i="131"/>
  <c r="V45" i="131" s="1"/>
  <c r="G45" i="131"/>
  <c r="D45" i="131"/>
  <c r="C45" i="131"/>
  <c r="U44" i="131"/>
  <c r="T44" i="131"/>
  <c r="I44" i="131"/>
  <c r="H44" i="131"/>
  <c r="V44" i="131" s="1"/>
  <c r="G44" i="131"/>
  <c r="D44" i="131"/>
  <c r="C44" i="131"/>
  <c r="U43" i="131"/>
  <c r="T43" i="131"/>
  <c r="I43" i="131"/>
  <c r="H43" i="131"/>
  <c r="V43" i="131" s="1"/>
  <c r="G43" i="131"/>
  <c r="D43" i="131"/>
  <c r="C43" i="131"/>
  <c r="U42" i="131"/>
  <c r="T42" i="131"/>
  <c r="I42" i="131"/>
  <c r="H42" i="131"/>
  <c r="V42" i="131" s="1"/>
  <c r="G42" i="131"/>
  <c r="D42" i="131"/>
  <c r="C42" i="131"/>
  <c r="U41" i="131"/>
  <c r="T41" i="131"/>
  <c r="I41" i="131"/>
  <c r="H41" i="131"/>
  <c r="V41" i="131" s="1"/>
  <c r="G41" i="131"/>
  <c r="D41" i="131"/>
  <c r="C41" i="131"/>
  <c r="U40" i="131"/>
  <c r="T40" i="131"/>
  <c r="I40" i="131"/>
  <c r="H40" i="131"/>
  <c r="V40" i="131" s="1"/>
  <c r="G40" i="131"/>
  <c r="D40" i="131"/>
  <c r="C40" i="131"/>
  <c r="U39" i="131"/>
  <c r="T39" i="131"/>
  <c r="I39" i="131"/>
  <c r="H39" i="131"/>
  <c r="V39" i="131" s="1"/>
  <c r="G39" i="131"/>
  <c r="D39" i="131"/>
  <c r="C39" i="131"/>
  <c r="U38" i="131"/>
  <c r="T38" i="131"/>
  <c r="I38" i="131"/>
  <c r="H38" i="131"/>
  <c r="V38" i="131" s="1"/>
  <c r="G38" i="131"/>
  <c r="D38" i="131"/>
  <c r="C38" i="131"/>
  <c r="U37" i="131"/>
  <c r="T37" i="131"/>
  <c r="I37" i="131"/>
  <c r="H37" i="131"/>
  <c r="V37" i="131" s="1"/>
  <c r="G37" i="131"/>
  <c r="D37" i="131"/>
  <c r="C37" i="131"/>
  <c r="U36" i="131"/>
  <c r="T36" i="131"/>
  <c r="I36" i="131"/>
  <c r="H36" i="131"/>
  <c r="V36" i="131" s="1"/>
  <c r="G36" i="131"/>
  <c r="D36" i="131"/>
  <c r="C36" i="131"/>
  <c r="U35" i="131"/>
  <c r="T35" i="131"/>
  <c r="I35" i="131"/>
  <c r="H35" i="131"/>
  <c r="V35" i="131" s="1"/>
  <c r="G35" i="131"/>
  <c r="D35" i="131"/>
  <c r="C35" i="131"/>
  <c r="U34" i="131"/>
  <c r="T34" i="131"/>
  <c r="I34" i="131"/>
  <c r="H34" i="131"/>
  <c r="V34" i="131" s="1"/>
  <c r="G34" i="131"/>
  <c r="D34" i="131"/>
  <c r="C34" i="131"/>
  <c r="U33" i="131"/>
  <c r="T33" i="131"/>
  <c r="I33" i="131"/>
  <c r="H33" i="131"/>
  <c r="V33" i="131" s="1"/>
  <c r="G33" i="131"/>
  <c r="D33" i="131"/>
  <c r="C33" i="131"/>
  <c r="U32" i="131"/>
  <c r="T32" i="131"/>
  <c r="I32" i="131"/>
  <c r="H32" i="131"/>
  <c r="V32" i="131" s="1"/>
  <c r="G32" i="131"/>
  <c r="D32" i="131"/>
  <c r="C32" i="131"/>
  <c r="U31" i="131"/>
  <c r="T31" i="131"/>
  <c r="I31" i="131"/>
  <c r="H31" i="131"/>
  <c r="V31" i="131" s="1"/>
  <c r="G31" i="131"/>
  <c r="D31" i="131"/>
  <c r="C31" i="131"/>
  <c r="U30" i="131"/>
  <c r="T30" i="131"/>
  <c r="I30" i="131"/>
  <c r="H30" i="131"/>
  <c r="V30" i="131" s="1"/>
  <c r="G30" i="131"/>
  <c r="D30" i="131"/>
  <c r="C30" i="131"/>
  <c r="U29" i="131"/>
  <c r="T29" i="131"/>
  <c r="I29" i="131"/>
  <c r="H29" i="131"/>
  <c r="V29" i="131" s="1"/>
  <c r="G29" i="131"/>
  <c r="D29" i="131"/>
  <c r="C29" i="131"/>
  <c r="U28" i="131"/>
  <c r="T28" i="131"/>
  <c r="I28" i="131"/>
  <c r="H28" i="131"/>
  <c r="V28" i="131" s="1"/>
  <c r="G28" i="131"/>
  <c r="D28" i="131"/>
  <c r="C28" i="131"/>
  <c r="U27" i="131"/>
  <c r="T27" i="131"/>
  <c r="I27" i="131"/>
  <c r="H27" i="131"/>
  <c r="V27" i="131" s="1"/>
  <c r="G27" i="131"/>
  <c r="D27" i="131"/>
  <c r="C27" i="131"/>
  <c r="U26" i="131"/>
  <c r="T26" i="131"/>
  <c r="I26" i="131"/>
  <c r="H26" i="131"/>
  <c r="V26" i="131" s="1"/>
  <c r="G26" i="131"/>
  <c r="D26" i="131"/>
  <c r="C26" i="131"/>
  <c r="U25" i="131"/>
  <c r="T25" i="131"/>
  <c r="I25" i="131"/>
  <c r="H25" i="131"/>
  <c r="V25" i="131" s="1"/>
  <c r="G25" i="131"/>
  <c r="D25" i="131"/>
  <c r="C25" i="131"/>
  <c r="U24" i="131"/>
  <c r="T24" i="131"/>
  <c r="I24" i="131"/>
  <c r="H24" i="131"/>
  <c r="V24" i="131" s="1"/>
  <c r="G24" i="131"/>
  <c r="D24" i="131"/>
  <c r="C24" i="131"/>
  <c r="U23" i="131"/>
  <c r="T23" i="131"/>
  <c r="I23" i="131"/>
  <c r="H23" i="131"/>
  <c r="V23" i="131" s="1"/>
  <c r="G23" i="131"/>
  <c r="D23" i="131"/>
  <c r="C23" i="131"/>
  <c r="AO22" i="131"/>
  <c r="AN22" i="131"/>
  <c r="AM22" i="131"/>
  <c r="AL22" i="131"/>
  <c r="AK22" i="131"/>
  <c r="AC22" i="131"/>
  <c r="AB22" i="131"/>
  <c r="AA22" i="131"/>
  <c r="Z22" i="131"/>
  <c r="Y22" i="131"/>
  <c r="U22" i="131"/>
  <c r="T22" i="131"/>
  <c r="R22" i="131"/>
  <c r="I22" i="131"/>
  <c r="H22" i="131"/>
  <c r="V22" i="131" s="1"/>
  <c r="G22" i="131"/>
  <c r="D22" i="131"/>
  <c r="C22" i="131"/>
  <c r="AO21" i="131"/>
  <c r="AN21" i="131"/>
  <c r="AM21" i="131"/>
  <c r="AL21" i="131"/>
  <c r="AK21" i="131"/>
  <c r="AC21" i="131"/>
  <c r="AB21" i="131"/>
  <c r="AA21" i="131"/>
  <c r="Z21" i="131"/>
  <c r="Y21" i="131"/>
  <c r="U21" i="131"/>
  <c r="T21" i="131"/>
  <c r="R21" i="131"/>
  <c r="I21" i="131"/>
  <c r="H21" i="131"/>
  <c r="V21" i="131" s="1"/>
  <c r="G21" i="131"/>
  <c r="D21" i="131"/>
  <c r="C21" i="131"/>
  <c r="AO20" i="131"/>
  <c r="AN20" i="131"/>
  <c r="AM20" i="131"/>
  <c r="AL20" i="131"/>
  <c r="AK20" i="131"/>
  <c r="AC20" i="131"/>
  <c r="AB20" i="131"/>
  <c r="AA20" i="131"/>
  <c r="Z20" i="131"/>
  <c r="Y20" i="131"/>
  <c r="U20" i="131"/>
  <c r="T20" i="131"/>
  <c r="R20" i="131"/>
  <c r="I20" i="131"/>
  <c r="H20" i="131"/>
  <c r="V20" i="131" s="1"/>
  <c r="G20" i="131"/>
  <c r="D20" i="131"/>
  <c r="C20" i="131"/>
  <c r="AO19" i="131"/>
  <c r="AN19" i="131"/>
  <c r="AM19" i="131"/>
  <c r="AL19" i="131"/>
  <c r="AK19" i="131"/>
  <c r="AC19" i="131"/>
  <c r="AB19" i="131"/>
  <c r="AA19" i="131"/>
  <c r="Z19" i="131"/>
  <c r="Y19" i="131"/>
  <c r="U19" i="131"/>
  <c r="T19" i="131"/>
  <c r="R19" i="131"/>
  <c r="I19" i="131"/>
  <c r="H19" i="131"/>
  <c r="V19" i="131" s="1"/>
  <c r="G19" i="131"/>
  <c r="D19" i="131"/>
  <c r="C19" i="131"/>
  <c r="AO18" i="131"/>
  <c r="AN18" i="131"/>
  <c r="AM18" i="131"/>
  <c r="AL18" i="131"/>
  <c r="AK18" i="131"/>
  <c r="AC18" i="131"/>
  <c r="AB18" i="131"/>
  <c r="AA18" i="131"/>
  <c r="Z18" i="131"/>
  <c r="Y18" i="131"/>
  <c r="U18" i="131"/>
  <c r="T18" i="131"/>
  <c r="R18" i="131"/>
  <c r="I18" i="131"/>
  <c r="H18" i="131"/>
  <c r="V18" i="131" s="1"/>
  <c r="G18" i="131"/>
  <c r="D18" i="131"/>
  <c r="C18" i="131"/>
  <c r="AO17" i="131"/>
  <c r="AN17" i="131"/>
  <c r="AM17" i="131"/>
  <c r="AL17" i="131"/>
  <c r="AK17" i="131"/>
  <c r="AC17" i="131"/>
  <c r="AB17" i="131"/>
  <c r="AA17" i="131"/>
  <c r="Z17" i="131"/>
  <c r="Y17" i="131"/>
  <c r="U17" i="131"/>
  <c r="T17" i="131"/>
  <c r="R17" i="131"/>
  <c r="I17" i="131"/>
  <c r="H17" i="131"/>
  <c r="V17" i="131" s="1"/>
  <c r="G17" i="131"/>
  <c r="D17" i="131"/>
  <c r="C17" i="131"/>
  <c r="AO16" i="131"/>
  <c r="AN16" i="131"/>
  <c r="AM16" i="131"/>
  <c r="AL16" i="131"/>
  <c r="AK16" i="131"/>
  <c r="AC16" i="131"/>
  <c r="AB16" i="131"/>
  <c r="AA16" i="131"/>
  <c r="Z16" i="131"/>
  <c r="Y16" i="131"/>
  <c r="U16" i="131"/>
  <c r="T16" i="131"/>
  <c r="R16" i="131"/>
  <c r="I16" i="131"/>
  <c r="H16" i="131"/>
  <c r="V16" i="131" s="1"/>
  <c r="G16" i="131"/>
  <c r="D16" i="131"/>
  <c r="C16" i="131"/>
  <c r="AO15" i="131"/>
  <c r="AN15" i="131"/>
  <c r="AM15" i="131"/>
  <c r="AL15" i="131"/>
  <c r="AK15" i="131"/>
  <c r="AC15" i="131"/>
  <c r="AB15" i="131"/>
  <c r="AA15" i="131"/>
  <c r="Z15" i="131"/>
  <c r="Y15" i="131"/>
  <c r="U15" i="131"/>
  <c r="T15" i="131"/>
  <c r="R15" i="131"/>
  <c r="I15" i="131"/>
  <c r="H15" i="131"/>
  <c r="V15" i="131" s="1"/>
  <c r="G15" i="131"/>
  <c r="D15" i="131"/>
  <c r="C15" i="131"/>
  <c r="AO14" i="131"/>
  <c r="AN14" i="131"/>
  <c r="AM14" i="131"/>
  <c r="AL14" i="131"/>
  <c r="AK14" i="131"/>
  <c r="AC14" i="131"/>
  <c r="AB14" i="131"/>
  <c r="AA14" i="131"/>
  <c r="Z14" i="131"/>
  <c r="Y14" i="131"/>
  <c r="U14" i="131"/>
  <c r="T14" i="131"/>
  <c r="R14" i="131"/>
  <c r="I14" i="131"/>
  <c r="H14" i="131"/>
  <c r="V14" i="131" s="1"/>
  <c r="G14" i="131"/>
  <c r="D14" i="131"/>
  <c r="C14" i="131"/>
  <c r="AO13" i="131"/>
  <c r="AN13" i="131"/>
  <c r="AM13" i="131"/>
  <c r="AL13" i="131"/>
  <c r="AK13" i="131"/>
  <c r="AC13" i="131"/>
  <c r="AB13" i="131"/>
  <c r="AA13" i="131"/>
  <c r="Z13" i="131"/>
  <c r="Y13" i="131"/>
  <c r="U13" i="131"/>
  <c r="T13" i="131"/>
  <c r="R13" i="131"/>
  <c r="R11" i="131" s="1"/>
  <c r="I13" i="131"/>
  <c r="H13" i="131"/>
  <c r="V13" i="131" s="1"/>
  <c r="G13" i="131"/>
  <c r="D13" i="131"/>
  <c r="C13" i="131"/>
  <c r="U12" i="131"/>
  <c r="T12" i="131"/>
  <c r="I12" i="131"/>
  <c r="H12" i="131"/>
  <c r="V12" i="131" s="1"/>
  <c r="G12" i="131"/>
  <c r="D12" i="131"/>
  <c r="C12" i="131"/>
  <c r="U11" i="131"/>
  <c r="T11" i="131"/>
  <c r="I11" i="131"/>
  <c r="H11" i="131"/>
  <c r="V11" i="131" s="1"/>
  <c r="G11" i="131"/>
  <c r="D11" i="131"/>
  <c r="C11" i="131"/>
  <c r="U10" i="131"/>
  <c r="T10" i="131"/>
  <c r="I10" i="131"/>
  <c r="H10" i="131"/>
  <c r="V10" i="131" s="1"/>
  <c r="G10" i="131"/>
  <c r="D10" i="131"/>
  <c r="C10" i="131"/>
  <c r="U9" i="131"/>
  <c r="T9" i="131"/>
  <c r="P9" i="131"/>
  <c r="AC9" i="131" s="1"/>
  <c r="O9" i="131"/>
  <c r="AB9" i="131" s="1"/>
  <c r="N9" i="131"/>
  <c r="AA9" i="131" s="1"/>
  <c r="M9" i="131"/>
  <c r="Z9" i="131" s="1"/>
  <c r="L9" i="131"/>
  <c r="Y9" i="131" s="1"/>
  <c r="I9" i="131"/>
  <c r="H9" i="131"/>
  <c r="V9" i="131" s="1"/>
  <c r="G9" i="131"/>
  <c r="D9" i="131"/>
  <c r="C9" i="131"/>
  <c r="AO8" i="131"/>
  <c r="AN8" i="131"/>
  <c r="AM8" i="131"/>
  <c r="AL8" i="131"/>
  <c r="AC8" i="131"/>
  <c r="AB8" i="131"/>
  <c r="AA8" i="131"/>
  <c r="Z8" i="131"/>
  <c r="Y8" i="131"/>
  <c r="U8" i="131"/>
  <c r="T8" i="131"/>
  <c r="I8" i="131"/>
  <c r="H8" i="131"/>
  <c r="V8" i="131" s="1"/>
  <c r="G8" i="131"/>
  <c r="D8" i="131"/>
  <c r="C8" i="131"/>
  <c r="AG7" i="131"/>
  <c r="AC7" i="131"/>
  <c r="AB7" i="131"/>
  <c r="AA7" i="131"/>
  <c r="Z7" i="131"/>
  <c r="Y7" i="131"/>
  <c r="U7" i="131"/>
  <c r="T7" i="131"/>
  <c r="I7" i="131"/>
  <c r="H7" i="131"/>
  <c r="V7" i="131" s="1"/>
  <c r="G7" i="131"/>
  <c r="D7" i="131"/>
  <c r="C7" i="131"/>
  <c r="U6" i="131"/>
  <c r="T6" i="131"/>
  <c r="I6" i="131"/>
  <c r="H6" i="131"/>
  <c r="V6" i="131" s="1"/>
  <c r="G6" i="131"/>
  <c r="D6" i="131"/>
  <c r="C6" i="131"/>
  <c r="AK8" i="131" s="1"/>
  <c r="AG3" i="131"/>
  <c r="AG2" i="131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C1" i="133" a="1"/>
  <c r="B1" i="133" a="1"/>
  <c r="C1" i="132" a="1"/>
  <c r="B1" i="132" a="1"/>
  <c r="B1" i="131" a="1"/>
  <c r="C1" i="131" a="1"/>
  <c r="C1" i="4" a="1"/>
  <c r="B1" i="4" a="1"/>
  <c r="AG9" i="133" l="1"/>
  <c r="AG5" i="133"/>
  <c r="X79" i="133"/>
  <c r="AG8" i="133"/>
  <c r="AG4" i="133"/>
  <c r="X87" i="133"/>
  <c r="AG11" i="133"/>
  <c r="X85" i="133"/>
  <c r="X86" i="133"/>
  <c r="B1" i="133"/>
  <c r="C1" i="133"/>
  <c r="AG10" i="133"/>
  <c r="AG6" i="133"/>
  <c r="X81" i="133"/>
  <c r="X80" i="133"/>
  <c r="X82" i="133"/>
  <c r="X83" i="133"/>
  <c r="X84" i="133"/>
  <c r="X78" i="133"/>
  <c r="AG9" i="132"/>
  <c r="AG5" i="132"/>
  <c r="AG4" i="132"/>
  <c r="X87" i="132"/>
  <c r="AG8" i="132"/>
  <c r="X85" i="132"/>
  <c r="X86" i="132"/>
  <c r="X79" i="132"/>
  <c r="AG11" i="132"/>
  <c r="AG6" i="132"/>
  <c r="AG10" i="132"/>
  <c r="B1" i="132"/>
  <c r="C1" i="132"/>
  <c r="X80" i="132"/>
  <c r="X81" i="132"/>
  <c r="X82" i="132"/>
  <c r="X83" i="132"/>
  <c r="X84" i="132"/>
  <c r="X78" i="132"/>
  <c r="AG9" i="131"/>
  <c r="AG5" i="131"/>
  <c r="AG8" i="131"/>
  <c r="X79" i="131"/>
  <c r="X86" i="131"/>
  <c r="AG4" i="131"/>
  <c r="AG11" i="131"/>
  <c r="AG10" i="131"/>
  <c r="X87" i="131"/>
  <c r="X85" i="131"/>
  <c r="C1" i="131"/>
  <c r="B1" i="131"/>
  <c r="AG6" i="131"/>
  <c r="X80" i="131"/>
  <c r="X81" i="131"/>
  <c r="X82" i="131"/>
  <c r="X83" i="131"/>
  <c r="X84" i="131"/>
  <c r="X78" i="131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133" l="1"/>
  <c r="F4" i="1" s="1"/>
  <c r="D1" i="132"/>
  <c r="F3" i="1" s="1"/>
  <c r="D1" i="131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<sst xmlns="http://schemas.openxmlformats.org/spreadsheetml/2006/main" count="389" uniqueCount="159">
  <si>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</si>
  <si>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</si>
  <si>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</si>
  <si>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</si>
  <si>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</si>
  <si>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</si>
  <si>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派生項目名</t>
    <rPh sb="2" eb="4">
      <t>コウモク</t>
    </rPh>
    <rPh sb="4" eb="5">
      <t>メイ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</si>
  <si>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</si>
  <si>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</si>
  <si>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</si>
  <si>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</si>
  <si>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</si>
  <si>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</si>
  <si>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</si>
  <si>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</si>
  <si>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</si>
  <si>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</si>
  <si>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</si>
  <si>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</si>
  <si>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</si>
  <si>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</si>
  <si>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</si>
  <si>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</si>
  <si>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varchar(10)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</si>
  <si>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</si>
  <si>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</si>
  <si>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</si>
  <si>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</si>
  <si>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</si>
  <si>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</si>
  <si>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</si>
  <si>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</si>
  <si>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</si>
  <si>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</si>
  <si>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</si>
  <si>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</si>
  <si>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</si>
  <si>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</si>
  <si>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</si>
  <si>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</si>
  <si>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</si>
  <si>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</si>
  <si>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</si>
  <si>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</si>
  <si>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</si>
  <si>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</si>
  <si>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</si>
  <si>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</si>
  <si>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</si>
  <si>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</si>
  <si>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</si>
  <si>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</si>
  <si>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</si>
  <si>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</si>
  <si>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</si>
  <si>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</si>
  <si>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</si>
  <si>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</si>
  <si>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</si>
  <si>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</si>
  <si>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</si>
  <si>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</si>
  <si>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</si>
  <si>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</si>
  <si>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</si>
  <si>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</si>
  <si>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</si>
  <si>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</si>
  <si>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</si>
  <si>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</si>
  <si>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</si>
  <si>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</si>
  <si>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</si>
  <si>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</si>
  <si>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</si>
  <si>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</si>
  <si>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</si>
  <si>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</si>
  <si>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</si>
  <si>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</si>
  <si>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</si>
  <si>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得意先名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</si>
  <si>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</si>
  <si>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</si>
  <si>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</si>
  <si>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</si>
  <si>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</si>
  <si>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</si>
  <si>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</si>
  <si>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</si>
  <si>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</si>
  <si>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</si>
  <si>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</si>
  <si>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</si>
  <si>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</si>
  <si>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</si>
  <si>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</si>
  <si>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</si>
  <si>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</si>
  <si>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</si>
  <si>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</si>
  <si>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</si>
  <si>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</si>
  <si>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</si>
  <si>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</si>
  <si>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UP</t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</si>
  <si>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</si>
  <si>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</si>
  <si>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</si>
  <si>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</si>
  <si>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</si>
  <si>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(LENGTH(product_no) &gt;= 9)</t>
  </si>
  <si>
    <t>(price &gt;= 0 AND price &lt;= 99999)</t>
  </si>
  <si>
    <t>(up &gt; 0 AND up &lt;= 1000)</t>
  </si>
  <si>
    <t>(LENGTH(comment) &gt;= 10)</t>
  </si>
  <si>
    <t>(quantity &gt;= 0 AND quantity &lt;= 99999)</t>
  </si>
  <si>
    <t>(LENGTH(received_order_no) &gt;= 10)</t>
  </si>
  <si>
    <t>(LENGTH(user_id) &gt;= 4)</t>
  </si>
  <si>
    <t>(LENGTH(customer_id) &gt;= 3)</t>
  </si>
  <si>
    <t>(profit_rate &gt;= -10 AND profit_rate &lt;= 10)</t>
  </si>
  <si>
    <t>発送時間</t>
  </si>
  <si>
    <t>shipping_time</t>
  </si>
  <si>
    <t>(shipping_time ~* '^([0-1]?[0-9]|2[0-3]):[0-5][0-9]$')</t>
  </si>
  <si>
    <t>出荷時間</t>
  </si>
  <si>
    <t>(campane_price &gt;= 0 AND campane_price &lt;= 99999)</t>
  </si>
  <si>
    <t>(LENGTH(order_pic) &gt;= 4)</t>
  </si>
  <si>
    <t>(LENGTH(product_pic) &gt;= 4)</t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</si>
  <si>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</si>
  <si>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</si>
  <si>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</si>
  <si>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</si>
  <si>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</si>
  <si>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</si>
  <si>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</si>
  <si>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</si>
  <si>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</si>
  <si>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</si>
  <si>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</si>
  <si>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varchar(5)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</si>
  <si>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</si>
  <si>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</si>
  <si>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</si>
  <si>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</si>
  <si>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</si>
  <si>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</si>
  <si>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</si>
  <si>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</si>
  <si>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</si>
  <si>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</si>
  <si>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</si>
  <si>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</si>
  <si>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</si>
  <si>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</si>
  <si>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</si>
  <si>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</si>
  <si>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</si>
  <si>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</si>
  <si>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</si>
  <si>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商品特定のユニークキー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</si>
</sst>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6" fillId="2" borderId="6" xfId="0" applyFont="1" applyFill="1" applyBorder="1"/>
    <xf numFmtId="0" fontId="6" fillId="2" borderId="5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8" fillId="0" borderId="0" xfId="0" applyFont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10" fillId="0" borderId="0" xfId="2" applyFont="1" applyAlignment="1">
      <alignment horizontal="right"/>
    </xf>
    <xf numFmtId="0" fontId="0" fillId="0" borderId="16" xfId="0" applyBorder="1"/>
    <xf numFmtId="0" fontId="11" fillId="0" borderId="15" xfId="0" applyFont="1" applyBorder="1"/>
    <xf numFmtId="0" fontId="0" fillId="0" borderId="17" xfId="0" applyBorder="1"/>
    <xf numFmtId="176" fontId="6" fillId="2" borderId="6" xfId="0" applyNumberFormat="1" applyFont="1" applyFill="1" applyBorder="1" applyAlignment="1">
      <alignment horizontal="center"/>
    </xf>
    <xf numFmtId="176" fontId="6" fillId="2" borderId="5" xfId="0" applyNumberFormat="1" applyFont="1" applyFill="1" applyBorder="1" applyAlignment="1">
      <alignment horizontal="center"/>
    </xf>
    <xf numFmtId="0" fontId="12" fillId="0" borderId="0" xfId="0" applyFont="1"/>
    <xf numFmtId="0" fontId="7" fillId="4" borderId="0" xfId="0" applyFont="1" applyFill="1"/>
    <xf numFmtId="0" fontId="7" fillId="2" borderId="7" xfId="0" applyFont="1" applyFill="1" applyBorder="1"/>
    <xf numFmtId="0" fontId="6" fillId="2" borderId="18" xfId="0" applyFont="1" applyFill="1" applyBorder="1"/>
    <xf numFmtId="0" fontId="6" fillId="0" borderId="18" xfId="0" applyFont="1" applyBorder="1"/>
    <xf numFmtId="0" fontId="6" fillId="2" borderId="19" xfId="0" applyFont="1" applyFill="1" applyBorder="1"/>
    <xf numFmtId="0" fontId="6" fillId="0" borderId="19" xfId="0" applyFont="1" applyBorder="1"/>
    <xf numFmtId="0" fontId="6" fillId="2" borderId="20" xfId="0" applyFont="1" applyFill="1" applyBorder="1"/>
    <xf numFmtId="0" fontId="6" fillId="0" borderId="20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8" xfId="0" applyNumberFormat="1" applyFont="1" applyFill="1" applyBorder="1" applyAlignment="1">
      <alignment horizontal="center"/>
    </xf>
    <xf numFmtId="179" fontId="6" fillId="2" borderId="19" xfId="0" applyNumberFormat="1" applyFont="1" applyFill="1" applyBorder="1" applyAlignment="1">
      <alignment horizontal="center"/>
    </xf>
    <xf numFmtId="179" fontId="6" fillId="2" borderId="20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9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10" xfId="0" applyFont="1" applyFill="1" applyBorder="1"/>
    <xf numFmtId="0" fontId="5" fillId="2" borderId="11" xfId="0" applyFont="1" applyFill="1" applyBorder="1"/>
    <xf numFmtId="0" fontId="5" fillId="2" borderId="12" xfId="0" applyFont="1" applyFill="1" applyBorder="1"/>
    <xf numFmtId="181" fontId="16" fillId="2" borderId="10" xfId="0" applyNumberFormat="1" applyFont="1" applyFill="1" applyBorder="1"/>
    <xf numFmtId="181" fontId="16" fillId="2" borderId="11" xfId="0" applyNumberFormat="1" applyFont="1" applyFill="1" applyBorder="1"/>
    <xf numFmtId="181" fontId="16" fillId="2" borderId="12" xfId="0" applyNumberFormat="1" applyFont="1" applyFill="1" applyBorder="1"/>
    <xf numFmtId="181" fontId="7" fillId="0" borderId="0" xfId="0" applyNumberFormat="1" applyFont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177" fontId="5" fillId="2" borderId="10" xfId="0" applyNumberFormat="1" applyFont="1" applyFill="1" applyBorder="1"/>
    <xf numFmtId="177" fontId="5" fillId="2" borderId="11" xfId="0" applyNumberFormat="1" applyFont="1" applyFill="1" applyBorder="1"/>
    <xf numFmtId="177" fontId="5" fillId="2" borderId="12" xfId="0" applyNumberFormat="1" applyFont="1" applyFill="1" applyBorder="1"/>
    <xf numFmtId="176" fontId="5" fillId="0" borderId="10" xfId="0" applyNumberFormat="1" applyFont="1" applyBorder="1" applyAlignment="1">
      <alignment horizontal="center"/>
    </xf>
    <xf numFmtId="176" fontId="5" fillId="0" borderId="11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0" fontId="17" fillId="0" borderId="0" xfId="0" applyFont="1"/>
    <xf numFmtId="0" fontId="5" fillId="0" borderId="13" xfId="0" applyFont="1" applyBorder="1"/>
    <xf numFmtId="0" fontId="5" fillId="0" borderId="14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182" fontId="19" fillId="2" borderId="19" xfId="0" applyNumberFormat="1" applyFont="1" applyFill="1" applyBorder="1" applyAlignment="1">
      <alignment horizontal="center"/>
    </xf>
    <xf numFmtId="182" fontId="19" fillId="2" borderId="20" xfId="0" applyNumberFormat="1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 vertical="center" wrapText="1"/>
    </xf>
    <xf numFmtId="177" fontId="7" fillId="2" borderId="24" xfId="0" applyNumberFormat="1" applyFont="1" applyFill="1" applyBorder="1" applyAlignment="1">
      <alignment horizontal="center"/>
    </xf>
    <xf numFmtId="0" fontId="5" fillId="0" borderId="25" xfId="0" applyFont="1" applyBorder="1"/>
    <xf numFmtId="0" fontId="16" fillId="2" borderId="26" xfId="0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176" fontId="5" fillId="2" borderId="28" xfId="0" applyNumberFormat="1" applyFont="1" applyFill="1" applyBorder="1" applyAlignment="1">
      <alignment horizontal="center"/>
    </xf>
    <xf numFmtId="176" fontId="5" fillId="2" borderId="29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 wrapText="1"/>
    </xf>
    <xf numFmtId="0" fontId="4" fillId="3" borderId="32" xfId="0" applyFont="1" applyFill="1" applyBorder="1" applyAlignment="1">
      <alignment horizontal="center" vertical="center" wrapText="1"/>
    </xf>
    <xf numFmtId="177" fontId="7" fillId="2" borderId="33" xfId="0" applyNumberFormat="1" applyFont="1" applyFill="1" applyBorder="1" applyAlignment="1">
      <alignment horizontal="center"/>
    </xf>
    <xf numFmtId="0" fontId="5" fillId="0" borderId="34" xfId="0" applyFont="1" applyBorder="1"/>
    <xf numFmtId="0" fontId="5" fillId="0" borderId="35" xfId="0" applyFont="1" applyBorder="1"/>
    <xf numFmtId="0" fontId="5" fillId="0" borderId="36" xfId="0" applyFont="1" applyBorder="1"/>
    <xf numFmtId="0" fontId="20" fillId="0" borderId="0" xfId="0" applyFont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11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9" ht="26">
      <c r="A1" s="4" t="s">
        <v>0</v>
      </c>
      <c r="B1" s="5" t="s">
        <v>1</v>
      </c>
      <c r="C1" s="6" t="s">
        <v>3</v>
      </c>
      <c r="D1" s="5" t="s">
        <v>109</v>
      </c>
      <c r="E1" s="5" t="s">
        <v>127</v>
      </c>
      <c r="F1" s="5" t="s">
        <v>110</v>
      </c>
      <c r="G1" s="6" t="s">
        <v>2</v>
      </c>
      <c r="H1" s="7" t="s">
        <v>5</v>
      </c>
      <c r="I1" s="7" t="s">
        <v>6</v>
      </c>
    </row>
    <row r="2" spans="1:9" ht="15">
      <c r="A2" s="2" t="s">
        <v>50</v>
      </c>
      <c r="B2" s="2" t="s">
        <v>51</v>
      </c>
      <c r="C2" s="2" t="s">
        <v>23</v>
      </c>
      <c r="D2" s="2" t="s">
        <v>111</v>
      </c>
      <c r="E2" s="2" t="b">
        <v>0</v>
      </c>
      <c r="F2" s="2" t="b">
        <v>1</v>
      </c>
      <c r="G2" s="2" t="s">
        <v>158</v>
      </c>
      <c r="H2" s="20">
        <v>0</v>
      </c>
      <c r="I2" s="2"/>
    </row>
    <row r="3" spans="1:9" ht="15">
      <c r="A3" s="2" t="s">
        <v>4</v>
      </c>
      <c r="B3" s="2" t="s">
        <v>24</v>
      </c>
      <c r="C3" s="2" t="s">
        <v>25</v>
      </c>
      <c r="D3" s="2" t="s">
        <v>112</v>
      </c>
      <c r="E3" s="2" t="b">
        <v>0</v>
      </c>
      <c r="F3" s="2" t="b">
        <v>0</v>
      </c>
      <c r="G3" s="2" t="s">
        <v>26</v>
      </c>
      <c r="H3" s="20">
        <v>0</v>
      </c>
      <c r="I3" s="2"/>
    </row>
    <row r="4" spans="1:9" ht="15">
      <c r="A4" s="2" t="s">
        <v>105</v>
      </c>
      <c r="B4" s="2" t="s">
        <v>27</v>
      </c>
      <c r="C4" s="2" t="s">
        <v>28</v>
      </c>
      <c r="D4" s="2" t="s">
        <v>113</v>
      </c>
      <c r="E4" s="2" t="b">
        <v>0</v>
      </c>
      <c r="F4" s="2" t="b">
        <v>0</v>
      </c>
      <c r="G4" s="2" t="s">
        <v>29</v>
      </c>
      <c r="H4" s="20">
        <v>0</v>
      </c>
      <c r="I4" s="2"/>
    </row>
    <row r="5" spans="1:9" ht="15">
      <c r="A5" s="2" t="s">
        <v>30</v>
      </c>
      <c r="B5" s="2" t="s">
        <v>146</v>
      </c>
      <c r="C5" s="2" t="s">
        <v>31</v>
      </c>
      <c r="D5" s="2"/>
      <c r="E5" s="2" t="b">
        <v>0</v>
      </c>
      <c r="F5" s="2" t="b">
        <v>0</v>
      </c>
      <c r="G5" s="2" t="s">
        <v>30</v>
      </c>
      <c r="H5" s="20">
        <v>0</v>
      </c>
      <c r="I5" s="2"/>
    </row>
    <row r="6" spans="1:9" ht="15">
      <c r="A6" s="2" t="s">
        <v>32</v>
      </c>
      <c r="B6" s="2" t="s">
        <v>33</v>
      </c>
      <c r="C6" s="2" t="s">
        <v>33</v>
      </c>
      <c r="D6" s="2"/>
      <c r="E6" s="2" t="b">
        <v>1</v>
      </c>
      <c r="F6" s="2" t="b">
        <v>1</v>
      </c>
      <c r="G6" s="2" t="s">
        <v>34</v>
      </c>
      <c r="H6" s="20">
        <v>0</v>
      </c>
      <c r="I6" s="2"/>
    </row>
    <row r="7" spans="1:9" ht="15">
      <c r="A7" s="2" t="s">
        <v>35</v>
      </c>
      <c r="B7" s="2" t="s">
        <v>36</v>
      </c>
      <c r="C7" s="2" t="s">
        <v>37</v>
      </c>
      <c r="D7" s="2" t="s">
        <v>114</v>
      </c>
      <c r="E7" s="2" t="b">
        <v>0</v>
      </c>
      <c r="F7" s="2" t="b">
        <v>1</v>
      </c>
      <c r="G7" s="2" t="s">
        <v>35</v>
      </c>
      <c r="H7" s="20">
        <v>0</v>
      </c>
      <c r="I7" s="2"/>
    </row>
    <row r="8" spans="1:9" ht="15">
      <c r="A8" s="2" t="s">
        <v>38</v>
      </c>
      <c r="B8" s="2" t="s">
        <v>39</v>
      </c>
      <c r="C8" s="2" t="s">
        <v>40</v>
      </c>
      <c r="D8" s="2"/>
      <c r="E8" s="2" t="b">
        <v>1</v>
      </c>
      <c r="F8" s="2" t="b">
        <v>0</v>
      </c>
      <c r="G8" s="2" t="s">
        <v>41</v>
      </c>
      <c r="H8" s="20">
        <v>0</v>
      </c>
      <c r="I8" s="2"/>
    </row>
    <row r="9" spans="1:9" ht="15">
      <c r="A9" s="2" t="s">
        <v>52</v>
      </c>
      <c r="B9" s="2" t="s">
        <v>53</v>
      </c>
      <c r="C9" s="2" t="s">
        <v>53</v>
      </c>
      <c r="D9" s="2"/>
      <c r="E9" s="2" t="b">
        <v>1</v>
      </c>
      <c r="F9" s="2" t="b">
        <v>1</v>
      </c>
      <c r="G9" s="2" t="s">
        <v>52</v>
      </c>
      <c r="H9" s="20">
        <v>0</v>
      </c>
      <c r="I9" s="2"/>
    </row>
    <row r="10" spans="1:9" ht="15">
      <c r="A10" s="2" t="s">
        <v>54</v>
      </c>
      <c r="B10" s="2" t="s">
        <v>55</v>
      </c>
      <c r="C10" s="2" t="s">
        <v>31</v>
      </c>
      <c r="D10" s="2"/>
      <c r="E10" s="2" t="b">
        <v>0</v>
      </c>
      <c r="F10" s="2" t="b">
        <v>0</v>
      </c>
      <c r="G10" s="2" t="s">
        <v>54</v>
      </c>
      <c r="H10" s="20">
        <v>0</v>
      </c>
      <c r="I10" s="2"/>
    </row>
    <row r="11" spans="1:9" ht="15">
      <c r="A11" s="2" t="s">
        <v>56</v>
      </c>
      <c r="B11" s="2" t="s">
        <v>57</v>
      </c>
      <c r="C11" s="2" t="s">
        <v>25</v>
      </c>
      <c r="D11" s="2" t="s">
        <v>115</v>
      </c>
      <c r="E11" s="2" t="b">
        <v>0</v>
      </c>
      <c r="F11" s="2" t="b">
        <v>0</v>
      </c>
      <c r="G11" s="2" t="s">
        <v>56</v>
      </c>
      <c r="H11" s="20">
        <v>0</v>
      </c>
      <c r="I11" s="2"/>
    </row>
    <row r="12" spans="1:9" ht="15">
      <c r="A12" s="2" t="s">
        <v>58</v>
      </c>
      <c r="B12" s="2" t="s">
        <v>59</v>
      </c>
      <c r="C12" s="2" t="s">
        <v>23</v>
      </c>
      <c r="D12" s="2" t="s">
        <v>116</v>
      </c>
      <c r="E12" s="2" t="b">
        <v>0</v>
      </c>
      <c r="F12" s="2" t="b">
        <v>1</v>
      </c>
      <c r="G12" s="2" t="s">
        <v>60</v>
      </c>
      <c r="H12" s="20">
        <v>0</v>
      </c>
      <c r="I12" s="2"/>
    </row>
    <row r="13" spans="1:9" ht="15">
      <c r="A13" s="2" t="s">
        <v>61</v>
      </c>
      <c r="B13" s="2" t="s">
        <v>62</v>
      </c>
      <c r="C13" s="2" t="s">
        <v>63</v>
      </c>
      <c r="D13" s="2"/>
      <c r="E13" s="2" t="b">
        <v>0</v>
      </c>
      <c r="F13" s="2" t="b">
        <v>0</v>
      </c>
      <c r="G13" s="2" t="s">
        <v>64</v>
      </c>
      <c r="H13" s="20">
        <v>0</v>
      </c>
      <c r="I13" s="2"/>
    </row>
    <row r="14" spans="1:9" ht="15">
      <c r="A14" s="2" t="s">
        <v>65</v>
      </c>
      <c r="B14" s="2" t="s">
        <v>66</v>
      </c>
      <c r="C14" s="2" t="s">
        <v>67</v>
      </c>
      <c r="D14" s="2"/>
      <c r="E14" s="2" t="b">
        <v>0</v>
      </c>
      <c r="F14" s="2" t="b">
        <v>1</v>
      </c>
      <c r="G14" s="2" t="s">
        <v>68</v>
      </c>
      <c r="H14" s="20">
        <v>0</v>
      </c>
      <c r="I14" s="2"/>
    </row>
    <row r="15" spans="1:9" ht="15">
      <c r="A15" s="2" t="s">
        <v>69</v>
      </c>
      <c r="B15" s="2" t="s">
        <v>70</v>
      </c>
      <c r="C15" s="2" t="s">
        <v>71</v>
      </c>
      <c r="D15" s="2" t="s">
        <v>117</v>
      </c>
      <c r="E15" s="2" t="b">
        <v>0</v>
      </c>
      <c r="F15" s="2" t="b">
        <v>1</v>
      </c>
      <c r="G15" s="2" t="s">
        <v>72</v>
      </c>
      <c r="H15" s="20">
        <v>0</v>
      </c>
      <c r="I15" s="2"/>
    </row>
    <row r="16" spans="1:9" ht="15">
      <c r="A16" s="2" t="s">
        <v>73</v>
      </c>
      <c r="B16" s="2" t="s">
        <v>74</v>
      </c>
      <c r="C16" s="2" t="s">
        <v>75</v>
      </c>
      <c r="D16" s="2"/>
      <c r="E16" s="2" t="b">
        <v>0</v>
      </c>
      <c r="F16" s="2" t="b">
        <v>1</v>
      </c>
      <c r="G16" s="2" t="s">
        <v>76</v>
      </c>
      <c r="H16" s="20">
        <v>0</v>
      </c>
      <c r="I16" s="2"/>
    </row>
    <row r="17" spans="1:9" ht="15">
      <c r="A17" s="2" t="s">
        <v>77</v>
      </c>
      <c r="B17" s="2" t="s">
        <v>78</v>
      </c>
      <c r="C17" s="2" t="s">
        <v>79</v>
      </c>
      <c r="D17" s="2" t="s">
        <v>118</v>
      </c>
      <c r="E17" s="2" t="b">
        <v>0</v>
      </c>
      <c r="F17" s="2" t="b">
        <v>1</v>
      </c>
      <c r="G17" s="2" t="s">
        <v>80</v>
      </c>
      <c r="H17" s="20">
        <v>0</v>
      </c>
      <c r="I17" s="2"/>
    </row>
    <row r="18" spans="1:9" ht="15">
      <c r="A18" s="2" t="s">
        <v>81</v>
      </c>
      <c r="B18" s="2" t="s">
        <v>82</v>
      </c>
      <c r="C18" s="2" t="s">
        <v>75</v>
      </c>
      <c r="D18" s="2"/>
      <c r="E18" s="2" t="b">
        <v>0</v>
      </c>
      <c r="F18" s="2" t="b">
        <v>1</v>
      </c>
      <c r="G18" s="2" t="s">
        <v>83</v>
      </c>
      <c r="H18" s="20">
        <v>0</v>
      </c>
      <c r="I18" s="2"/>
    </row>
    <row r="19" spans="1:9" ht="15">
      <c r="A19" s="2" t="s">
        <v>84</v>
      </c>
      <c r="B19" s="2" t="s">
        <v>85</v>
      </c>
      <c r="C19" s="2" t="s">
        <v>40</v>
      </c>
      <c r="D19" s="2"/>
      <c r="E19" s="2" t="b">
        <v>1</v>
      </c>
      <c r="F19" s="2" t="b">
        <v>0</v>
      </c>
      <c r="G19" s="2" t="s">
        <v>86</v>
      </c>
      <c r="H19" s="20">
        <v>0</v>
      </c>
      <c r="I19" s="2"/>
    </row>
    <row r="20" spans="1:9" ht="15">
      <c r="A20" s="2" t="s">
        <v>87</v>
      </c>
      <c r="B20" s="2" t="s">
        <v>88</v>
      </c>
      <c r="C20" s="2" t="s">
        <v>28</v>
      </c>
      <c r="D20" s="2" t="s">
        <v>119</v>
      </c>
      <c r="E20" s="2" t="b">
        <v>0</v>
      </c>
      <c r="F20" s="2" t="b">
        <v>0</v>
      </c>
      <c r="G20" s="2" t="s">
        <v>87</v>
      </c>
      <c r="H20" s="20">
        <v>0</v>
      </c>
      <c r="I20" s="2"/>
    </row>
    <row r="21" spans="1:9" ht="15">
      <c r="A21" s="2" t="s">
        <v>89</v>
      </c>
      <c r="B21" s="2" t="s">
        <v>90</v>
      </c>
      <c r="C21" s="2" t="s">
        <v>40</v>
      </c>
      <c r="D21" s="2"/>
      <c r="E21" s="2" t="b">
        <v>1</v>
      </c>
      <c r="F21" s="2" t="b">
        <v>0</v>
      </c>
      <c r="G21" s="2" t="s">
        <v>91</v>
      </c>
      <c r="H21" s="20">
        <v>0</v>
      </c>
      <c r="I21" s="2"/>
    </row>
    <row r="22" spans="1:9" ht="15">
      <c r="A22" s="2" t="s">
        <v>120</v>
      </c>
      <c r="B22" s="2" t="s">
        <v>121</v>
      </c>
      <c r="C22" s="2" t="s">
        <v>138</v>
      </c>
      <c r="D22" s="2" t="s">
        <v>122</v>
      </c>
      <c r="E22" s="2" t="b">
        <v>0</v>
      </c>
      <c r="F22" s="2" t="b">
        <v>0</v>
      </c>
      <c r="G22" s="2" t="s">
        <v>123</v>
      </c>
      <c r="H22" s="20">
        <v>0</v>
      </c>
      <c r="I22" s="2"/>
    </row>
    <row r="23" spans="1:9" ht="15">
      <c r="A23" s="2" t="s">
        <v>147</v>
      </c>
      <c r="B23" s="2" t="s">
        <v>148</v>
      </c>
      <c r="C23" s="2" t="s">
        <v>40</v>
      </c>
      <c r="D23" s="2"/>
      <c r="E23" s="2" t="b">
        <v>1</v>
      </c>
      <c r="F23" s="2" t="b">
        <v>0</v>
      </c>
      <c r="G23" s="2" t="s">
        <v>149</v>
      </c>
      <c r="H23" s="20">
        <v>0</v>
      </c>
      <c r="I23" s="2"/>
    </row>
    <row r="24" spans="1:9" ht="15">
      <c r="A24" s="2" t="s">
        <v>150</v>
      </c>
      <c r="B24" s="2" t="s">
        <v>151</v>
      </c>
      <c r="C24" s="2" t="s">
        <v>151</v>
      </c>
      <c r="D24" s="2"/>
      <c r="E24" s="2" t="b">
        <v>1</v>
      </c>
      <c r="F24" s="2" t="b">
        <v>1</v>
      </c>
      <c r="G24" s="2" t="s">
        <v>152</v>
      </c>
      <c r="H24" s="20">
        <v>0</v>
      </c>
      <c r="I24" s="2"/>
    </row>
    <row r="25" spans="1:9" ht="15">
      <c r="A25" s="2" t="s">
        <v>42</v>
      </c>
      <c r="B25" s="2" t="s">
        <v>43</v>
      </c>
      <c r="C25" s="2" t="s">
        <v>25</v>
      </c>
      <c r="D25" s="2" t="s">
        <v>124</v>
      </c>
      <c r="E25" s="2" t="b">
        <v>0</v>
      </c>
      <c r="F25" s="2" t="b">
        <v>0</v>
      </c>
      <c r="G25" s="2" t="s">
        <v>44</v>
      </c>
      <c r="H25" s="20">
        <v>1</v>
      </c>
      <c r="I25" s="2" t="s">
        <v>4</v>
      </c>
    </row>
    <row r="26" spans="1:9" ht="15">
      <c r="A26" s="2" t="s">
        <v>92</v>
      </c>
      <c r="B26" s="2" t="s">
        <v>93</v>
      </c>
      <c r="C26" s="2" t="s">
        <v>71</v>
      </c>
      <c r="D26" s="2" t="s">
        <v>125</v>
      </c>
      <c r="E26" s="2" t="b">
        <v>0</v>
      </c>
      <c r="F26" s="2" t="b">
        <v>1</v>
      </c>
      <c r="G26" s="2" t="s">
        <v>94</v>
      </c>
      <c r="H26" s="20">
        <v>1</v>
      </c>
      <c r="I26" s="2" t="s">
        <v>69</v>
      </c>
    </row>
    <row r="27" spans="1:9" ht="15">
      <c r="A27" s="2" t="s">
        <v>95</v>
      </c>
      <c r="B27" s="2" t="s">
        <v>96</v>
      </c>
      <c r="C27" s="2" t="s">
        <v>71</v>
      </c>
      <c r="D27" s="2" t="s">
        <v>126</v>
      </c>
      <c r="E27" s="2" t="b">
        <v>0</v>
      </c>
      <c r="F27" s="2" t="b">
        <v>1</v>
      </c>
      <c r="G27" s="2" t="s">
        <v>97</v>
      </c>
      <c r="H27" s="20">
        <v>1</v>
      </c>
      <c r="I27" s="2" t="s">
        <v>69</v>
      </c>
    </row>
    <row r="28" spans="1:9" ht="15">
      <c r="A28" s="3" t="s">
        <v>98</v>
      </c>
      <c r="B28" s="3" t="s">
        <v>99</v>
      </c>
      <c r="C28" s="3" t="s">
        <v>53</v>
      </c>
      <c r="D28" s="3"/>
      <c r="E28" s="3" t="b">
        <v>1</v>
      </c>
      <c r="F28" s="3" t="b">
        <v>1</v>
      </c>
      <c r="G28" s="3" t="s">
        <v>98</v>
      </c>
      <c r="H28" s="21">
        <v>1</v>
      </c>
      <c r="I28" s="3" t="s">
        <v>52</v>
      </c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E14" sqref="E14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32" hidden="1" customWidth="1"/>
    <col min="11" max="11" width="0" hidden="1" customWidth="1"/>
  </cols>
  <sheetData>
    <row r="1" spans="1:11">
      <c r="A1" s="4" t="s">
        <v>13</v>
      </c>
      <c r="B1" s="6"/>
      <c r="C1" s="6" t="s">
        <v>108</v>
      </c>
      <c r="D1" s="6" t="s">
        <v>101</v>
      </c>
      <c r="E1" s="36" t="s">
        <v>107</v>
      </c>
      <c r="F1" s="8" t="s">
        <v>106</v>
      </c>
      <c r="H1" s="31" t="s">
        <v>104</v>
      </c>
      <c r="I1" s="31" t="s">
        <v>102</v>
      </c>
      <c r="J1" s="31" t="s">
        <v>103</v>
      </c>
      <c r="K1" t="b">
        <f ca="1">SUM(F2:F101)=0</f>
        <v>1</v>
      </c>
    </row>
    <row r="2" spans="1:11">
      <c r="A2" s="25">
        <f>ROW()-1</f>
        <v>1</v>
      </c>
      <c r="B2" s="33">
        <f>IF(AND(I2,NOT(J2),NOT(H2)),1,0)</f>
        <v>0</v>
      </c>
      <c r="C2" s="37" t="s">
        <v>136</v>
      </c>
      <c r="D2" s="26" t="s">
        <v>136</v>
      </c>
      <c r="E2" s="26" t="s">
        <v>134</v>
      </c>
      <c r="F2" s="63">
        <f ca="1">得意先!エラーあり</f>
        <v>0</v>
      </c>
      <c r="G2" s="61"/>
      <c r="H2" s="32" t="b">
        <f>NOT(C2="")</f>
        <v>1</v>
      </c>
      <c r="I2" s="32" t="b">
        <f>AND(D2&lt;&gt;"",E2&lt;&gt;"")</f>
        <v>1</v>
      </c>
      <c r="J2" s="32" t="b">
        <f t="shared" ref="J2:J33" si="0">OR(COUNTIF(テーブル一覧JP,D2)&gt;1,COUNTIF(テーブル一覧EN,E2)&gt;1)</f>
        <v>0</v>
      </c>
    </row>
    <row r="3" spans="1:11">
      <c r="A3" s="27">
        <f t="shared" ref="A3:A66" si="1">ROW()-1</f>
        <v>2</v>
      </c>
      <c r="B3" s="34">
        <f t="shared" ref="B3:B66" si="2">IF(AND(I3,NOT(J3),NOT(H3)),1,0)</f>
        <v>0</v>
      </c>
      <c r="C3" s="37" t="s">
        <v>137</v>
      </c>
      <c r="D3" s="28" t="s">
        <v>137</v>
      </c>
      <c r="E3" s="28" t="s">
        <v>135</v>
      </c>
      <c r="F3" s="64">
        <f ca="1">受注!エラーあり</f>
        <v>0</v>
      </c>
      <c r="G3" s="61"/>
      <c r="H3" s="32" t="b">
        <f t="shared" ref="H3:H66" si="3">NOT(C3="")</f>
        <v>1</v>
      </c>
      <c r="I3" s="32" t="b">
        <f t="shared" ref="I3:I66" si="4">AND(D3&lt;&gt;"",E3&lt;&gt;"")</f>
        <v>1</v>
      </c>
      <c r="J3" s="32" t="b">
        <f t="shared" si="0"/>
        <v>0</v>
      </c>
    </row>
    <row r="4" spans="1:11">
      <c r="A4" s="27">
        <f t="shared" si="1"/>
        <v>3</v>
      </c>
      <c r="B4" s="34">
        <f>IF(AND(I4,NOT(J4),NOT(H4)),1,0)</f>
        <v>0</v>
      </c>
      <c r="C4" s="37" t="s">
        <v>156</v>
      </c>
      <c r="D4" s="28" t="s">
        <v>156</v>
      </c>
      <c r="E4" s="28" t="s">
        <v>157</v>
      </c>
      <c r="F4" s="64">
        <f ca="1">受注明細!エラーあり</f>
        <v>0</v>
      </c>
      <c r="H4" s="32" t="b">
        <f t="shared" si="3"/>
        <v>1</v>
      </c>
      <c r="I4" s="32" t="b">
        <f t="shared" si="4"/>
        <v>1</v>
      </c>
      <c r="J4" s="32" t="b">
        <f t="shared" si="0"/>
        <v>0</v>
      </c>
    </row>
    <row r="5" spans="1:11">
      <c r="A5" s="27">
        <f t="shared" si="1"/>
        <v>4</v>
      </c>
      <c r="B5" s="34">
        <f>IF(AND(I5,NOT(J5),NOT(H5)),1,0)</f>
        <v>0</v>
      </c>
      <c r="C5" s="37"/>
      <c r="D5" s="28"/>
      <c r="E5" s="28"/>
      <c r="F5" s="64"/>
      <c r="H5" s="32" t="b">
        <f t="shared" si="3"/>
        <v>0</v>
      </c>
      <c r="I5" s="32" t="b">
        <f t="shared" si="4"/>
        <v>0</v>
      </c>
      <c r="J5" s="32" t="b">
        <f t="shared" si="0"/>
        <v>0</v>
      </c>
    </row>
    <row r="6" spans="1:11">
      <c r="A6" s="27">
        <f t="shared" si="1"/>
        <v>5</v>
      </c>
      <c r="B6" s="34">
        <f t="shared" si="2"/>
        <v>0</v>
      </c>
      <c r="C6" s="27"/>
      <c r="D6" s="28"/>
      <c r="E6" s="28"/>
      <c r="F6" s="64"/>
      <c r="H6" s="32" t="b">
        <f t="shared" si="3"/>
        <v>0</v>
      </c>
      <c r="I6" s="32" t="b">
        <f t="shared" si="4"/>
        <v>0</v>
      </c>
      <c r="J6" s="32" t="b">
        <f t="shared" si="0"/>
        <v>0</v>
      </c>
    </row>
    <row r="7" spans="1:11">
      <c r="A7" s="27">
        <f t="shared" si="1"/>
        <v>6</v>
      </c>
      <c r="B7" s="34">
        <f t="shared" si="2"/>
        <v>0</v>
      </c>
      <c r="C7" s="27"/>
      <c r="D7" s="28"/>
      <c r="E7" s="28"/>
      <c r="F7" s="64"/>
      <c r="H7" s="32" t="b">
        <f t="shared" si="3"/>
        <v>0</v>
      </c>
      <c r="I7" s="32" t="b">
        <f t="shared" si="4"/>
        <v>0</v>
      </c>
      <c r="J7" s="32" t="b">
        <f t="shared" si="0"/>
        <v>0</v>
      </c>
    </row>
    <row r="8" spans="1:11">
      <c r="A8" s="27">
        <f t="shared" si="1"/>
        <v>7</v>
      </c>
      <c r="B8" s="34">
        <f t="shared" si="2"/>
        <v>0</v>
      </c>
      <c r="C8" s="27"/>
      <c r="D8" s="28"/>
      <c r="E8" s="28"/>
      <c r="F8" s="64"/>
      <c r="H8" s="32" t="b">
        <f t="shared" si="3"/>
        <v>0</v>
      </c>
      <c r="I8" s="32" t="b">
        <f t="shared" si="4"/>
        <v>0</v>
      </c>
      <c r="J8" s="32" t="b">
        <f t="shared" si="0"/>
        <v>0</v>
      </c>
    </row>
    <row r="9" spans="1:11">
      <c r="A9" s="27">
        <f t="shared" si="1"/>
        <v>8</v>
      </c>
      <c r="B9" s="34">
        <f t="shared" si="2"/>
        <v>0</v>
      </c>
      <c r="C9" s="27"/>
      <c r="D9" s="28"/>
      <c r="E9" s="28"/>
      <c r="F9" s="64"/>
      <c r="H9" s="32" t="b">
        <f t="shared" si="3"/>
        <v>0</v>
      </c>
      <c r="I9" s="32" t="b">
        <f t="shared" si="4"/>
        <v>0</v>
      </c>
      <c r="J9" s="32" t="b">
        <f t="shared" si="0"/>
        <v>0</v>
      </c>
    </row>
    <row r="10" spans="1:11">
      <c r="A10" s="27">
        <f t="shared" si="1"/>
        <v>9</v>
      </c>
      <c r="B10" s="34">
        <f t="shared" si="2"/>
        <v>0</v>
      </c>
      <c r="C10" s="27"/>
      <c r="D10" s="28"/>
      <c r="E10" s="28"/>
      <c r="F10" s="64"/>
      <c r="H10" s="32" t="b">
        <f t="shared" si="3"/>
        <v>0</v>
      </c>
      <c r="I10" s="32" t="b">
        <f t="shared" si="4"/>
        <v>0</v>
      </c>
      <c r="J10" s="32" t="b">
        <f t="shared" si="0"/>
        <v>0</v>
      </c>
    </row>
    <row r="11" spans="1:11">
      <c r="A11" s="27">
        <f t="shared" si="1"/>
        <v>10</v>
      </c>
      <c r="B11" s="34">
        <f t="shared" si="2"/>
        <v>0</v>
      </c>
      <c r="C11" s="27"/>
      <c r="D11" s="28"/>
      <c r="E11" s="28"/>
      <c r="F11" s="64"/>
      <c r="H11" s="32" t="b">
        <f t="shared" si="3"/>
        <v>0</v>
      </c>
      <c r="I11" s="32" t="b">
        <f t="shared" si="4"/>
        <v>0</v>
      </c>
      <c r="J11" s="32" t="b">
        <f t="shared" si="0"/>
        <v>0</v>
      </c>
    </row>
    <row r="12" spans="1:11">
      <c r="A12" s="27">
        <f t="shared" si="1"/>
        <v>11</v>
      </c>
      <c r="B12" s="34">
        <f t="shared" si="2"/>
        <v>0</v>
      </c>
      <c r="C12" s="27"/>
      <c r="D12" s="28"/>
      <c r="E12" s="28"/>
      <c r="F12" s="64"/>
      <c r="H12" s="32" t="b">
        <f t="shared" si="3"/>
        <v>0</v>
      </c>
      <c r="I12" s="32" t="b">
        <f t="shared" si="4"/>
        <v>0</v>
      </c>
      <c r="J12" s="32" t="b">
        <f t="shared" si="0"/>
        <v>0</v>
      </c>
    </row>
    <row r="13" spans="1:11">
      <c r="A13" s="27">
        <f t="shared" si="1"/>
        <v>12</v>
      </c>
      <c r="B13" s="34">
        <f t="shared" si="2"/>
        <v>0</v>
      </c>
      <c r="C13" s="27"/>
      <c r="D13" s="28"/>
      <c r="E13" s="28"/>
      <c r="F13" s="64"/>
      <c r="H13" s="32" t="b">
        <f t="shared" si="3"/>
        <v>0</v>
      </c>
      <c r="I13" s="32" t="b">
        <f t="shared" si="4"/>
        <v>0</v>
      </c>
      <c r="J13" s="32" t="b">
        <f t="shared" si="0"/>
        <v>0</v>
      </c>
    </row>
    <row r="14" spans="1:11">
      <c r="A14" s="27">
        <f t="shared" si="1"/>
        <v>13</v>
      </c>
      <c r="B14" s="34">
        <f t="shared" si="2"/>
        <v>0</v>
      </c>
      <c r="C14" s="27"/>
      <c r="D14" s="28"/>
      <c r="E14" s="28"/>
      <c r="F14" s="64"/>
      <c r="H14" s="32" t="b">
        <f t="shared" si="3"/>
        <v>0</v>
      </c>
      <c r="I14" s="32" t="b">
        <f t="shared" si="4"/>
        <v>0</v>
      </c>
      <c r="J14" s="32" t="b">
        <f t="shared" si="0"/>
        <v>0</v>
      </c>
    </row>
    <row r="15" spans="1:11">
      <c r="A15" s="27">
        <f t="shared" si="1"/>
        <v>14</v>
      </c>
      <c r="B15" s="34">
        <f t="shared" si="2"/>
        <v>0</v>
      </c>
      <c r="C15" s="27"/>
      <c r="D15" s="28"/>
      <c r="E15" s="28"/>
      <c r="F15" s="64"/>
      <c r="H15" s="32" t="b">
        <f t="shared" si="3"/>
        <v>0</v>
      </c>
      <c r="I15" s="32" t="b">
        <f t="shared" si="4"/>
        <v>0</v>
      </c>
      <c r="J15" s="32" t="b">
        <f t="shared" si="0"/>
        <v>0</v>
      </c>
    </row>
    <row r="16" spans="1:11">
      <c r="A16" s="27">
        <f t="shared" si="1"/>
        <v>15</v>
      </c>
      <c r="B16" s="34">
        <f t="shared" si="2"/>
        <v>0</v>
      </c>
      <c r="C16" s="27"/>
      <c r="D16" s="28"/>
      <c r="E16" s="28"/>
      <c r="F16" s="64"/>
      <c r="H16" s="32" t="b">
        <f t="shared" si="3"/>
        <v>0</v>
      </c>
      <c r="I16" s="32" t="b">
        <f t="shared" si="4"/>
        <v>0</v>
      </c>
      <c r="J16" s="32" t="b">
        <f t="shared" si="0"/>
        <v>0</v>
      </c>
    </row>
    <row r="17" spans="1:10">
      <c r="A17" s="27">
        <f t="shared" si="1"/>
        <v>16</v>
      </c>
      <c r="B17" s="34">
        <f t="shared" si="2"/>
        <v>0</v>
      </c>
      <c r="C17" s="27"/>
      <c r="D17" s="28"/>
      <c r="E17" s="28"/>
      <c r="F17" s="64"/>
      <c r="H17" s="32" t="b">
        <f t="shared" si="3"/>
        <v>0</v>
      </c>
      <c r="I17" s="32" t="b">
        <f t="shared" si="4"/>
        <v>0</v>
      </c>
      <c r="J17" s="32" t="b">
        <f t="shared" si="0"/>
        <v>0</v>
      </c>
    </row>
    <row r="18" spans="1:10">
      <c r="A18" s="27">
        <f t="shared" si="1"/>
        <v>17</v>
      </c>
      <c r="B18" s="34">
        <f t="shared" si="2"/>
        <v>0</v>
      </c>
      <c r="C18" s="37"/>
      <c r="D18" s="28"/>
      <c r="E18" s="28"/>
      <c r="F18" s="64"/>
      <c r="H18" s="32" t="b">
        <f t="shared" si="3"/>
        <v>0</v>
      </c>
      <c r="I18" s="32" t="b">
        <f t="shared" si="4"/>
        <v>0</v>
      </c>
      <c r="J18" s="32" t="b">
        <f t="shared" si="0"/>
        <v>0</v>
      </c>
    </row>
    <row r="19" spans="1:10">
      <c r="A19" s="27">
        <f t="shared" si="1"/>
        <v>18</v>
      </c>
      <c r="B19" s="34">
        <f t="shared" si="2"/>
        <v>0</v>
      </c>
      <c r="C19" s="27"/>
      <c r="D19" s="28"/>
      <c r="E19" s="28"/>
      <c r="F19" s="64"/>
      <c r="H19" s="32" t="b">
        <f t="shared" si="3"/>
        <v>0</v>
      </c>
      <c r="I19" s="32" t="b">
        <f t="shared" si="4"/>
        <v>0</v>
      </c>
      <c r="J19" s="32" t="b">
        <f t="shared" si="0"/>
        <v>0</v>
      </c>
    </row>
    <row r="20" spans="1:10">
      <c r="A20" s="27">
        <f t="shared" si="1"/>
        <v>19</v>
      </c>
      <c r="B20" s="34">
        <f t="shared" si="2"/>
        <v>0</v>
      </c>
      <c r="C20" s="27"/>
      <c r="D20" s="28"/>
      <c r="E20" s="28"/>
      <c r="F20" s="64"/>
      <c r="H20" s="32" t="b">
        <f t="shared" si="3"/>
        <v>0</v>
      </c>
      <c r="I20" s="32" t="b">
        <f t="shared" si="4"/>
        <v>0</v>
      </c>
      <c r="J20" s="32" t="b">
        <f t="shared" si="0"/>
        <v>0</v>
      </c>
    </row>
    <row r="21" spans="1:10">
      <c r="A21" s="27">
        <f t="shared" si="1"/>
        <v>20</v>
      </c>
      <c r="B21" s="34">
        <f t="shared" si="2"/>
        <v>0</v>
      </c>
      <c r="C21" s="27"/>
      <c r="D21" s="28"/>
      <c r="E21" s="28"/>
      <c r="F21" s="64"/>
      <c r="H21" s="32" t="b">
        <f t="shared" si="3"/>
        <v>0</v>
      </c>
      <c r="I21" s="32" t="b">
        <f t="shared" si="4"/>
        <v>0</v>
      </c>
      <c r="J21" s="32" t="b">
        <f t="shared" si="0"/>
        <v>0</v>
      </c>
    </row>
    <row r="22" spans="1:10">
      <c r="A22" s="27">
        <f t="shared" si="1"/>
        <v>21</v>
      </c>
      <c r="B22" s="34">
        <f t="shared" si="2"/>
        <v>0</v>
      </c>
      <c r="C22" s="27"/>
      <c r="D22" s="28"/>
      <c r="E22" s="28"/>
      <c r="F22" s="64"/>
      <c r="H22" s="32" t="b">
        <f t="shared" si="3"/>
        <v>0</v>
      </c>
      <c r="I22" s="32" t="b">
        <f t="shared" si="4"/>
        <v>0</v>
      </c>
      <c r="J22" s="32" t="b">
        <f t="shared" si="0"/>
        <v>0</v>
      </c>
    </row>
    <row r="23" spans="1:10">
      <c r="A23" s="27">
        <f t="shared" si="1"/>
        <v>22</v>
      </c>
      <c r="B23" s="34">
        <f t="shared" si="2"/>
        <v>0</v>
      </c>
      <c r="C23" s="27"/>
      <c r="D23" s="28"/>
      <c r="E23" s="28"/>
      <c r="F23" s="64"/>
      <c r="H23" s="32" t="b">
        <f t="shared" si="3"/>
        <v>0</v>
      </c>
      <c r="I23" s="32" t="b">
        <f t="shared" si="4"/>
        <v>0</v>
      </c>
      <c r="J23" s="32" t="b">
        <f t="shared" si="0"/>
        <v>0</v>
      </c>
    </row>
    <row r="24" spans="1:10">
      <c r="A24" s="27">
        <f t="shared" si="1"/>
        <v>23</v>
      </c>
      <c r="B24" s="34">
        <f t="shared" si="2"/>
        <v>0</v>
      </c>
      <c r="C24" s="27"/>
      <c r="D24" s="28"/>
      <c r="E24" s="28"/>
      <c r="F24" s="64"/>
      <c r="H24" s="32" t="b">
        <f t="shared" si="3"/>
        <v>0</v>
      </c>
      <c r="I24" s="32" t="b">
        <f t="shared" si="4"/>
        <v>0</v>
      </c>
      <c r="J24" s="32" t="b">
        <f t="shared" si="0"/>
        <v>0</v>
      </c>
    </row>
    <row r="25" spans="1:10">
      <c r="A25" s="27">
        <f t="shared" si="1"/>
        <v>24</v>
      </c>
      <c r="B25" s="34">
        <f t="shared" si="2"/>
        <v>0</v>
      </c>
      <c r="C25" s="27"/>
      <c r="D25" s="28"/>
      <c r="E25" s="28"/>
      <c r="F25" s="64"/>
      <c r="H25" s="32" t="b">
        <f t="shared" si="3"/>
        <v>0</v>
      </c>
      <c r="I25" s="32" t="b">
        <f t="shared" si="4"/>
        <v>0</v>
      </c>
      <c r="J25" s="32" t="b">
        <f t="shared" si="0"/>
        <v>0</v>
      </c>
    </row>
    <row r="26" spans="1:10">
      <c r="A26" s="27">
        <f t="shared" si="1"/>
        <v>25</v>
      </c>
      <c r="B26" s="34">
        <f t="shared" si="2"/>
        <v>0</v>
      </c>
      <c r="C26" s="27"/>
      <c r="D26" s="28"/>
      <c r="E26" s="28"/>
      <c r="F26" s="64"/>
      <c r="H26" s="32" t="b">
        <f t="shared" si="3"/>
        <v>0</v>
      </c>
      <c r="I26" s="32" t="b">
        <f t="shared" si="4"/>
        <v>0</v>
      </c>
      <c r="J26" s="32" t="b">
        <f t="shared" si="0"/>
        <v>0</v>
      </c>
    </row>
    <row r="27" spans="1:10">
      <c r="A27" s="27">
        <f t="shared" si="1"/>
        <v>26</v>
      </c>
      <c r="B27" s="34">
        <f t="shared" si="2"/>
        <v>0</v>
      </c>
      <c r="C27" s="27"/>
      <c r="D27" s="28"/>
      <c r="E27" s="28"/>
      <c r="F27" s="64"/>
      <c r="H27" s="32" t="b">
        <f t="shared" si="3"/>
        <v>0</v>
      </c>
      <c r="I27" s="32" t="b">
        <f t="shared" si="4"/>
        <v>0</v>
      </c>
      <c r="J27" s="32" t="b">
        <f t="shared" si="0"/>
        <v>0</v>
      </c>
    </row>
    <row r="28" spans="1:10">
      <c r="A28" s="27">
        <f t="shared" si="1"/>
        <v>27</v>
      </c>
      <c r="B28" s="34">
        <f t="shared" si="2"/>
        <v>0</v>
      </c>
      <c r="C28" s="27"/>
      <c r="D28" s="28"/>
      <c r="E28" s="28"/>
      <c r="F28" s="64"/>
      <c r="H28" s="32" t="b">
        <f t="shared" si="3"/>
        <v>0</v>
      </c>
      <c r="I28" s="32" t="b">
        <f t="shared" si="4"/>
        <v>0</v>
      </c>
      <c r="J28" s="32" t="b">
        <f t="shared" si="0"/>
        <v>0</v>
      </c>
    </row>
    <row r="29" spans="1:10">
      <c r="A29" s="27">
        <f t="shared" si="1"/>
        <v>28</v>
      </c>
      <c r="B29" s="34">
        <f t="shared" si="2"/>
        <v>0</v>
      </c>
      <c r="C29" s="27"/>
      <c r="D29" s="28"/>
      <c r="E29" s="28"/>
      <c r="F29" s="64"/>
      <c r="H29" s="32" t="b">
        <f t="shared" si="3"/>
        <v>0</v>
      </c>
      <c r="I29" s="32" t="b">
        <f t="shared" si="4"/>
        <v>0</v>
      </c>
      <c r="J29" s="32" t="b">
        <f t="shared" si="0"/>
        <v>0</v>
      </c>
    </row>
    <row r="30" spans="1:10">
      <c r="A30" s="27">
        <f t="shared" si="1"/>
        <v>29</v>
      </c>
      <c r="B30" s="34">
        <f t="shared" si="2"/>
        <v>0</v>
      </c>
      <c r="C30" s="27"/>
      <c r="D30" s="28"/>
      <c r="E30" s="28"/>
      <c r="F30" s="64"/>
      <c r="H30" s="32" t="b">
        <f t="shared" si="3"/>
        <v>0</v>
      </c>
      <c r="I30" s="32" t="b">
        <f t="shared" si="4"/>
        <v>0</v>
      </c>
      <c r="J30" s="32" t="b">
        <f t="shared" si="0"/>
        <v>0</v>
      </c>
    </row>
    <row r="31" spans="1:10">
      <c r="A31" s="27">
        <f t="shared" si="1"/>
        <v>30</v>
      </c>
      <c r="B31" s="34">
        <f t="shared" si="2"/>
        <v>0</v>
      </c>
      <c r="C31" s="27"/>
      <c r="D31" s="28"/>
      <c r="E31" s="28"/>
      <c r="F31" s="64"/>
      <c r="H31" s="32" t="b">
        <f t="shared" si="3"/>
        <v>0</v>
      </c>
      <c r="I31" s="32" t="b">
        <f t="shared" si="4"/>
        <v>0</v>
      </c>
      <c r="J31" s="32" t="b">
        <f t="shared" si="0"/>
        <v>0</v>
      </c>
    </row>
    <row r="32" spans="1:10">
      <c r="A32" s="27">
        <f t="shared" si="1"/>
        <v>31</v>
      </c>
      <c r="B32" s="34">
        <f t="shared" si="2"/>
        <v>0</v>
      </c>
      <c r="C32" s="27"/>
      <c r="D32" s="28"/>
      <c r="E32" s="28"/>
      <c r="F32" s="64"/>
      <c r="H32" s="32" t="b">
        <f t="shared" si="3"/>
        <v>0</v>
      </c>
      <c r="I32" s="32" t="b">
        <f t="shared" si="4"/>
        <v>0</v>
      </c>
      <c r="J32" s="32" t="b">
        <f t="shared" si="0"/>
        <v>0</v>
      </c>
    </row>
    <row r="33" spans="1:10">
      <c r="A33" s="27">
        <f t="shared" si="1"/>
        <v>32</v>
      </c>
      <c r="B33" s="34">
        <f t="shared" si="2"/>
        <v>0</v>
      </c>
      <c r="C33" s="27"/>
      <c r="D33" s="28"/>
      <c r="E33" s="28"/>
      <c r="F33" s="64"/>
      <c r="H33" s="32" t="b">
        <f t="shared" si="3"/>
        <v>0</v>
      </c>
      <c r="I33" s="32" t="b">
        <f t="shared" si="4"/>
        <v>0</v>
      </c>
      <c r="J33" s="32" t="b">
        <f t="shared" si="0"/>
        <v>0</v>
      </c>
    </row>
    <row r="34" spans="1:10">
      <c r="A34" s="27">
        <f t="shared" si="1"/>
        <v>33</v>
      </c>
      <c r="B34" s="34">
        <f t="shared" si="2"/>
        <v>0</v>
      </c>
      <c r="C34" s="27"/>
      <c r="D34" s="28"/>
      <c r="E34" s="28"/>
      <c r="F34" s="64"/>
      <c r="H34" s="32" t="b">
        <f t="shared" si="3"/>
        <v>0</v>
      </c>
      <c r="I34" s="32" t="b">
        <f t="shared" si="4"/>
        <v>0</v>
      </c>
      <c r="J34" s="32" t="b">
        <f t="shared" ref="J34:J65" si="5">OR(COUNTIF(テーブル一覧JP,D34)&gt;1,COUNTIF(テーブル一覧EN,E34)&gt;1)</f>
        <v>0</v>
      </c>
    </row>
    <row r="35" spans="1:10">
      <c r="A35" s="27">
        <f t="shared" si="1"/>
        <v>34</v>
      </c>
      <c r="B35" s="34">
        <f t="shared" si="2"/>
        <v>0</v>
      </c>
      <c r="C35" s="27"/>
      <c r="D35" s="28"/>
      <c r="E35" s="28"/>
      <c r="F35" s="64"/>
      <c r="H35" s="32" t="b">
        <f t="shared" si="3"/>
        <v>0</v>
      </c>
      <c r="I35" s="32" t="b">
        <f t="shared" si="4"/>
        <v>0</v>
      </c>
      <c r="J35" s="32" t="b">
        <f t="shared" si="5"/>
        <v>0</v>
      </c>
    </row>
    <row r="36" spans="1:10">
      <c r="A36" s="27">
        <f t="shared" si="1"/>
        <v>35</v>
      </c>
      <c r="B36" s="34">
        <f t="shared" si="2"/>
        <v>0</v>
      </c>
      <c r="C36" s="27"/>
      <c r="D36" s="28"/>
      <c r="E36" s="28"/>
      <c r="F36" s="64"/>
      <c r="H36" s="32" t="b">
        <f t="shared" si="3"/>
        <v>0</v>
      </c>
      <c r="I36" s="32" t="b">
        <f t="shared" si="4"/>
        <v>0</v>
      </c>
      <c r="J36" s="32" t="b">
        <f t="shared" si="5"/>
        <v>0</v>
      </c>
    </row>
    <row r="37" spans="1:10">
      <c r="A37" s="27">
        <f t="shared" si="1"/>
        <v>36</v>
      </c>
      <c r="B37" s="34">
        <f t="shared" si="2"/>
        <v>0</v>
      </c>
      <c r="C37" s="27"/>
      <c r="D37" s="28"/>
      <c r="E37" s="28"/>
      <c r="F37" s="64"/>
      <c r="H37" s="32" t="b">
        <f t="shared" si="3"/>
        <v>0</v>
      </c>
      <c r="I37" s="32" t="b">
        <f t="shared" si="4"/>
        <v>0</v>
      </c>
      <c r="J37" s="32" t="b">
        <f t="shared" si="5"/>
        <v>0</v>
      </c>
    </row>
    <row r="38" spans="1:10">
      <c r="A38" s="27">
        <f t="shared" si="1"/>
        <v>37</v>
      </c>
      <c r="B38" s="34">
        <f t="shared" si="2"/>
        <v>0</v>
      </c>
      <c r="C38" s="27"/>
      <c r="D38" s="28"/>
      <c r="E38" s="28"/>
      <c r="F38" s="64"/>
      <c r="H38" s="32" t="b">
        <f t="shared" si="3"/>
        <v>0</v>
      </c>
      <c r="I38" s="32" t="b">
        <f t="shared" si="4"/>
        <v>0</v>
      </c>
      <c r="J38" s="32" t="b">
        <f t="shared" si="5"/>
        <v>0</v>
      </c>
    </row>
    <row r="39" spans="1:10">
      <c r="A39" s="27">
        <f t="shared" si="1"/>
        <v>38</v>
      </c>
      <c r="B39" s="34">
        <f t="shared" si="2"/>
        <v>0</v>
      </c>
      <c r="C39" s="27"/>
      <c r="D39" s="28"/>
      <c r="E39" s="28"/>
      <c r="F39" s="64"/>
      <c r="H39" s="32" t="b">
        <f t="shared" si="3"/>
        <v>0</v>
      </c>
      <c r="I39" s="32" t="b">
        <f t="shared" si="4"/>
        <v>0</v>
      </c>
      <c r="J39" s="32" t="b">
        <f t="shared" si="5"/>
        <v>0</v>
      </c>
    </row>
    <row r="40" spans="1:10">
      <c r="A40" s="27">
        <f t="shared" si="1"/>
        <v>39</v>
      </c>
      <c r="B40" s="34">
        <f t="shared" si="2"/>
        <v>0</v>
      </c>
      <c r="C40" s="27"/>
      <c r="D40" s="28"/>
      <c r="E40" s="28"/>
      <c r="F40" s="64"/>
      <c r="H40" s="32" t="b">
        <f t="shared" si="3"/>
        <v>0</v>
      </c>
      <c r="I40" s="32" t="b">
        <f t="shared" si="4"/>
        <v>0</v>
      </c>
      <c r="J40" s="32" t="b">
        <f t="shared" si="5"/>
        <v>0</v>
      </c>
    </row>
    <row r="41" spans="1:10">
      <c r="A41" s="27">
        <f t="shared" si="1"/>
        <v>40</v>
      </c>
      <c r="B41" s="34">
        <f t="shared" si="2"/>
        <v>0</v>
      </c>
      <c r="C41" s="27"/>
      <c r="D41" s="28"/>
      <c r="E41" s="28"/>
      <c r="F41" s="64"/>
      <c r="H41" s="32" t="b">
        <f t="shared" si="3"/>
        <v>0</v>
      </c>
      <c r="I41" s="32" t="b">
        <f t="shared" si="4"/>
        <v>0</v>
      </c>
      <c r="J41" s="32" t="b">
        <f t="shared" si="5"/>
        <v>0</v>
      </c>
    </row>
    <row r="42" spans="1:10">
      <c r="A42" s="27">
        <f t="shared" si="1"/>
        <v>41</v>
      </c>
      <c r="B42" s="34">
        <f t="shared" si="2"/>
        <v>0</v>
      </c>
      <c r="C42" s="27"/>
      <c r="D42" s="28"/>
      <c r="E42" s="28"/>
      <c r="F42" s="64"/>
      <c r="H42" s="32" t="b">
        <f t="shared" si="3"/>
        <v>0</v>
      </c>
      <c r="I42" s="32" t="b">
        <f t="shared" si="4"/>
        <v>0</v>
      </c>
      <c r="J42" s="32" t="b">
        <f t="shared" si="5"/>
        <v>0</v>
      </c>
    </row>
    <row r="43" spans="1:10">
      <c r="A43" s="27">
        <f t="shared" si="1"/>
        <v>42</v>
      </c>
      <c r="B43" s="34">
        <f t="shared" si="2"/>
        <v>0</v>
      </c>
      <c r="C43" s="27"/>
      <c r="D43" s="28"/>
      <c r="E43" s="28"/>
      <c r="F43" s="64"/>
      <c r="H43" s="32" t="b">
        <f t="shared" si="3"/>
        <v>0</v>
      </c>
      <c r="I43" s="32" t="b">
        <f t="shared" si="4"/>
        <v>0</v>
      </c>
      <c r="J43" s="32" t="b">
        <f t="shared" si="5"/>
        <v>0</v>
      </c>
    </row>
    <row r="44" spans="1:10">
      <c r="A44" s="27">
        <f t="shared" si="1"/>
        <v>43</v>
      </c>
      <c r="B44" s="34">
        <f t="shared" si="2"/>
        <v>0</v>
      </c>
      <c r="C44" s="27"/>
      <c r="D44" s="28"/>
      <c r="E44" s="28"/>
      <c r="F44" s="64"/>
      <c r="H44" s="32" t="b">
        <f t="shared" si="3"/>
        <v>0</v>
      </c>
      <c r="I44" s="32" t="b">
        <f t="shared" si="4"/>
        <v>0</v>
      </c>
      <c r="J44" s="32" t="b">
        <f t="shared" si="5"/>
        <v>0</v>
      </c>
    </row>
    <row r="45" spans="1:10">
      <c r="A45" s="27">
        <f t="shared" si="1"/>
        <v>44</v>
      </c>
      <c r="B45" s="34">
        <f t="shared" si="2"/>
        <v>0</v>
      </c>
      <c r="C45" s="27"/>
      <c r="D45" s="28"/>
      <c r="E45" s="28"/>
      <c r="F45" s="64"/>
      <c r="H45" s="32" t="b">
        <f t="shared" si="3"/>
        <v>0</v>
      </c>
      <c r="I45" s="32" t="b">
        <f t="shared" si="4"/>
        <v>0</v>
      </c>
      <c r="J45" s="32" t="b">
        <f t="shared" si="5"/>
        <v>0</v>
      </c>
    </row>
    <row r="46" spans="1:10">
      <c r="A46" s="27">
        <f t="shared" si="1"/>
        <v>45</v>
      </c>
      <c r="B46" s="34">
        <f t="shared" si="2"/>
        <v>0</v>
      </c>
      <c r="C46" s="27"/>
      <c r="D46" s="28"/>
      <c r="E46" s="28"/>
      <c r="F46" s="64"/>
      <c r="H46" s="32" t="b">
        <f t="shared" si="3"/>
        <v>0</v>
      </c>
      <c r="I46" s="32" t="b">
        <f t="shared" si="4"/>
        <v>0</v>
      </c>
      <c r="J46" s="32" t="b">
        <f t="shared" si="5"/>
        <v>0</v>
      </c>
    </row>
    <row r="47" spans="1:10">
      <c r="A47" s="27">
        <f t="shared" si="1"/>
        <v>46</v>
      </c>
      <c r="B47" s="34">
        <f t="shared" si="2"/>
        <v>0</v>
      </c>
      <c r="C47" s="27"/>
      <c r="D47" s="28"/>
      <c r="E47" s="28"/>
      <c r="F47" s="64"/>
      <c r="H47" s="32" t="b">
        <f t="shared" si="3"/>
        <v>0</v>
      </c>
      <c r="I47" s="32" t="b">
        <f t="shared" si="4"/>
        <v>0</v>
      </c>
      <c r="J47" s="32" t="b">
        <f t="shared" si="5"/>
        <v>0</v>
      </c>
    </row>
    <row r="48" spans="1:10">
      <c r="A48" s="27">
        <f t="shared" si="1"/>
        <v>47</v>
      </c>
      <c r="B48" s="34">
        <f t="shared" si="2"/>
        <v>0</v>
      </c>
      <c r="C48" s="27"/>
      <c r="D48" s="28"/>
      <c r="E48" s="28"/>
      <c r="F48" s="64"/>
      <c r="H48" s="32" t="b">
        <f t="shared" si="3"/>
        <v>0</v>
      </c>
      <c r="I48" s="32" t="b">
        <f t="shared" si="4"/>
        <v>0</v>
      </c>
      <c r="J48" s="32" t="b">
        <f t="shared" si="5"/>
        <v>0</v>
      </c>
    </row>
    <row r="49" spans="1:10">
      <c r="A49" s="27">
        <f t="shared" si="1"/>
        <v>48</v>
      </c>
      <c r="B49" s="34">
        <f t="shared" si="2"/>
        <v>0</v>
      </c>
      <c r="C49" s="27"/>
      <c r="D49" s="28"/>
      <c r="E49" s="28"/>
      <c r="F49" s="64"/>
      <c r="H49" s="32" t="b">
        <f t="shared" si="3"/>
        <v>0</v>
      </c>
      <c r="I49" s="32" t="b">
        <f t="shared" si="4"/>
        <v>0</v>
      </c>
      <c r="J49" s="32" t="b">
        <f t="shared" si="5"/>
        <v>0</v>
      </c>
    </row>
    <row r="50" spans="1:10">
      <c r="A50" s="27">
        <f t="shared" si="1"/>
        <v>49</v>
      </c>
      <c r="B50" s="34">
        <f t="shared" si="2"/>
        <v>0</v>
      </c>
      <c r="C50" s="27"/>
      <c r="D50" s="28"/>
      <c r="E50" s="28"/>
      <c r="F50" s="64"/>
      <c r="H50" s="32" t="b">
        <f t="shared" si="3"/>
        <v>0</v>
      </c>
      <c r="I50" s="32" t="b">
        <f t="shared" si="4"/>
        <v>0</v>
      </c>
      <c r="J50" s="32" t="b">
        <f t="shared" si="5"/>
        <v>0</v>
      </c>
    </row>
    <row r="51" spans="1:10">
      <c r="A51" s="27">
        <f t="shared" si="1"/>
        <v>50</v>
      </c>
      <c r="B51" s="34">
        <f t="shared" si="2"/>
        <v>0</v>
      </c>
      <c r="C51" s="27"/>
      <c r="D51" s="28"/>
      <c r="E51" s="28"/>
      <c r="F51" s="64"/>
      <c r="H51" s="32" t="b">
        <f t="shared" si="3"/>
        <v>0</v>
      </c>
      <c r="I51" s="32" t="b">
        <f t="shared" si="4"/>
        <v>0</v>
      </c>
      <c r="J51" s="32" t="b">
        <f t="shared" si="5"/>
        <v>0</v>
      </c>
    </row>
    <row r="52" spans="1:10">
      <c r="A52" s="27">
        <f t="shared" si="1"/>
        <v>51</v>
      </c>
      <c r="B52" s="34">
        <f t="shared" si="2"/>
        <v>0</v>
      </c>
      <c r="C52" s="27"/>
      <c r="D52" s="28"/>
      <c r="E52" s="28"/>
      <c r="F52" s="64"/>
      <c r="H52" s="32" t="b">
        <f t="shared" si="3"/>
        <v>0</v>
      </c>
      <c r="I52" s="32" t="b">
        <f t="shared" si="4"/>
        <v>0</v>
      </c>
      <c r="J52" s="32" t="b">
        <f t="shared" si="5"/>
        <v>0</v>
      </c>
    </row>
    <row r="53" spans="1:10">
      <c r="A53" s="27">
        <f t="shared" si="1"/>
        <v>52</v>
      </c>
      <c r="B53" s="34">
        <f t="shared" si="2"/>
        <v>0</v>
      </c>
      <c r="C53" s="27"/>
      <c r="D53" s="28"/>
      <c r="E53" s="28"/>
      <c r="F53" s="64"/>
      <c r="H53" s="32" t="b">
        <f t="shared" si="3"/>
        <v>0</v>
      </c>
      <c r="I53" s="32" t="b">
        <f t="shared" si="4"/>
        <v>0</v>
      </c>
      <c r="J53" s="32" t="b">
        <f t="shared" si="5"/>
        <v>0</v>
      </c>
    </row>
    <row r="54" spans="1:10">
      <c r="A54" s="27">
        <f t="shared" si="1"/>
        <v>53</v>
      </c>
      <c r="B54" s="34">
        <f t="shared" si="2"/>
        <v>0</v>
      </c>
      <c r="C54" s="27"/>
      <c r="D54" s="28"/>
      <c r="E54" s="28"/>
      <c r="F54" s="64"/>
      <c r="H54" s="32" t="b">
        <f t="shared" si="3"/>
        <v>0</v>
      </c>
      <c r="I54" s="32" t="b">
        <f t="shared" si="4"/>
        <v>0</v>
      </c>
      <c r="J54" s="32" t="b">
        <f t="shared" si="5"/>
        <v>0</v>
      </c>
    </row>
    <row r="55" spans="1:10">
      <c r="A55" s="27">
        <f t="shared" si="1"/>
        <v>54</v>
      </c>
      <c r="B55" s="34">
        <f t="shared" si="2"/>
        <v>0</v>
      </c>
      <c r="C55" s="27"/>
      <c r="D55" s="28"/>
      <c r="E55" s="28"/>
      <c r="F55" s="64"/>
      <c r="H55" s="32" t="b">
        <f t="shared" si="3"/>
        <v>0</v>
      </c>
      <c r="I55" s="32" t="b">
        <f t="shared" si="4"/>
        <v>0</v>
      </c>
      <c r="J55" s="32" t="b">
        <f t="shared" si="5"/>
        <v>0</v>
      </c>
    </row>
    <row r="56" spans="1:10">
      <c r="A56" s="27">
        <f t="shared" si="1"/>
        <v>55</v>
      </c>
      <c r="B56" s="34">
        <f t="shared" si="2"/>
        <v>0</v>
      </c>
      <c r="C56" s="27"/>
      <c r="D56" s="28"/>
      <c r="E56" s="28"/>
      <c r="F56" s="64"/>
      <c r="H56" s="32" t="b">
        <f t="shared" si="3"/>
        <v>0</v>
      </c>
      <c r="I56" s="32" t="b">
        <f t="shared" si="4"/>
        <v>0</v>
      </c>
      <c r="J56" s="32" t="b">
        <f t="shared" si="5"/>
        <v>0</v>
      </c>
    </row>
    <row r="57" spans="1:10">
      <c r="A57" s="27">
        <f t="shared" si="1"/>
        <v>56</v>
      </c>
      <c r="B57" s="34">
        <f t="shared" si="2"/>
        <v>0</v>
      </c>
      <c r="C57" s="27"/>
      <c r="D57" s="28"/>
      <c r="E57" s="28"/>
      <c r="F57" s="64"/>
      <c r="H57" s="32" t="b">
        <f t="shared" si="3"/>
        <v>0</v>
      </c>
      <c r="I57" s="32" t="b">
        <f t="shared" si="4"/>
        <v>0</v>
      </c>
      <c r="J57" s="32" t="b">
        <f t="shared" si="5"/>
        <v>0</v>
      </c>
    </row>
    <row r="58" spans="1:10">
      <c r="A58" s="27">
        <f t="shared" si="1"/>
        <v>57</v>
      </c>
      <c r="B58" s="34">
        <f t="shared" si="2"/>
        <v>0</v>
      </c>
      <c r="C58" s="27"/>
      <c r="D58" s="28"/>
      <c r="E58" s="28"/>
      <c r="F58" s="64"/>
      <c r="H58" s="32" t="b">
        <f t="shared" si="3"/>
        <v>0</v>
      </c>
      <c r="I58" s="32" t="b">
        <f t="shared" si="4"/>
        <v>0</v>
      </c>
      <c r="J58" s="32" t="b">
        <f t="shared" si="5"/>
        <v>0</v>
      </c>
    </row>
    <row r="59" spans="1:10">
      <c r="A59" s="27">
        <f t="shared" si="1"/>
        <v>58</v>
      </c>
      <c r="B59" s="34">
        <f t="shared" si="2"/>
        <v>0</v>
      </c>
      <c r="C59" s="27"/>
      <c r="D59" s="28"/>
      <c r="E59" s="28"/>
      <c r="F59" s="64"/>
      <c r="H59" s="32" t="b">
        <f t="shared" si="3"/>
        <v>0</v>
      </c>
      <c r="I59" s="32" t="b">
        <f t="shared" si="4"/>
        <v>0</v>
      </c>
      <c r="J59" s="32" t="b">
        <f t="shared" si="5"/>
        <v>0</v>
      </c>
    </row>
    <row r="60" spans="1:10">
      <c r="A60" s="27">
        <f t="shared" si="1"/>
        <v>59</v>
      </c>
      <c r="B60" s="34">
        <f t="shared" si="2"/>
        <v>0</v>
      </c>
      <c r="C60" s="27"/>
      <c r="D60" s="28"/>
      <c r="E60" s="28"/>
      <c r="F60" s="64"/>
      <c r="H60" s="32" t="b">
        <f t="shared" si="3"/>
        <v>0</v>
      </c>
      <c r="I60" s="32" t="b">
        <f t="shared" si="4"/>
        <v>0</v>
      </c>
      <c r="J60" s="32" t="b">
        <f t="shared" si="5"/>
        <v>0</v>
      </c>
    </row>
    <row r="61" spans="1:10">
      <c r="A61" s="27">
        <f t="shared" si="1"/>
        <v>60</v>
      </c>
      <c r="B61" s="34">
        <f t="shared" si="2"/>
        <v>0</v>
      </c>
      <c r="C61" s="27"/>
      <c r="D61" s="28"/>
      <c r="E61" s="28"/>
      <c r="F61" s="64"/>
      <c r="H61" s="32" t="b">
        <f t="shared" si="3"/>
        <v>0</v>
      </c>
      <c r="I61" s="32" t="b">
        <f t="shared" si="4"/>
        <v>0</v>
      </c>
      <c r="J61" s="32" t="b">
        <f t="shared" si="5"/>
        <v>0</v>
      </c>
    </row>
    <row r="62" spans="1:10">
      <c r="A62" s="27">
        <f t="shared" si="1"/>
        <v>61</v>
      </c>
      <c r="B62" s="34">
        <f t="shared" si="2"/>
        <v>0</v>
      </c>
      <c r="C62" s="27"/>
      <c r="D62" s="28"/>
      <c r="E62" s="28"/>
      <c r="F62" s="64"/>
      <c r="H62" s="32" t="b">
        <f t="shared" si="3"/>
        <v>0</v>
      </c>
      <c r="I62" s="32" t="b">
        <f t="shared" si="4"/>
        <v>0</v>
      </c>
      <c r="J62" s="32" t="b">
        <f t="shared" si="5"/>
        <v>0</v>
      </c>
    </row>
    <row r="63" spans="1:10">
      <c r="A63" s="27">
        <f t="shared" si="1"/>
        <v>62</v>
      </c>
      <c r="B63" s="34">
        <f t="shared" si="2"/>
        <v>0</v>
      </c>
      <c r="C63" s="27"/>
      <c r="D63" s="28"/>
      <c r="E63" s="28"/>
      <c r="F63" s="64"/>
      <c r="H63" s="32" t="b">
        <f t="shared" si="3"/>
        <v>0</v>
      </c>
      <c r="I63" s="32" t="b">
        <f t="shared" si="4"/>
        <v>0</v>
      </c>
      <c r="J63" s="32" t="b">
        <f t="shared" si="5"/>
        <v>0</v>
      </c>
    </row>
    <row r="64" spans="1:10">
      <c r="A64" s="27">
        <f t="shared" si="1"/>
        <v>63</v>
      </c>
      <c r="B64" s="34">
        <f t="shared" si="2"/>
        <v>0</v>
      </c>
      <c r="C64" s="27"/>
      <c r="D64" s="28"/>
      <c r="E64" s="28"/>
      <c r="F64" s="64"/>
      <c r="H64" s="32" t="b">
        <f t="shared" si="3"/>
        <v>0</v>
      </c>
      <c r="I64" s="32" t="b">
        <f t="shared" si="4"/>
        <v>0</v>
      </c>
      <c r="J64" s="32" t="b">
        <f t="shared" si="5"/>
        <v>0</v>
      </c>
    </row>
    <row r="65" spans="1:10">
      <c r="A65" s="27">
        <f t="shared" si="1"/>
        <v>64</v>
      </c>
      <c r="B65" s="34">
        <f t="shared" si="2"/>
        <v>0</v>
      </c>
      <c r="C65" s="27"/>
      <c r="D65" s="28"/>
      <c r="E65" s="28"/>
      <c r="F65" s="64"/>
      <c r="H65" s="32" t="b">
        <f t="shared" si="3"/>
        <v>0</v>
      </c>
      <c r="I65" s="32" t="b">
        <f t="shared" si="4"/>
        <v>0</v>
      </c>
      <c r="J65" s="32" t="b">
        <f t="shared" si="5"/>
        <v>0</v>
      </c>
    </row>
    <row r="66" spans="1:10">
      <c r="A66" s="27">
        <f t="shared" si="1"/>
        <v>65</v>
      </c>
      <c r="B66" s="34">
        <f t="shared" si="2"/>
        <v>0</v>
      </c>
      <c r="C66" s="27"/>
      <c r="D66" s="28"/>
      <c r="E66" s="28"/>
      <c r="F66" s="64"/>
      <c r="H66" s="32" t="b">
        <f t="shared" si="3"/>
        <v>0</v>
      </c>
      <c r="I66" s="32" t="b">
        <f t="shared" si="4"/>
        <v>0</v>
      </c>
      <c r="J66" s="32" t="b">
        <f t="shared" ref="J66:J101" si="6">OR(COUNTIF(テーブル一覧JP,D66)&gt;1,COUNTIF(テーブル一覧EN,E66)&gt;1)</f>
        <v>0</v>
      </c>
    </row>
    <row r="67" spans="1:10">
      <c r="A67" s="27">
        <f t="shared" ref="A67:A101" si="7">ROW()-1</f>
        <v>66</v>
      </c>
      <c r="B67" s="34">
        <f t="shared" ref="B67:B101" si="8">IF(AND(I67,NOT(J67),NOT(H67)),1,0)</f>
        <v>0</v>
      </c>
      <c r="C67" s="27"/>
      <c r="D67" s="28"/>
      <c r="E67" s="28"/>
      <c r="F67" s="64"/>
      <c r="H67" s="32" t="b">
        <f t="shared" ref="H67:H101" si="9">NOT(C67="")</f>
        <v>0</v>
      </c>
      <c r="I67" s="32" t="b">
        <f t="shared" ref="I67:I101" si="10">AND(D67&lt;&gt;"",E67&lt;&gt;"")</f>
        <v>0</v>
      </c>
      <c r="J67" s="32" t="b">
        <f t="shared" si="6"/>
        <v>0</v>
      </c>
    </row>
    <row r="68" spans="1:10">
      <c r="A68" s="27">
        <f t="shared" si="7"/>
        <v>67</v>
      </c>
      <c r="B68" s="34">
        <f t="shared" si="8"/>
        <v>0</v>
      </c>
      <c r="C68" s="27"/>
      <c r="D68" s="28"/>
      <c r="E68" s="28"/>
      <c r="F68" s="64"/>
      <c r="H68" s="32" t="b">
        <f t="shared" si="9"/>
        <v>0</v>
      </c>
      <c r="I68" s="32" t="b">
        <f t="shared" si="10"/>
        <v>0</v>
      </c>
      <c r="J68" s="32" t="b">
        <f t="shared" si="6"/>
        <v>0</v>
      </c>
    </row>
    <row r="69" spans="1:10">
      <c r="A69" s="27">
        <f t="shared" si="7"/>
        <v>68</v>
      </c>
      <c r="B69" s="34">
        <f t="shared" si="8"/>
        <v>0</v>
      </c>
      <c r="C69" s="27"/>
      <c r="D69" s="28"/>
      <c r="E69" s="28"/>
      <c r="F69" s="64"/>
      <c r="H69" s="32" t="b">
        <f t="shared" si="9"/>
        <v>0</v>
      </c>
      <c r="I69" s="32" t="b">
        <f t="shared" si="10"/>
        <v>0</v>
      </c>
      <c r="J69" s="32" t="b">
        <f t="shared" si="6"/>
        <v>0</v>
      </c>
    </row>
    <row r="70" spans="1:10">
      <c r="A70" s="27">
        <f t="shared" si="7"/>
        <v>69</v>
      </c>
      <c r="B70" s="34">
        <f t="shared" si="8"/>
        <v>0</v>
      </c>
      <c r="C70" s="27"/>
      <c r="D70" s="28"/>
      <c r="E70" s="28"/>
      <c r="F70" s="64"/>
      <c r="H70" s="32" t="b">
        <f t="shared" si="9"/>
        <v>0</v>
      </c>
      <c r="I70" s="32" t="b">
        <f t="shared" si="10"/>
        <v>0</v>
      </c>
      <c r="J70" s="32" t="b">
        <f t="shared" si="6"/>
        <v>0</v>
      </c>
    </row>
    <row r="71" spans="1:10">
      <c r="A71" s="27">
        <f t="shared" si="7"/>
        <v>70</v>
      </c>
      <c r="B71" s="34">
        <f t="shared" si="8"/>
        <v>0</v>
      </c>
      <c r="C71" s="27"/>
      <c r="D71" s="28"/>
      <c r="E71" s="28"/>
      <c r="F71" s="64"/>
      <c r="H71" s="32" t="b">
        <f t="shared" si="9"/>
        <v>0</v>
      </c>
      <c r="I71" s="32" t="b">
        <f t="shared" si="10"/>
        <v>0</v>
      </c>
      <c r="J71" s="32" t="b">
        <f t="shared" si="6"/>
        <v>0</v>
      </c>
    </row>
    <row r="72" spans="1:10">
      <c r="A72" s="27">
        <f t="shared" si="7"/>
        <v>71</v>
      </c>
      <c r="B72" s="34">
        <f t="shared" si="8"/>
        <v>0</v>
      </c>
      <c r="C72" s="27"/>
      <c r="D72" s="28"/>
      <c r="E72" s="28"/>
      <c r="F72" s="64"/>
      <c r="H72" s="32" t="b">
        <f t="shared" si="9"/>
        <v>0</v>
      </c>
      <c r="I72" s="32" t="b">
        <f t="shared" si="10"/>
        <v>0</v>
      </c>
      <c r="J72" s="32" t="b">
        <f t="shared" si="6"/>
        <v>0</v>
      </c>
    </row>
    <row r="73" spans="1:10">
      <c r="A73" s="27">
        <f t="shared" si="7"/>
        <v>72</v>
      </c>
      <c r="B73" s="34">
        <f t="shared" si="8"/>
        <v>0</v>
      </c>
      <c r="C73" s="27"/>
      <c r="D73" s="28"/>
      <c r="E73" s="28"/>
      <c r="F73" s="64"/>
      <c r="H73" s="32" t="b">
        <f t="shared" si="9"/>
        <v>0</v>
      </c>
      <c r="I73" s="32" t="b">
        <f t="shared" si="10"/>
        <v>0</v>
      </c>
      <c r="J73" s="32" t="b">
        <f t="shared" si="6"/>
        <v>0</v>
      </c>
    </row>
    <row r="74" spans="1:10">
      <c r="A74" s="27">
        <f t="shared" si="7"/>
        <v>73</v>
      </c>
      <c r="B74" s="34">
        <f t="shared" si="8"/>
        <v>0</v>
      </c>
      <c r="C74" s="27"/>
      <c r="D74" s="28"/>
      <c r="E74" s="28"/>
      <c r="F74" s="64"/>
      <c r="H74" s="32" t="b">
        <f t="shared" si="9"/>
        <v>0</v>
      </c>
      <c r="I74" s="32" t="b">
        <f t="shared" si="10"/>
        <v>0</v>
      </c>
      <c r="J74" s="32" t="b">
        <f t="shared" si="6"/>
        <v>0</v>
      </c>
    </row>
    <row r="75" spans="1:10">
      <c r="A75" s="27">
        <f t="shared" si="7"/>
        <v>74</v>
      </c>
      <c r="B75" s="34">
        <f t="shared" si="8"/>
        <v>0</v>
      </c>
      <c r="C75" s="27"/>
      <c r="D75" s="28"/>
      <c r="E75" s="28"/>
      <c r="F75" s="64"/>
      <c r="H75" s="32" t="b">
        <f t="shared" si="9"/>
        <v>0</v>
      </c>
      <c r="I75" s="32" t="b">
        <f t="shared" si="10"/>
        <v>0</v>
      </c>
      <c r="J75" s="32" t="b">
        <f t="shared" si="6"/>
        <v>0</v>
      </c>
    </row>
    <row r="76" spans="1:10">
      <c r="A76" s="27">
        <f t="shared" si="7"/>
        <v>75</v>
      </c>
      <c r="B76" s="34">
        <f t="shared" si="8"/>
        <v>0</v>
      </c>
      <c r="C76" s="27"/>
      <c r="D76" s="28"/>
      <c r="E76" s="28"/>
      <c r="F76" s="64"/>
      <c r="H76" s="32" t="b">
        <f t="shared" si="9"/>
        <v>0</v>
      </c>
      <c r="I76" s="32" t="b">
        <f t="shared" si="10"/>
        <v>0</v>
      </c>
      <c r="J76" s="32" t="b">
        <f t="shared" si="6"/>
        <v>0</v>
      </c>
    </row>
    <row r="77" spans="1:10">
      <c r="A77" s="27">
        <f t="shared" si="7"/>
        <v>76</v>
      </c>
      <c r="B77" s="34">
        <f t="shared" si="8"/>
        <v>0</v>
      </c>
      <c r="C77" s="27"/>
      <c r="D77" s="28"/>
      <c r="E77" s="28"/>
      <c r="F77" s="64"/>
      <c r="H77" s="32" t="b">
        <f t="shared" si="9"/>
        <v>0</v>
      </c>
      <c r="I77" s="32" t="b">
        <f t="shared" si="10"/>
        <v>0</v>
      </c>
      <c r="J77" s="32" t="b">
        <f t="shared" si="6"/>
        <v>0</v>
      </c>
    </row>
    <row r="78" spans="1:10">
      <c r="A78" s="27">
        <f t="shared" si="7"/>
        <v>77</v>
      </c>
      <c r="B78" s="34">
        <f t="shared" si="8"/>
        <v>0</v>
      </c>
      <c r="C78" s="27"/>
      <c r="D78" s="28"/>
      <c r="E78" s="28"/>
      <c r="F78" s="64"/>
      <c r="H78" s="32" t="b">
        <f t="shared" si="9"/>
        <v>0</v>
      </c>
      <c r="I78" s="32" t="b">
        <f t="shared" si="10"/>
        <v>0</v>
      </c>
      <c r="J78" s="32" t="b">
        <f t="shared" si="6"/>
        <v>0</v>
      </c>
    </row>
    <row r="79" spans="1:10">
      <c r="A79" s="27">
        <f t="shared" si="7"/>
        <v>78</v>
      </c>
      <c r="B79" s="34">
        <f t="shared" si="8"/>
        <v>0</v>
      </c>
      <c r="C79" s="27"/>
      <c r="D79" s="28"/>
      <c r="E79" s="28"/>
      <c r="F79" s="64"/>
      <c r="H79" s="32" t="b">
        <f t="shared" si="9"/>
        <v>0</v>
      </c>
      <c r="I79" s="32" t="b">
        <f t="shared" si="10"/>
        <v>0</v>
      </c>
      <c r="J79" s="32" t="b">
        <f t="shared" si="6"/>
        <v>0</v>
      </c>
    </row>
    <row r="80" spans="1:10">
      <c r="A80" s="27">
        <f t="shared" si="7"/>
        <v>79</v>
      </c>
      <c r="B80" s="34">
        <f t="shared" si="8"/>
        <v>0</v>
      </c>
      <c r="C80" s="27"/>
      <c r="D80" s="28"/>
      <c r="E80" s="28"/>
      <c r="F80" s="64"/>
      <c r="H80" s="32" t="b">
        <f t="shared" si="9"/>
        <v>0</v>
      </c>
      <c r="I80" s="32" t="b">
        <f t="shared" si="10"/>
        <v>0</v>
      </c>
      <c r="J80" s="32" t="b">
        <f t="shared" si="6"/>
        <v>0</v>
      </c>
    </row>
    <row r="81" spans="1:10">
      <c r="A81" s="27">
        <f t="shared" si="7"/>
        <v>80</v>
      </c>
      <c r="B81" s="34">
        <f t="shared" si="8"/>
        <v>0</v>
      </c>
      <c r="C81" s="27"/>
      <c r="D81" s="28"/>
      <c r="E81" s="28"/>
      <c r="F81" s="64"/>
      <c r="H81" s="32" t="b">
        <f t="shared" si="9"/>
        <v>0</v>
      </c>
      <c r="I81" s="32" t="b">
        <f t="shared" si="10"/>
        <v>0</v>
      </c>
      <c r="J81" s="32" t="b">
        <f t="shared" si="6"/>
        <v>0</v>
      </c>
    </row>
    <row r="82" spans="1:10">
      <c r="A82" s="27">
        <f t="shared" si="7"/>
        <v>81</v>
      </c>
      <c r="B82" s="34">
        <f t="shared" si="8"/>
        <v>0</v>
      </c>
      <c r="C82" s="27"/>
      <c r="D82" s="28"/>
      <c r="E82" s="28"/>
      <c r="F82" s="64"/>
      <c r="H82" s="32" t="b">
        <f t="shared" si="9"/>
        <v>0</v>
      </c>
      <c r="I82" s="32" t="b">
        <f t="shared" si="10"/>
        <v>0</v>
      </c>
      <c r="J82" s="32" t="b">
        <f t="shared" si="6"/>
        <v>0</v>
      </c>
    </row>
    <row r="83" spans="1:10">
      <c r="A83" s="27">
        <f t="shared" si="7"/>
        <v>82</v>
      </c>
      <c r="B83" s="34">
        <f t="shared" si="8"/>
        <v>0</v>
      </c>
      <c r="C83" s="27"/>
      <c r="D83" s="28"/>
      <c r="E83" s="28"/>
      <c r="F83" s="64"/>
      <c r="H83" s="32" t="b">
        <f t="shared" si="9"/>
        <v>0</v>
      </c>
      <c r="I83" s="32" t="b">
        <f t="shared" si="10"/>
        <v>0</v>
      </c>
      <c r="J83" s="32" t="b">
        <f t="shared" si="6"/>
        <v>0</v>
      </c>
    </row>
    <row r="84" spans="1:10">
      <c r="A84" s="27">
        <f t="shared" si="7"/>
        <v>83</v>
      </c>
      <c r="B84" s="34">
        <f t="shared" si="8"/>
        <v>0</v>
      </c>
      <c r="C84" s="27"/>
      <c r="D84" s="28"/>
      <c r="E84" s="28"/>
      <c r="F84" s="64"/>
      <c r="H84" s="32" t="b">
        <f t="shared" si="9"/>
        <v>0</v>
      </c>
      <c r="I84" s="32" t="b">
        <f t="shared" si="10"/>
        <v>0</v>
      </c>
      <c r="J84" s="32" t="b">
        <f t="shared" si="6"/>
        <v>0</v>
      </c>
    </row>
    <row r="85" spans="1:10">
      <c r="A85" s="27">
        <f t="shared" si="7"/>
        <v>84</v>
      </c>
      <c r="B85" s="34">
        <f t="shared" si="8"/>
        <v>0</v>
      </c>
      <c r="C85" s="27"/>
      <c r="D85" s="28"/>
      <c r="E85" s="28"/>
      <c r="F85" s="64"/>
      <c r="H85" s="32" t="b">
        <f t="shared" si="9"/>
        <v>0</v>
      </c>
      <c r="I85" s="32" t="b">
        <f t="shared" si="10"/>
        <v>0</v>
      </c>
      <c r="J85" s="32" t="b">
        <f t="shared" si="6"/>
        <v>0</v>
      </c>
    </row>
    <row r="86" spans="1:10">
      <c r="A86" s="27">
        <f t="shared" si="7"/>
        <v>85</v>
      </c>
      <c r="B86" s="34">
        <f t="shared" si="8"/>
        <v>0</v>
      </c>
      <c r="C86" s="27"/>
      <c r="D86" s="28"/>
      <c r="E86" s="28"/>
      <c r="F86" s="64"/>
      <c r="H86" s="32" t="b">
        <f t="shared" si="9"/>
        <v>0</v>
      </c>
      <c r="I86" s="32" t="b">
        <f t="shared" si="10"/>
        <v>0</v>
      </c>
      <c r="J86" s="32" t="b">
        <f t="shared" si="6"/>
        <v>0</v>
      </c>
    </row>
    <row r="87" spans="1:10">
      <c r="A87" s="27">
        <f t="shared" si="7"/>
        <v>86</v>
      </c>
      <c r="B87" s="34">
        <f t="shared" si="8"/>
        <v>0</v>
      </c>
      <c r="C87" s="27"/>
      <c r="D87" s="28"/>
      <c r="E87" s="28"/>
      <c r="F87" s="64"/>
      <c r="H87" s="32" t="b">
        <f t="shared" si="9"/>
        <v>0</v>
      </c>
      <c r="I87" s="32" t="b">
        <f t="shared" si="10"/>
        <v>0</v>
      </c>
      <c r="J87" s="32" t="b">
        <f t="shared" si="6"/>
        <v>0</v>
      </c>
    </row>
    <row r="88" spans="1:10">
      <c r="A88" s="27">
        <f t="shared" si="7"/>
        <v>87</v>
      </c>
      <c r="B88" s="34">
        <f t="shared" si="8"/>
        <v>0</v>
      </c>
      <c r="C88" s="27"/>
      <c r="D88" s="28"/>
      <c r="E88" s="28"/>
      <c r="F88" s="64"/>
      <c r="H88" s="32" t="b">
        <f t="shared" si="9"/>
        <v>0</v>
      </c>
      <c r="I88" s="32" t="b">
        <f t="shared" si="10"/>
        <v>0</v>
      </c>
      <c r="J88" s="32" t="b">
        <f t="shared" si="6"/>
        <v>0</v>
      </c>
    </row>
    <row r="89" spans="1:10">
      <c r="A89" s="27">
        <f t="shared" si="7"/>
        <v>88</v>
      </c>
      <c r="B89" s="34">
        <f t="shared" si="8"/>
        <v>0</v>
      </c>
      <c r="C89" s="27"/>
      <c r="D89" s="28"/>
      <c r="E89" s="28"/>
      <c r="F89" s="64"/>
      <c r="H89" s="32" t="b">
        <f t="shared" si="9"/>
        <v>0</v>
      </c>
      <c r="I89" s="32" t="b">
        <f t="shared" si="10"/>
        <v>0</v>
      </c>
      <c r="J89" s="32" t="b">
        <f t="shared" si="6"/>
        <v>0</v>
      </c>
    </row>
    <row r="90" spans="1:10">
      <c r="A90" s="27">
        <f t="shared" si="7"/>
        <v>89</v>
      </c>
      <c r="B90" s="34">
        <f t="shared" si="8"/>
        <v>0</v>
      </c>
      <c r="C90" s="27"/>
      <c r="D90" s="28"/>
      <c r="E90" s="28"/>
      <c r="F90" s="64"/>
      <c r="H90" s="32" t="b">
        <f t="shared" si="9"/>
        <v>0</v>
      </c>
      <c r="I90" s="32" t="b">
        <f t="shared" si="10"/>
        <v>0</v>
      </c>
      <c r="J90" s="32" t="b">
        <f t="shared" si="6"/>
        <v>0</v>
      </c>
    </row>
    <row r="91" spans="1:10">
      <c r="A91" s="27">
        <f t="shared" si="7"/>
        <v>90</v>
      </c>
      <c r="B91" s="34">
        <f t="shared" si="8"/>
        <v>0</v>
      </c>
      <c r="C91" s="27"/>
      <c r="D91" s="28"/>
      <c r="E91" s="28"/>
      <c r="F91" s="64"/>
      <c r="H91" s="32" t="b">
        <f t="shared" si="9"/>
        <v>0</v>
      </c>
      <c r="I91" s="32" t="b">
        <f t="shared" si="10"/>
        <v>0</v>
      </c>
      <c r="J91" s="32" t="b">
        <f t="shared" si="6"/>
        <v>0</v>
      </c>
    </row>
    <row r="92" spans="1:10">
      <c r="A92" s="27">
        <f t="shared" si="7"/>
        <v>91</v>
      </c>
      <c r="B92" s="34">
        <f t="shared" si="8"/>
        <v>0</v>
      </c>
      <c r="C92" s="27"/>
      <c r="D92" s="28"/>
      <c r="E92" s="28"/>
      <c r="F92" s="64"/>
      <c r="H92" s="32" t="b">
        <f t="shared" si="9"/>
        <v>0</v>
      </c>
      <c r="I92" s="32" t="b">
        <f t="shared" si="10"/>
        <v>0</v>
      </c>
      <c r="J92" s="32" t="b">
        <f t="shared" si="6"/>
        <v>0</v>
      </c>
    </row>
    <row r="93" spans="1:10">
      <c r="A93" s="27">
        <f t="shared" si="7"/>
        <v>92</v>
      </c>
      <c r="B93" s="34">
        <f t="shared" si="8"/>
        <v>0</v>
      </c>
      <c r="C93" s="27"/>
      <c r="D93" s="28"/>
      <c r="E93" s="28"/>
      <c r="F93" s="64"/>
      <c r="H93" s="32" t="b">
        <f t="shared" si="9"/>
        <v>0</v>
      </c>
      <c r="I93" s="32" t="b">
        <f t="shared" si="10"/>
        <v>0</v>
      </c>
      <c r="J93" s="32" t="b">
        <f t="shared" si="6"/>
        <v>0</v>
      </c>
    </row>
    <row r="94" spans="1:10">
      <c r="A94" s="27">
        <f t="shared" si="7"/>
        <v>93</v>
      </c>
      <c r="B94" s="34">
        <f t="shared" si="8"/>
        <v>0</v>
      </c>
      <c r="C94" s="27"/>
      <c r="D94" s="28"/>
      <c r="E94" s="28"/>
      <c r="F94" s="64"/>
      <c r="H94" s="32" t="b">
        <f t="shared" si="9"/>
        <v>0</v>
      </c>
      <c r="I94" s="32" t="b">
        <f t="shared" si="10"/>
        <v>0</v>
      </c>
      <c r="J94" s="32" t="b">
        <f t="shared" si="6"/>
        <v>0</v>
      </c>
    </row>
    <row r="95" spans="1:10">
      <c r="A95" s="27">
        <f t="shared" si="7"/>
        <v>94</v>
      </c>
      <c r="B95" s="34">
        <f t="shared" si="8"/>
        <v>0</v>
      </c>
      <c r="C95" s="27"/>
      <c r="D95" s="28"/>
      <c r="E95" s="28"/>
      <c r="F95" s="64"/>
      <c r="H95" s="32" t="b">
        <f t="shared" si="9"/>
        <v>0</v>
      </c>
      <c r="I95" s="32" t="b">
        <f t="shared" si="10"/>
        <v>0</v>
      </c>
      <c r="J95" s="32" t="b">
        <f t="shared" si="6"/>
        <v>0</v>
      </c>
    </row>
    <row r="96" spans="1:10">
      <c r="A96" s="27">
        <f t="shared" si="7"/>
        <v>95</v>
      </c>
      <c r="B96" s="34">
        <f t="shared" si="8"/>
        <v>0</v>
      </c>
      <c r="C96" s="27"/>
      <c r="D96" s="28"/>
      <c r="E96" s="28"/>
      <c r="F96" s="64"/>
      <c r="H96" s="32" t="b">
        <f t="shared" si="9"/>
        <v>0</v>
      </c>
      <c r="I96" s="32" t="b">
        <f t="shared" si="10"/>
        <v>0</v>
      </c>
      <c r="J96" s="32" t="b">
        <f t="shared" si="6"/>
        <v>0</v>
      </c>
    </row>
    <row r="97" spans="1:10">
      <c r="A97" s="27">
        <f t="shared" si="7"/>
        <v>96</v>
      </c>
      <c r="B97" s="34">
        <f t="shared" si="8"/>
        <v>0</v>
      </c>
      <c r="C97" s="27"/>
      <c r="D97" s="28"/>
      <c r="E97" s="28"/>
      <c r="F97" s="64"/>
      <c r="H97" s="32" t="b">
        <f t="shared" si="9"/>
        <v>0</v>
      </c>
      <c r="I97" s="32" t="b">
        <f t="shared" si="10"/>
        <v>0</v>
      </c>
      <c r="J97" s="32" t="b">
        <f t="shared" si="6"/>
        <v>0</v>
      </c>
    </row>
    <row r="98" spans="1:10">
      <c r="A98" s="27">
        <f t="shared" si="7"/>
        <v>97</v>
      </c>
      <c r="B98" s="34">
        <f t="shared" si="8"/>
        <v>0</v>
      </c>
      <c r="C98" s="27"/>
      <c r="D98" s="28"/>
      <c r="E98" s="28"/>
      <c r="F98" s="64"/>
      <c r="H98" s="32" t="b">
        <f t="shared" si="9"/>
        <v>0</v>
      </c>
      <c r="I98" s="32" t="b">
        <f t="shared" si="10"/>
        <v>0</v>
      </c>
      <c r="J98" s="32" t="b">
        <f t="shared" si="6"/>
        <v>0</v>
      </c>
    </row>
    <row r="99" spans="1:10">
      <c r="A99" s="27">
        <f t="shared" si="7"/>
        <v>98</v>
      </c>
      <c r="B99" s="34">
        <f t="shared" si="8"/>
        <v>0</v>
      </c>
      <c r="C99" s="27"/>
      <c r="D99" s="28"/>
      <c r="E99" s="28"/>
      <c r="F99" s="64"/>
      <c r="H99" s="32" t="b">
        <f t="shared" si="9"/>
        <v>0</v>
      </c>
      <c r="I99" s="32" t="b">
        <f t="shared" si="10"/>
        <v>0</v>
      </c>
      <c r="J99" s="32" t="b">
        <f t="shared" si="6"/>
        <v>0</v>
      </c>
    </row>
    <row r="100" spans="1:10">
      <c r="A100" s="27">
        <f t="shared" si="7"/>
        <v>99</v>
      </c>
      <c r="B100" s="34">
        <f t="shared" si="8"/>
        <v>0</v>
      </c>
      <c r="C100" s="27"/>
      <c r="D100" s="28"/>
      <c r="E100" s="28"/>
      <c r="F100" s="64"/>
      <c r="H100" s="32" t="b">
        <f t="shared" si="9"/>
        <v>0</v>
      </c>
      <c r="I100" s="32" t="b">
        <f t="shared" si="10"/>
        <v>0</v>
      </c>
      <c r="J100" s="32" t="b">
        <f t="shared" si="6"/>
        <v>0</v>
      </c>
    </row>
    <row r="101" spans="1:10">
      <c r="A101" s="29">
        <f t="shared" si="7"/>
        <v>100</v>
      </c>
      <c r="B101" s="35">
        <f t="shared" si="8"/>
        <v>0</v>
      </c>
      <c r="C101" s="29"/>
      <c r="D101" s="30"/>
      <c r="E101" s="30"/>
      <c r="F101" s="65"/>
      <c r="H101" s="32" t="b">
        <f t="shared" si="9"/>
        <v>0</v>
      </c>
      <c r="I101" s="32" t="b">
        <f t="shared" si="10"/>
        <v>0</v>
      </c>
      <c r="J101" s="32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584F2541-3CEE-4705-A9CB-6124DB29F31D}"/>
    <hyperlink ref="C3" location="'受注'!A1" display="受注" xr:uid="{74F23AB0-50D3-4F9C-ACBD-37B7EA34A637}"/>
    <hyperlink ref="C4" location="'受注明細'!A1" display="受注明細" xr:uid="{345D41E8-E075-4B24-857D-C6736BF7D31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1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/>
      <c r="C2" s="24"/>
      <c r="D2" s="38"/>
      <c r="G2" s="45"/>
      <c r="AF2" s="9" t="s">
        <v>18</v>
      </c>
      <c r="AG2" s="9" t="b">
        <f>OR(テーブルJP="",テーブルEN="")</f>
        <v>1</v>
      </c>
    </row>
    <row r="3" spans="1:41">
      <c r="AE3" s="9" t="s">
        <v>9</v>
      </c>
      <c r="AF3" s="9" t="s">
        <v>48</v>
      </c>
      <c r="AG3" s="9" t="b">
        <f>テーブル項目START="N/A"</f>
        <v>1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/>
      <c r="C6" s="39" t="str">
        <f t="shared" ref="C6:C37" ca="1" si="0">IFERROR(VLOOKUP(B6,項目DATA,2,FALSE),"")</f>
        <v/>
      </c>
      <c r="D6" s="39" t="str">
        <f t="shared" ref="D6:D37" ca="1" si="1">IFERROR(VLOOKUP(B6,項目DATA,3,FALSE),"")</f>
        <v/>
      </c>
      <c r="E6" s="55"/>
      <c r="F6" s="49"/>
      <c r="G6" s="42" t="str">
        <f ca="1">IFERROR(VLOOKUP(B6,項目DATA,4,FALSE),"")</f>
        <v/>
      </c>
      <c r="H6" s="13" t="str">
        <f t="shared" ref="H6:H37" ca="1" si="2">IFERROR(VLOOKUP(B6,項目DATA,5,FALSE),"")</f>
        <v/>
      </c>
      <c r="I6" s="13" t="str">
        <f t="shared" ref="I6:I37" ca="1" si="3">IFERROR(VLOOKUP(B6,項目DATA,6,FALSE),"")</f>
        <v/>
      </c>
      <c r="K6" s="58" t="s">
        <v>139</v>
      </c>
      <c r="T6" s="23" t="b">
        <f t="shared" ref="T6:T37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100</v>
      </c>
    </row>
    <row r="7" spans="1:41">
      <c r="A7" s="53">
        <v>2</v>
      </c>
      <c r="B7" s="47"/>
      <c r="C7" s="40" t="str">
        <f t="shared" ca="1" si="0"/>
        <v/>
      </c>
      <c r="D7" s="40" t="str">
        <f t="shared" ca="1" si="1"/>
        <v/>
      </c>
      <c r="E7" s="56"/>
      <c r="F7" s="50"/>
      <c r="G7" s="43" t="str">
        <f t="shared" ref="G7:G37" ca="1" si="7">IFERROR(VLOOKUP(B7,項目DATA,4,FALSE),"")</f>
        <v/>
      </c>
      <c r="H7" s="14" t="str">
        <f t="shared" ca="1" si="2"/>
        <v/>
      </c>
      <c r="I7" s="14" t="str">
        <f t="shared" ca="1" si="3"/>
        <v/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1</v>
      </c>
      <c r="AI7" s="75"/>
    </row>
    <row r="8" spans="1:41">
      <c r="A8" s="53">
        <v>3</v>
      </c>
      <c r="B8" s="47"/>
      <c r="C8" s="40" t="str">
        <f t="shared" ca="1" si="0"/>
        <v/>
      </c>
      <c r="D8" s="40" t="str">
        <f t="shared" ca="1" si="1"/>
        <v/>
      </c>
      <c r="E8" s="56"/>
      <c r="F8" s="50"/>
      <c r="G8" s="43" t="str">
        <f t="shared" ca="1" si="7"/>
        <v/>
      </c>
      <c r="H8" s="14" t="str">
        <f t="shared" ca="1" si="2"/>
        <v/>
      </c>
      <c r="I8" s="14" t="str">
        <f t="shared" ca="1" si="3"/>
        <v/>
      </c>
      <c r="K8" s="69" t="s">
        <v>15</v>
      </c>
      <c r="L8" s="59"/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/>
      <c r="AK8" s="75" t="e">
        <f ca="1">VLOOKUP(L8,テーブル項目ALL,2,FALSE)</f>
        <v>#N/A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/>
      <c r="C9" s="40" t="str">
        <f t="shared" ca="1" si="0"/>
        <v/>
      </c>
      <c r="D9" s="40" t="str">
        <f t="shared" ca="1" si="1"/>
        <v/>
      </c>
      <c r="E9" s="56"/>
      <c r="F9" s="50"/>
      <c r="G9" s="43" t="str">
        <f t="shared" ca="1" si="7"/>
        <v/>
      </c>
      <c r="H9" s="14" t="str">
        <f t="shared" ca="1" si="2"/>
        <v/>
      </c>
      <c r="I9" s="14" t="str">
        <f t="shared" ca="1" si="3"/>
        <v/>
      </c>
      <c r="K9" s="71" t="s">
        <v>140</v>
      </c>
      <c r="L9" s="72" t="str">
        <f ca="1">IFERROR(VLOOKUP(L8,テーブル項目ALL,4,FALSE),"")</f>
        <v/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/>
    </row>
    <row r="10" spans="1:41">
      <c r="A10" s="53">
        <v>5</v>
      </c>
      <c r="B10" s="47"/>
      <c r="C10" s="40" t="str">
        <f t="shared" ca="1" si="0"/>
        <v/>
      </c>
      <c r="D10" s="40" t="str">
        <f t="shared" ca="1" si="1"/>
        <v/>
      </c>
      <c r="E10" s="56"/>
      <c r="F10" s="50"/>
      <c r="G10" s="43" t="str">
        <f t="shared" ca="1" si="7"/>
        <v/>
      </c>
      <c r="H10" s="14" t="str">
        <f t="shared" ca="1" si="2"/>
        <v/>
      </c>
      <c r="I10" s="14" t="str">
        <f t="shared" ca="1" si="3"/>
        <v/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/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ref="C38:C69" ca="1" si="20">IFERROR(VLOOKUP(B38,項目DATA,2,FALSE),"")</f>
        <v/>
      </c>
      <c r="D38" s="40" t="str">
        <f t="shared" ref="D38:D69" ca="1" si="21">IFERROR(VLOOKUP(B38,項目DATA,3,FALSE),"")</f>
        <v/>
      </c>
      <c r="E38" s="56"/>
      <c r="F38" s="50"/>
      <c r="G38" s="43" t="str">
        <f t="shared" ref="G38:G69" ca="1" si="22">IFERROR(VLOOKUP(B38,項目DATA,4,FALSE),"")</f>
        <v/>
      </c>
      <c r="H38" s="14" t="str">
        <f t="shared" ref="H38:H69" ca="1" si="23">IFERROR(VLOOKUP(B38,項目DATA,5,FALSE),"")</f>
        <v/>
      </c>
      <c r="I38" s="14" t="str">
        <f t="shared" ref="I38:I69" ca="1" si="24">IFERROR(VLOOKUP(B38,項目DATA,6,FALSE),"")</f>
        <v/>
      </c>
      <c r="T38" s="23" t="b">
        <f t="shared" ref="T38:T69" ca="1" si="25">AND(B38&lt;&gt;"",ISNA(MATCH(B38,項目KEY,0)))</f>
        <v>0</v>
      </c>
      <c r="U38" s="23" t="b">
        <f t="shared" ref="U38:U69" si="26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20"/>
        <v/>
      </c>
      <c r="D39" s="40" t="str">
        <f t="shared" ca="1" si="21"/>
        <v/>
      </c>
      <c r="E39" s="56"/>
      <c r="F39" s="50"/>
      <c r="G39" s="43" t="str">
        <f t="shared" ca="1" si="22"/>
        <v/>
      </c>
      <c r="H39" s="14" t="str">
        <f t="shared" ca="1" si="23"/>
        <v/>
      </c>
      <c r="I39" s="14" t="str">
        <f t="shared" ca="1" si="24"/>
        <v/>
      </c>
      <c r="T39" s="23" t="b">
        <f t="shared" ca="1" si="25"/>
        <v>0</v>
      </c>
      <c r="U39" s="23" t="b">
        <f t="shared" si="26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20"/>
        <v/>
      </c>
      <c r="D40" s="40" t="str">
        <f t="shared" ca="1" si="21"/>
        <v/>
      </c>
      <c r="E40" s="56"/>
      <c r="F40" s="50"/>
      <c r="G40" s="43" t="str">
        <f t="shared" ca="1" si="22"/>
        <v/>
      </c>
      <c r="H40" s="14" t="str">
        <f t="shared" ca="1" si="23"/>
        <v/>
      </c>
      <c r="I40" s="14" t="str">
        <f t="shared" ca="1" si="24"/>
        <v/>
      </c>
      <c r="T40" s="23" t="b">
        <f t="shared" ca="1" si="25"/>
        <v>0</v>
      </c>
      <c r="U40" s="23" t="b">
        <f t="shared" si="26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20"/>
        <v/>
      </c>
      <c r="D41" s="40" t="str">
        <f t="shared" ca="1" si="21"/>
        <v/>
      </c>
      <c r="E41" s="56"/>
      <c r="F41" s="50"/>
      <c r="G41" s="43" t="str">
        <f t="shared" ca="1" si="22"/>
        <v/>
      </c>
      <c r="H41" s="14" t="str">
        <f t="shared" ca="1" si="23"/>
        <v/>
      </c>
      <c r="I41" s="14" t="str">
        <f t="shared" ca="1" si="24"/>
        <v/>
      </c>
      <c r="T41" s="23" t="b">
        <f t="shared" ca="1" si="25"/>
        <v>0</v>
      </c>
      <c r="U41" s="23" t="b">
        <f t="shared" si="26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20"/>
        <v/>
      </c>
      <c r="D42" s="40" t="str">
        <f t="shared" ca="1" si="21"/>
        <v/>
      </c>
      <c r="E42" s="56"/>
      <c r="F42" s="50"/>
      <c r="G42" s="43" t="str">
        <f t="shared" ca="1" si="22"/>
        <v/>
      </c>
      <c r="H42" s="14" t="str">
        <f t="shared" ca="1" si="23"/>
        <v/>
      </c>
      <c r="I42" s="14" t="str">
        <f t="shared" ca="1" si="24"/>
        <v/>
      </c>
      <c r="T42" s="23" t="b">
        <f t="shared" ca="1" si="25"/>
        <v>0</v>
      </c>
      <c r="U42" s="23" t="b">
        <f t="shared" si="26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20"/>
        <v/>
      </c>
      <c r="D43" s="40" t="str">
        <f t="shared" ca="1" si="21"/>
        <v/>
      </c>
      <c r="E43" s="56"/>
      <c r="F43" s="50"/>
      <c r="G43" s="43" t="str">
        <f t="shared" ca="1" si="22"/>
        <v/>
      </c>
      <c r="H43" s="14" t="str">
        <f t="shared" ca="1" si="23"/>
        <v/>
      </c>
      <c r="I43" s="14" t="str">
        <f t="shared" ca="1" si="24"/>
        <v/>
      </c>
      <c r="T43" s="23" t="b">
        <f t="shared" ca="1" si="25"/>
        <v>0</v>
      </c>
      <c r="U43" s="23" t="b">
        <f t="shared" si="26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20"/>
        <v/>
      </c>
      <c r="D44" s="40" t="str">
        <f t="shared" ca="1" si="21"/>
        <v/>
      </c>
      <c r="E44" s="56"/>
      <c r="F44" s="50"/>
      <c r="G44" s="43" t="str">
        <f t="shared" ca="1" si="22"/>
        <v/>
      </c>
      <c r="H44" s="14" t="str">
        <f t="shared" ca="1" si="23"/>
        <v/>
      </c>
      <c r="I44" s="14" t="str">
        <f t="shared" ca="1" si="24"/>
        <v/>
      </c>
      <c r="T44" s="23" t="b">
        <f t="shared" ca="1" si="25"/>
        <v>0</v>
      </c>
      <c r="U44" s="23" t="b">
        <f t="shared" si="26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20"/>
        <v/>
      </c>
      <c r="D45" s="40" t="str">
        <f t="shared" ca="1" si="21"/>
        <v/>
      </c>
      <c r="E45" s="56"/>
      <c r="F45" s="50"/>
      <c r="G45" s="43" t="str">
        <f t="shared" ca="1" si="22"/>
        <v/>
      </c>
      <c r="H45" s="14" t="str">
        <f t="shared" ca="1" si="23"/>
        <v/>
      </c>
      <c r="I45" s="14" t="str">
        <f t="shared" ca="1" si="24"/>
        <v/>
      </c>
      <c r="T45" s="23" t="b">
        <f t="shared" ca="1" si="25"/>
        <v>0</v>
      </c>
      <c r="U45" s="23" t="b">
        <f t="shared" si="26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20"/>
        <v/>
      </c>
      <c r="D46" s="40" t="str">
        <f t="shared" ca="1" si="21"/>
        <v/>
      </c>
      <c r="E46" s="56"/>
      <c r="F46" s="50"/>
      <c r="G46" s="43" t="str">
        <f t="shared" ca="1" si="22"/>
        <v/>
      </c>
      <c r="H46" s="14" t="str">
        <f t="shared" ca="1" si="23"/>
        <v/>
      </c>
      <c r="I46" s="14" t="str">
        <f t="shared" ca="1" si="24"/>
        <v/>
      </c>
      <c r="T46" s="23" t="b">
        <f t="shared" ca="1" si="25"/>
        <v>0</v>
      </c>
      <c r="U46" s="23" t="b">
        <f t="shared" si="26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20"/>
        <v/>
      </c>
      <c r="D47" s="40" t="str">
        <f t="shared" ca="1" si="21"/>
        <v/>
      </c>
      <c r="E47" s="56"/>
      <c r="F47" s="50"/>
      <c r="G47" s="43" t="str">
        <f t="shared" ca="1" si="22"/>
        <v/>
      </c>
      <c r="H47" s="14" t="str">
        <f t="shared" ca="1" si="23"/>
        <v/>
      </c>
      <c r="I47" s="14" t="str">
        <f t="shared" ca="1" si="24"/>
        <v/>
      </c>
      <c r="T47" s="23" t="b">
        <f t="shared" ca="1" si="25"/>
        <v>0</v>
      </c>
      <c r="U47" s="23" t="b">
        <f t="shared" si="26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20"/>
        <v/>
      </c>
      <c r="D48" s="40" t="str">
        <f t="shared" ca="1" si="21"/>
        <v/>
      </c>
      <c r="E48" s="56"/>
      <c r="F48" s="50"/>
      <c r="G48" s="43" t="str">
        <f t="shared" ca="1" si="22"/>
        <v/>
      </c>
      <c r="H48" s="14" t="str">
        <f t="shared" ca="1" si="23"/>
        <v/>
      </c>
      <c r="I48" s="14" t="str">
        <f t="shared" ca="1" si="24"/>
        <v/>
      </c>
      <c r="T48" s="23" t="b">
        <f t="shared" ca="1" si="25"/>
        <v>0</v>
      </c>
      <c r="U48" s="23" t="b">
        <f t="shared" si="26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20"/>
        <v/>
      </c>
      <c r="D49" s="40" t="str">
        <f t="shared" ca="1" si="21"/>
        <v/>
      </c>
      <c r="E49" s="56"/>
      <c r="F49" s="50"/>
      <c r="G49" s="43" t="str">
        <f t="shared" ca="1" si="22"/>
        <v/>
      </c>
      <c r="H49" s="14" t="str">
        <f t="shared" ca="1" si="23"/>
        <v/>
      </c>
      <c r="I49" s="14" t="str">
        <f t="shared" ca="1" si="24"/>
        <v/>
      </c>
      <c r="T49" s="23" t="b">
        <f t="shared" ca="1" si="25"/>
        <v>0</v>
      </c>
      <c r="U49" s="23" t="b">
        <f t="shared" si="26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20"/>
        <v/>
      </c>
      <c r="D50" s="40" t="str">
        <f t="shared" ca="1" si="21"/>
        <v/>
      </c>
      <c r="E50" s="56"/>
      <c r="F50" s="50"/>
      <c r="G50" s="43" t="str">
        <f t="shared" ca="1" si="22"/>
        <v/>
      </c>
      <c r="H50" s="14" t="str">
        <f t="shared" ca="1" si="23"/>
        <v/>
      </c>
      <c r="I50" s="14" t="str">
        <f t="shared" ca="1" si="24"/>
        <v/>
      </c>
      <c r="T50" s="23" t="b">
        <f t="shared" ca="1" si="25"/>
        <v>0</v>
      </c>
      <c r="U50" s="23" t="b">
        <f t="shared" si="26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20"/>
        <v/>
      </c>
      <c r="D51" s="40" t="str">
        <f t="shared" ca="1" si="21"/>
        <v/>
      </c>
      <c r="E51" s="56"/>
      <c r="F51" s="50"/>
      <c r="G51" s="43" t="str">
        <f t="shared" ca="1" si="22"/>
        <v/>
      </c>
      <c r="H51" s="14" t="str">
        <f t="shared" ca="1" si="23"/>
        <v/>
      </c>
      <c r="I51" s="14" t="str">
        <f t="shared" ca="1" si="24"/>
        <v/>
      </c>
      <c r="T51" s="23" t="b">
        <f t="shared" ca="1" si="25"/>
        <v>0</v>
      </c>
      <c r="U51" s="23" t="b">
        <f t="shared" si="26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20"/>
        <v/>
      </c>
      <c r="D52" s="40" t="str">
        <f t="shared" ca="1" si="21"/>
        <v/>
      </c>
      <c r="E52" s="56"/>
      <c r="F52" s="50"/>
      <c r="G52" s="43" t="str">
        <f t="shared" ca="1" si="22"/>
        <v/>
      </c>
      <c r="H52" s="14" t="str">
        <f t="shared" ca="1" si="23"/>
        <v/>
      </c>
      <c r="I52" s="14" t="str">
        <f t="shared" ca="1" si="24"/>
        <v/>
      </c>
      <c r="T52" s="23" t="b">
        <f t="shared" ca="1" si="25"/>
        <v>0</v>
      </c>
      <c r="U52" s="23" t="b">
        <f t="shared" si="26"/>
        <v>0</v>
      </c>
      <c r="V52" s="23" t="b">
        <f t="shared" ca="1" si="8"/>
        <v>0</v>
      </c>
      <c r="X52" s="23" t="b">
        <f t="shared" ref="X52:X61" ca="1" si="27">AND(N41&lt;&gt;"",ISNA(MATCH(N41,テーブル項目KEY,0)))</f>
        <v>0</v>
      </c>
      <c r="Y52" s="23" t="b">
        <f t="shared" ref="Y52:Y61" ca="1" si="28">AND(O41&lt;&gt;"",ISNA(MATCH(O41,テーブル項目KEY,0)))</f>
        <v>0</v>
      </c>
      <c r="Z52" s="23" t="b">
        <f t="shared" ref="Z52:Z61" ca="1" si="29">AND(P41&lt;&gt;"",ISNA(MATCH(P41,テーブル項目KEY,0)))</f>
        <v>0</v>
      </c>
      <c r="AA52" s="23" t="b">
        <f t="shared" ref="AA52:AA61" ca="1" si="30">AND(Q41&lt;&gt;"",ISNA(MATCH(Q41,テーブル項目KEY,0)))</f>
        <v>0</v>
      </c>
      <c r="AB52" s="23" t="b">
        <f t="shared" ref="AB52:AB61" ca="1" si="31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20"/>
        <v/>
      </c>
      <c r="D53" s="40" t="str">
        <f t="shared" ca="1" si="21"/>
        <v/>
      </c>
      <c r="E53" s="56"/>
      <c r="F53" s="50"/>
      <c r="G53" s="43" t="str">
        <f t="shared" ca="1" si="22"/>
        <v/>
      </c>
      <c r="H53" s="14" t="str">
        <f t="shared" ca="1" si="23"/>
        <v/>
      </c>
      <c r="I53" s="14" t="str">
        <f t="shared" ca="1" si="24"/>
        <v/>
      </c>
      <c r="T53" s="23" t="b">
        <f t="shared" ca="1" si="25"/>
        <v>0</v>
      </c>
      <c r="U53" s="23" t="b">
        <f t="shared" si="26"/>
        <v>0</v>
      </c>
      <c r="V53" s="23" t="b">
        <f t="shared" ca="1" si="8"/>
        <v>0</v>
      </c>
      <c r="X53" s="23" t="b">
        <f t="shared" ca="1" si="27"/>
        <v>0</v>
      </c>
      <c r="Y53" s="23" t="b">
        <f t="shared" ca="1" si="28"/>
        <v>0</v>
      </c>
      <c r="Z53" s="23" t="b">
        <f t="shared" ca="1" si="29"/>
        <v>0</v>
      </c>
      <c r="AA53" s="23" t="b">
        <f t="shared" ca="1" si="30"/>
        <v>0</v>
      </c>
      <c r="AB53" s="23" t="b">
        <f t="shared" ca="1" si="31"/>
        <v>0</v>
      </c>
      <c r="AI53" s="75"/>
    </row>
    <row r="54" spans="1:35">
      <c r="A54" s="53">
        <v>49</v>
      </c>
      <c r="B54" s="47"/>
      <c r="C54" s="40" t="str">
        <f t="shared" ca="1" si="20"/>
        <v/>
      </c>
      <c r="D54" s="40" t="str">
        <f t="shared" ca="1" si="21"/>
        <v/>
      </c>
      <c r="E54" s="56"/>
      <c r="F54" s="50"/>
      <c r="G54" s="43" t="str">
        <f t="shared" ca="1" si="22"/>
        <v/>
      </c>
      <c r="H54" s="14" t="str">
        <f t="shared" ca="1" si="23"/>
        <v/>
      </c>
      <c r="I54" s="14" t="str">
        <f t="shared" ca="1" si="24"/>
        <v/>
      </c>
      <c r="T54" s="23" t="b">
        <f t="shared" ca="1" si="25"/>
        <v>0</v>
      </c>
      <c r="U54" s="23" t="b">
        <f t="shared" si="26"/>
        <v>0</v>
      </c>
      <c r="V54" s="23" t="b">
        <f t="shared" ca="1" si="8"/>
        <v>0</v>
      </c>
      <c r="X54" s="23" t="b">
        <f t="shared" ca="1" si="27"/>
        <v>0</v>
      </c>
      <c r="Y54" s="23" t="b">
        <f t="shared" ca="1" si="28"/>
        <v>0</v>
      </c>
      <c r="Z54" s="23" t="b">
        <f t="shared" ca="1" si="29"/>
        <v>0</v>
      </c>
      <c r="AA54" s="23" t="b">
        <f t="shared" ca="1" si="30"/>
        <v>0</v>
      </c>
      <c r="AB54" s="23" t="b">
        <f t="shared" ca="1" si="31"/>
        <v>0</v>
      </c>
      <c r="AI54" s="75"/>
    </row>
    <row r="55" spans="1:35">
      <c r="A55" s="53">
        <v>50</v>
      </c>
      <c r="B55" s="47"/>
      <c r="C55" s="40" t="str">
        <f t="shared" ca="1" si="20"/>
        <v/>
      </c>
      <c r="D55" s="40" t="str">
        <f t="shared" ca="1" si="21"/>
        <v/>
      </c>
      <c r="E55" s="56"/>
      <c r="F55" s="50"/>
      <c r="G55" s="43" t="str">
        <f t="shared" ca="1" si="22"/>
        <v/>
      </c>
      <c r="H55" s="14" t="str">
        <f t="shared" ca="1" si="23"/>
        <v/>
      </c>
      <c r="I55" s="14" t="str">
        <f t="shared" ca="1" si="24"/>
        <v/>
      </c>
      <c r="T55" s="23" t="b">
        <f t="shared" ca="1" si="25"/>
        <v>0</v>
      </c>
      <c r="U55" s="23" t="b">
        <f t="shared" si="26"/>
        <v>0</v>
      </c>
      <c r="V55" s="23" t="b">
        <f t="shared" ca="1" si="8"/>
        <v>0</v>
      </c>
      <c r="X55" s="23" t="b">
        <f t="shared" ca="1" si="27"/>
        <v>0</v>
      </c>
      <c r="Y55" s="23" t="b">
        <f t="shared" ca="1" si="28"/>
        <v>0</v>
      </c>
      <c r="Z55" s="23" t="b">
        <f t="shared" ca="1" si="29"/>
        <v>0</v>
      </c>
      <c r="AA55" s="23" t="b">
        <f t="shared" ca="1" si="30"/>
        <v>0</v>
      </c>
      <c r="AB55" s="23" t="b">
        <f t="shared" ca="1" si="31"/>
        <v>0</v>
      </c>
      <c r="AI55" s="75"/>
    </row>
    <row r="56" spans="1:35">
      <c r="A56" s="53">
        <v>51</v>
      </c>
      <c r="B56" s="47"/>
      <c r="C56" s="40" t="str">
        <f t="shared" ca="1" si="20"/>
        <v/>
      </c>
      <c r="D56" s="40" t="str">
        <f t="shared" ca="1" si="21"/>
        <v/>
      </c>
      <c r="E56" s="56"/>
      <c r="F56" s="50"/>
      <c r="G56" s="43" t="str">
        <f t="shared" ca="1" si="22"/>
        <v/>
      </c>
      <c r="H56" s="14" t="str">
        <f t="shared" ca="1" si="23"/>
        <v/>
      </c>
      <c r="I56" s="14" t="str">
        <f t="shared" ca="1" si="24"/>
        <v/>
      </c>
      <c r="T56" s="23" t="b">
        <f t="shared" ca="1" si="25"/>
        <v>0</v>
      </c>
      <c r="U56" s="23" t="b">
        <f t="shared" si="26"/>
        <v>0</v>
      </c>
      <c r="V56" s="23" t="b">
        <f t="shared" ca="1" si="8"/>
        <v>0</v>
      </c>
      <c r="X56" s="23" t="b">
        <f t="shared" ca="1" si="27"/>
        <v>0</v>
      </c>
      <c r="Y56" s="23" t="b">
        <f t="shared" ca="1" si="28"/>
        <v>0</v>
      </c>
      <c r="Z56" s="23" t="b">
        <f t="shared" ca="1" si="29"/>
        <v>0</v>
      </c>
      <c r="AA56" s="23" t="b">
        <f t="shared" ca="1" si="30"/>
        <v>0</v>
      </c>
      <c r="AB56" s="23" t="b">
        <f t="shared" ca="1" si="31"/>
        <v>0</v>
      </c>
      <c r="AI56" s="75"/>
    </row>
    <row r="57" spans="1:35">
      <c r="A57" s="53">
        <v>52</v>
      </c>
      <c r="B57" s="47"/>
      <c r="C57" s="40" t="str">
        <f t="shared" ca="1" si="20"/>
        <v/>
      </c>
      <c r="D57" s="40" t="str">
        <f t="shared" ca="1" si="21"/>
        <v/>
      </c>
      <c r="E57" s="56"/>
      <c r="F57" s="50"/>
      <c r="G57" s="43" t="str">
        <f t="shared" ca="1" si="22"/>
        <v/>
      </c>
      <c r="H57" s="14" t="str">
        <f t="shared" ca="1" si="23"/>
        <v/>
      </c>
      <c r="I57" s="14" t="str">
        <f t="shared" ca="1" si="24"/>
        <v/>
      </c>
      <c r="T57" s="23" t="b">
        <f t="shared" ca="1" si="25"/>
        <v>0</v>
      </c>
      <c r="U57" s="23" t="b">
        <f t="shared" si="26"/>
        <v>0</v>
      </c>
      <c r="V57" s="23" t="b">
        <f t="shared" ca="1" si="8"/>
        <v>0</v>
      </c>
      <c r="X57" s="23" t="b">
        <f t="shared" ca="1" si="27"/>
        <v>0</v>
      </c>
      <c r="Y57" s="23" t="b">
        <f t="shared" ca="1" si="28"/>
        <v>0</v>
      </c>
      <c r="Z57" s="23" t="b">
        <f t="shared" ca="1" si="29"/>
        <v>0</v>
      </c>
      <c r="AA57" s="23" t="b">
        <f t="shared" ca="1" si="30"/>
        <v>0</v>
      </c>
      <c r="AB57" s="23" t="b">
        <f t="shared" ca="1" si="31"/>
        <v>0</v>
      </c>
      <c r="AI57" s="75"/>
    </row>
    <row r="58" spans="1:35">
      <c r="A58" s="53">
        <v>53</v>
      </c>
      <c r="B58" s="47"/>
      <c r="C58" s="40" t="str">
        <f t="shared" ca="1" si="20"/>
        <v/>
      </c>
      <c r="D58" s="40" t="str">
        <f t="shared" ca="1" si="21"/>
        <v/>
      </c>
      <c r="E58" s="56"/>
      <c r="F58" s="50"/>
      <c r="G58" s="43" t="str">
        <f t="shared" ca="1" si="22"/>
        <v/>
      </c>
      <c r="H58" s="14" t="str">
        <f t="shared" ca="1" si="23"/>
        <v/>
      </c>
      <c r="I58" s="14" t="str">
        <f t="shared" ca="1" si="24"/>
        <v/>
      </c>
      <c r="T58" s="23" t="b">
        <f t="shared" ca="1" si="25"/>
        <v>0</v>
      </c>
      <c r="U58" s="23" t="b">
        <f t="shared" si="26"/>
        <v>0</v>
      </c>
      <c r="V58" s="23" t="b">
        <f t="shared" ca="1" si="8"/>
        <v>0</v>
      </c>
      <c r="X58" s="23" t="b">
        <f t="shared" ca="1" si="27"/>
        <v>0</v>
      </c>
      <c r="Y58" s="23" t="b">
        <f t="shared" ca="1" si="28"/>
        <v>0</v>
      </c>
      <c r="Z58" s="23" t="b">
        <f t="shared" ca="1" si="29"/>
        <v>0</v>
      </c>
      <c r="AA58" s="23" t="b">
        <f t="shared" ca="1" si="30"/>
        <v>0</v>
      </c>
      <c r="AB58" s="23" t="b">
        <f t="shared" ca="1" si="31"/>
        <v>0</v>
      </c>
      <c r="AI58" s="75"/>
    </row>
    <row r="59" spans="1:35">
      <c r="A59" s="53">
        <v>54</v>
      </c>
      <c r="B59" s="47"/>
      <c r="C59" s="40" t="str">
        <f t="shared" ca="1" si="20"/>
        <v/>
      </c>
      <c r="D59" s="40" t="str">
        <f t="shared" ca="1" si="21"/>
        <v/>
      </c>
      <c r="E59" s="56"/>
      <c r="F59" s="50"/>
      <c r="G59" s="43" t="str">
        <f t="shared" ca="1" si="22"/>
        <v/>
      </c>
      <c r="H59" s="14" t="str">
        <f t="shared" ca="1" si="23"/>
        <v/>
      </c>
      <c r="I59" s="14" t="str">
        <f t="shared" ca="1" si="24"/>
        <v/>
      </c>
      <c r="T59" s="23" t="b">
        <f t="shared" ca="1" si="25"/>
        <v>0</v>
      </c>
      <c r="U59" s="23" t="b">
        <f t="shared" si="26"/>
        <v>0</v>
      </c>
      <c r="V59" s="23" t="b">
        <f t="shared" ca="1" si="8"/>
        <v>0</v>
      </c>
      <c r="X59" s="23" t="b">
        <f t="shared" ca="1" si="27"/>
        <v>0</v>
      </c>
      <c r="Y59" s="23" t="b">
        <f t="shared" ca="1" si="28"/>
        <v>0</v>
      </c>
      <c r="Z59" s="23" t="b">
        <f t="shared" ca="1" si="29"/>
        <v>0</v>
      </c>
      <c r="AA59" s="23" t="b">
        <f t="shared" ca="1" si="30"/>
        <v>0</v>
      </c>
      <c r="AB59" s="23" t="b">
        <f t="shared" ca="1" si="31"/>
        <v>0</v>
      </c>
      <c r="AI59" s="75"/>
    </row>
    <row r="60" spans="1:35">
      <c r="A60" s="53">
        <v>55</v>
      </c>
      <c r="B60" s="47"/>
      <c r="C60" s="40" t="str">
        <f t="shared" ca="1" si="20"/>
        <v/>
      </c>
      <c r="D60" s="40" t="str">
        <f t="shared" ca="1" si="21"/>
        <v/>
      </c>
      <c r="E60" s="56"/>
      <c r="F60" s="50"/>
      <c r="G60" s="43" t="str">
        <f t="shared" ca="1" si="22"/>
        <v/>
      </c>
      <c r="H60" s="14" t="str">
        <f t="shared" ca="1" si="23"/>
        <v/>
      </c>
      <c r="I60" s="14" t="str">
        <f t="shared" ca="1" si="24"/>
        <v/>
      </c>
      <c r="T60" s="23" t="b">
        <f t="shared" ca="1" si="25"/>
        <v>0</v>
      </c>
      <c r="U60" s="23" t="b">
        <f t="shared" si="26"/>
        <v>0</v>
      </c>
      <c r="V60" s="23" t="b">
        <f t="shared" ca="1" si="8"/>
        <v>0</v>
      </c>
      <c r="X60" s="23" t="b">
        <f t="shared" ca="1" si="27"/>
        <v>0</v>
      </c>
      <c r="Y60" s="23" t="b">
        <f t="shared" ca="1" si="28"/>
        <v>0</v>
      </c>
      <c r="Z60" s="23" t="b">
        <f t="shared" ca="1" si="29"/>
        <v>0</v>
      </c>
      <c r="AA60" s="23" t="b">
        <f t="shared" ca="1" si="30"/>
        <v>0</v>
      </c>
      <c r="AB60" s="23" t="b">
        <f t="shared" ca="1" si="31"/>
        <v>0</v>
      </c>
      <c r="AI60" s="75"/>
    </row>
    <row r="61" spans="1:35">
      <c r="A61" s="53">
        <v>56</v>
      </c>
      <c r="B61" s="47"/>
      <c r="C61" s="40" t="str">
        <f t="shared" ca="1" si="20"/>
        <v/>
      </c>
      <c r="D61" s="40" t="str">
        <f t="shared" ca="1" si="21"/>
        <v/>
      </c>
      <c r="E61" s="56"/>
      <c r="F61" s="50"/>
      <c r="G61" s="43" t="str">
        <f t="shared" ca="1" si="22"/>
        <v/>
      </c>
      <c r="H61" s="14" t="str">
        <f t="shared" ca="1" si="23"/>
        <v/>
      </c>
      <c r="I61" s="14" t="str">
        <f t="shared" ca="1" si="24"/>
        <v/>
      </c>
      <c r="T61" s="23" t="b">
        <f t="shared" ca="1" si="25"/>
        <v>0</v>
      </c>
      <c r="U61" s="23" t="b">
        <f t="shared" si="26"/>
        <v>0</v>
      </c>
      <c r="V61" s="23" t="b">
        <f t="shared" ca="1" si="8"/>
        <v>0</v>
      </c>
      <c r="X61" s="23" t="b">
        <f t="shared" ca="1" si="27"/>
        <v>0</v>
      </c>
      <c r="Y61" s="23" t="b">
        <f t="shared" ca="1" si="28"/>
        <v>0</v>
      </c>
      <c r="Z61" s="23" t="b">
        <f t="shared" ca="1" si="29"/>
        <v>0</v>
      </c>
      <c r="AA61" s="23" t="b">
        <f t="shared" ca="1" si="30"/>
        <v>0</v>
      </c>
      <c r="AB61" s="23" t="b">
        <f t="shared" ca="1" si="31"/>
        <v>0</v>
      </c>
      <c r="AI61" s="75"/>
    </row>
    <row r="62" spans="1:35">
      <c r="A62" s="53">
        <v>57</v>
      </c>
      <c r="B62" s="47"/>
      <c r="C62" s="40" t="str">
        <f t="shared" ca="1" si="20"/>
        <v/>
      </c>
      <c r="D62" s="40" t="str">
        <f t="shared" ca="1" si="21"/>
        <v/>
      </c>
      <c r="E62" s="56"/>
      <c r="F62" s="50"/>
      <c r="G62" s="43" t="str">
        <f t="shared" ca="1" si="22"/>
        <v/>
      </c>
      <c r="H62" s="14" t="str">
        <f t="shared" ca="1" si="23"/>
        <v/>
      </c>
      <c r="I62" s="14" t="str">
        <f t="shared" ca="1" si="24"/>
        <v/>
      </c>
      <c r="T62" s="23" t="b">
        <f t="shared" ca="1" si="25"/>
        <v>0</v>
      </c>
      <c r="U62" s="23" t="b">
        <f t="shared" si="26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20"/>
        <v/>
      </c>
      <c r="D63" s="40" t="str">
        <f t="shared" ca="1" si="21"/>
        <v/>
      </c>
      <c r="E63" s="56"/>
      <c r="F63" s="50"/>
      <c r="G63" s="43" t="str">
        <f t="shared" ca="1" si="22"/>
        <v/>
      </c>
      <c r="H63" s="14" t="str">
        <f t="shared" ca="1" si="23"/>
        <v/>
      </c>
      <c r="I63" s="14" t="str">
        <f t="shared" ca="1" si="24"/>
        <v/>
      </c>
      <c r="T63" s="23" t="b">
        <f t="shared" ca="1" si="25"/>
        <v>0</v>
      </c>
      <c r="U63" s="23" t="b">
        <f t="shared" si="26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20"/>
        <v/>
      </c>
      <c r="D64" s="40" t="str">
        <f t="shared" ca="1" si="21"/>
        <v/>
      </c>
      <c r="E64" s="56"/>
      <c r="F64" s="50"/>
      <c r="G64" s="43" t="str">
        <f t="shared" ca="1" si="22"/>
        <v/>
      </c>
      <c r="H64" s="14" t="str">
        <f t="shared" ca="1" si="23"/>
        <v/>
      </c>
      <c r="I64" s="14" t="str">
        <f t="shared" ca="1" si="24"/>
        <v/>
      </c>
      <c r="T64" s="23" t="b">
        <f t="shared" ca="1" si="25"/>
        <v>0</v>
      </c>
      <c r="U64" s="23" t="b">
        <f t="shared" si="26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20"/>
        <v/>
      </c>
      <c r="D65" s="40" t="str">
        <f t="shared" ca="1" si="21"/>
        <v/>
      </c>
      <c r="E65" s="56"/>
      <c r="F65" s="50"/>
      <c r="G65" s="43" t="str">
        <f t="shared" ca="1" si="22"/>
        <v/>
      </c>
      <c r="H65" s="14" t="str">
        <f t="shared" ca="1" si="23"/>
        <v/>
      </c>
      <c r="I65" s="14" t="str">
        <f t="shared" ca="1" si="24"/>
        <v/>
      </c>
      <c r="T65" s="23" t="b">
        <f t="shared" ca="1" si="25"/>
        <v>0</v>
      </c>
      <c r="U65" s="23" t="b">
        <f t="shared" si="26"/>
        <v>0</v>
      </c>
      <c r="V65" s="23" t="b">
        <f t="shared" ca="1" si="8"/>
        <v>0</v>
      </c>
      <c r="X65" s="23" t="b">
        <f t="shared" ref="X65:X74" si="32">COUNTIF($N41:$R41,N41)&gt;1</f>
        <v>0</v>
      </c>
      <c r="Y65" s="23" t="b">
        <f t="shared" ref="Y65:Y74" si="33">COUNTIF($N41:$R41,O41)&gt;1</f>
        <v>0</v>
      </c>
      <c r="Z65" s="23" t="b">
        <f t="shared" ref="Z65:Z74" si="34">COUNTIF($N41:$R41,P41)&gt;1</f>
        <v>0</v>
      </c>
      <c r="AA65" s="23" t="b">
        <f t="shared" ref="AA65:AA74" si="35">COUNTIF($N41:$R41,Q41)&gt;1</f>
        <v>0</v>
      </c>
      <c r="AB65" s="23" t="b">
        <f t="shared" ref="AB65:AB74" si="36">COUNTIF($N41:$R41,R41)&gt;1</f>
        <v>0</v>
      </c>
      <c r="AI65" s="75"/>
    </row>
    <row r="66" spans="1:35">
      <c r="A66" s="53">
        <v>61</v>
      </c>
      <c r="B66" s="47"/>
      <c r="C66" s="40" t="str">
        <f t="shared" ca="1" si="20"/>
        <v/>
      </c>
      <c r="D66" s="40" t="str">
        <f t="shared" ca="1" si="21"/>
        <v/>
      </c>
      <c r="E66" s="56"/>
      <c r="F66" s="50"/>
      <c r="G66" s="43" t="str">
        <f t="shared" ca="1" si="22"/>
        <v/>
      </c>
      <c r="H66" s="14" t="str">
        <f t="shared" ca="1" si="23"/>
        <v/>
      </c>
      <c r="I66" s="14" t="str">
        <f t="shared" ca="1" si="24"/>
        <v/>
      </c>
      <c r="T66" s="23" t="b">
        <f t="shared" ca="1" si="25"/>
        <v>0</v>
      </c>
      <c r="U66" s="23" t="b">
        <f t="shared" si="26"/>
        <v>0</v>
      </c>
      <c r="V66" s="23" t="b">
        <f t="shared" ca="1" si="8"/>
        <v>0</v>
      </c>
      <c r="X66" s="23" t="b">
        <f t="shared" si="32"/>
        <v>0</v>
      </c>
      <c r="Y66" s="23" t="b">
        <f t="shared" si="33"/>
        <v>0</v>
      </c>
      <c r="Z66" s="23" t="b">
        <f t="shared" si="34"/>
        <v>0</v>
      </c>
      <c r="AA66" s="23" t="b">
        <f t="shared" si="35"/>
        <v>0</v>
      </c>
      <c r="AB66" s="23" t="b">
        <f t="shared" si="36"/>
        <v>0</v>
      </c>
      <c r="AI66" s="75"/>
    </row>
    <row r="67" spans="1:35">
      <c r="A67" s="53">
        <v>62</v>
      </c>
      <c r="B67" s="47"/>
      <c r="C67" s="40" t="str">
        <f t="shared" ca="1" si="20"/>
        <v/>
      </c>
      <c r="D67" s="40" t="str">
        <f t="shared" ca="1" si="21"/>
        <v/>
      </c>
      <c r="E67" s="56"/>
      <c r="F67" s="50"/>
      <c r="G67" s="43" t="str">
        <f t="shared" ca="1" si="22"/>
        <v/>
      </c>
      <c r="H67" s="14" t="str">
        <f t="shared" ca="1" si="23"/>
        <v/>
      </c>
      <c r="I67" s="14" t="str">
        <f t="shared" ca="1" si="24"/>
        <v/>
      </c>
      <c r="T67" s="23" t="b">
        <f t="shared" ca="1" si="25"/>
        <v>0</v>
      </c>
      <c r="U67" s="23" t="b">
        <f t="shared" si="26"/>
        <v>0</v>
      </c>
      <c r="V67" s="23" t="b">
        <f t="shared" ca="1" si="8"/>
        <v>0</v>
      </c>
      <c r="X67" s="23" t="b">
        <f t="shared" si="32"/>
        <v>0</v>
      </c>
      <c r="Y67" s="23" t="b">
        <f t="shared" si="33"/>
        <v>0</v>
      </c>
      <c r="Z67" s="23" t="b">
        <f t="shared" si="34"/>
        <v>0</v>
      </c>
      <c r="AA67" s="23" t="b">
        <f t="shared" si="35"/>
        <v>0</v>
      </c>
      <c r="AB67" s="23" t="b">
        <f t="shared" si="36"/>
        <v>0</v>
      </c>
      <c r="AI67" s="75"/>
    </row>
    <row r="68" spans="1:35">
      <c r="A68" s="53">
        <v>63</v>
      </c>
      <c r="B68" s="47"/>
      <c r="C68" s="40" t="str">
        <f t="shared" ca="1" si="20"/>
        <v/>
      </c>
      <c r="D68" s="40" t="str">
        <f t="shared" ca="1" si="21"/>
        <v/>
      </c>
      <c r="E68" s="56"/>
      <c r="F68" s="50"/>
      <c r="G68" s="43" t="str">
        <f t="shared" ca="1" si="22"/>
        <v/>
      </c>
      <c r="H68" s="14" t="str">
        <f t="shared" ca="1" si="23"/>
        <v/>
      </c>
      <c r="I68" s="14" t="str">
        <f t="shared" ca="1" si="24"/>
        <v/>
      </c>
      <c r="T68" s="23" t="b">
        <f t="shared" ca="1" si="25"/>
        <v>0</v>
      </c>
      <c r="U68" s="23" t="b">
        <f t="shared" si="26"/>
        <v>0</v>
      </c>
      <c r="V68" s="23" t="b">
        <f t="shared" ca="1" si="8"/>
        <v>0</v>
      </c>
      <c r="X68" s="23" t="b">
        <f t="shared" si="32"/>
        <v>0</v>
      </c>
      <c r="Y68" s="23" t="b">
        <f t="shared" si="33"/>
        <v>0</v>
      </c>
      <c r="Z68" s="23" t="b">
        <f t="shared" si="34"/>
        <v>0</v>
      </c>
      <c r="AA68" s="23" t="b">
        <f t="shared" si="35"/>
        <v>0</v>
      </c>
      <c r="AB68" s="23" t="b">
        <f t="shared" si="36"/>
        <v>0</v>
      </c>
      <c r="AI68" s="75"/>
    </row>
    <row r="69" spans="1:35">
      <c r="A69" s="53">
        <v>64</v>
      </c>
      <c r="B69" s="47"/>
      <c r="C69" s="40" t="str">
        <f t="shared" ca="1" si="20"/>
        <v/>
      </c>
      <c r="D69" s="40" t="str">
        <f t="shared" ca="1" si="21"/>
        <v/>
      </c>
      <c r="E69" s="56"/>
      <c r="F69" s="50"/>
      <c r="G69" s="43" t="str">
        <f t="shared" ca="1" si="22"/>
        <v/>
      </c>
      <c r="H69" s="14" t="str">
        <f t="shared" ca="1" si="23"/>
        <v/>
      </c>
      <c r="I69" s="14" t="str">
        <f t="shared" ca="1" si="24"/>
        <v/>
      </c>
      <c r="T69" s="23" t="b">
        <f t="shared" ca="1" si="25"/>
        <v>0</v>
      </c>
      <c r="U69" s="23" t="b">
        <f t="shared" si="26"/>
        <v>0</v>
      </c>
      <c r="V69" s="23" t="b">
        <f t="shared" ca="1" si="8"/>
        <v>0</v>
      </c>
      <c r="X69" s="23" t="b">
        <f t="shared" si="32"/>
        <v>0</v>
      </c>
      <c r="Y69" s="23" t="b">
        <f t="shared" si="33"/>
        <v>0</v>
      </c>
      <c r="Z69" s="23" t="b">
        <f t="shared" si="34"/>
        <v>0</v>
      </c>
      <c r="AA69" s="23" t="b">
        <f t="shared" si="35"/>
        <v>0</v>
      </c>
      <c r="AB69" s="23" t="b">
        <f t="shared" si="36"/>
        <v>0</v>
      </c>
      <c r="AI69" s="75"/>
    </row>
    <row r="70" spans="1:35">
      <c r="A70" s="53">
        <v>65</v>
      </c>
      <c r="B70" s="47"/>
      <c r="C70" s="40" t="str">
        <f t="shared" ref="C70:C101" ca="1" si="37">IFERROR(VLOOKUP(B70,項目DATA,2,FALSE),"")</f>
        <v/>
      </c>
      <c r="D70" s="40" t="str">
        <f t="shared" ref="D70:D105" ca="1" si="38">IFERROR(VLOOKUP(B70,項目DATA,3,FALSE),"")</f>
        <v/>
      </c>
      <c r="E70" s="56"/>
      <c r="F70" s="50"/>
      <c r="G70" s="43" t="str">
        <f t="shared" ref="G70:G105" ca="1" si="39">IFERROR(VLOOKUP(B70,項目DATA,4,FALSE),"")</f>
        <v/>
      </c>
      <c r="H70" s="14" t="str">
        <f t="shared" ref="H70:H105" ca="1" si="40">IFERROR(VLOOKUP(B70,項目DATA,5,FALSE),"")</f>
        <v/>
      </c>
      <c r="I70" s="14" t="str">
        <f t="shared" ref="I70:I105" ca="1" si="41">IFERROR(VLOOKUP(B70,項目DATA,6,FALSE),"")</f>
        <v/>
      </c>
      <c r="T70" s="23" t="b">
        <f t="shared" ref="T70:T105" ca="1" si="42">AND(B70&lt;&gt;"",ISNA(MATCH(B70,項目KEY,0)))</f>
        <v>0</v>
      </c>
      <c r="U70" s="23" t="b">
        <f t="shared" ref="U70:U105" si="43">COUNTIF(テーブル項目FORM,B70)&gt;1</f>
        <v>0</v>
      </c>
      <c r="V70" s="23" t="b">
        <f t="shared" ca="1" si="8"/>
        <v>0</v>
      </c>
      <c r="X70" s="23" t="b">
        <f t="shared" si="32"/>
        <v>0</v>
      </c>
      <c r="Y70" s="23" t="b">
        <f t="shared" si="33"/>
        <v>0</v>
      </c>
      <c r="Z70" s="23" t="b">
        <f t="shared" si="34"/>
        <v>0</v>
      </c>
      <c r="AA70" s="23" t="b">
        <f t="shared" si="35"/>
        <v>0</v>
      </c>
      <c r="AB70" s="23" t="b">
        <f t="shared" si="36"/>
        <v>0</v>
      </c>
      <c r="AI70" s="75"/>
    </row>
    <row r="71" spans="1:35">
      <c r="A71" s="53">
        <v>66</v>
      </c>
      <c r="B71" s="47"/>
      <c r="C71" s="40" t="str">
        <f t="shared" ca="1" si="37"/>
        <v/>
      </c>
      <c r="D71" s="40" t="str">
        <f t="shared" ca="1" si="38"/>
        <v/>
      </c>
      <c r="E71" s="56"/>
      <c r="F71" s="50"/>
      <c r="G71" s="43" t="str">
        <f t="shared" ca="1" si="39"/>
        <v/>
      </c>
      <c r="H71" s="14" t="str">
        <f t="shared" ca="1" si="40"/>
        <v/>
      </c>
      <c r="I71" s="14" t="str">
        <f t="shared" ca="1" si="41"/>
        <v/>
      </c>
      <c r="T71" s="23" t="b">
        <f t="shared" ca="1" si="42"/>
        <v>0</v>
      </c>
      <c r="U71" s="23" t="b">
        <f t="shared" si="43"/>
        <v>0</v>
      </c>
      <c r="V71" s="23" t="b">
        <f t="shared" ca="1" si="8"/>
        <v>0</v>
      </c>
      <c r="X71" s="23" t="b">
        <f t="shared" si="32"/>
        <v>0</v>
      </c>
      <c r="Y71" s="23" t="b">
        <f t="shared" si="33"/>
        <v>0</v>
      </c>
      <c r="Z71" s="23" t="b">
        <f t="shared" si="34"/>
        <v>0</v>
      </c>
      <c r="AA71" s="23" t="b">
        <f t="shared" si="35"/>
        <v>0</v>
      </c>
      <c r="AB71" s="23" t="b">
        <f t="shared" si="36"/>
        <v>0</v>
      </c>
      <c r="AI71" s="75"/>
    </row>
    <row r="72" spans="1:35">
      <c r="A72" s="53">
        <v>67</v>
      </c>
      <c r="B72" s="47"/>
      <c r="C72" s="40" t="str">
        <f t="shared" ca="1" si="37"/>
        <v/>
      </c>
      <c r="D72" s="40" t="str">
        <f t="shared" ca="1" si="38"/>
        <v/>
      </c>
      <c r="E72" s="56"/>
      <c r="F72" s="50"/>
      <c r="G72" s="43" t="str">
        <f t="shared" ca="1" si="39"/>
        <v/>
      </c>
      <c r="H72" s="14" t="str">
        <f t="shared" ca="1" si="40"/>
        <v/>
      </c>
      <c r="I72" s="14" t="str">
        <f t="shared" ca="1" si="41"/>
        <v/>
      </c>
      <c r="T72" s="23" t="b">
        <f t="shared" ca="1" si="42"/>
        <v>0</v>
      </c>
      <c r="U72" s="23" t="b">
        <f t="shared" si="43"/>
        <v>0</v>
      </c>
      <c r="V72" s="23" t="b">
        <f t="shared" ca="1" si="8"/>
        <v>0</v>
      </c>
      <c r="X72" s="23" t="b">
        <f t="shared" si="32"/>
        <v>0</v>
      </c>
      <c r="Y72" s="23" t="b">
        <f t="shared" si="33"/>
        <v>0</v>
      </c>
      <c r="Z72" s="23" t="b">
        <f t="shared" si="34"/>
        <v>0</v>
      </c>
      <c r="AA72" s="23" t="b">
        <f t="shared" si="35"/>
        <v>0</v>
      </c>
      <c r="AB72" s="23" t="b">
        <f t="shared" si="36"/>
        <v>0</v>
      </c>
      <c r="AI72" s="75"/>
    </row>
    <row r="73" spans="1:35">
      <c r="A73" s="53">
        <v>68</v>
      </c>
      <c r="B73" s="47"/>
      <c r="C73" s="40" t="str">
        <f t="shared" ca="1" si="37"/>
        <v/>
      </c>
      <c r="D73" s="40" t="str">
        <f t="shared" ca="1" si="38"/>
        <v/>
      </c>
      <c r="E73" s="56"/>
      <c r="F73" s="50"/>
      <c r="G73" s="43" t="str">
        <f t="shared" ca="1" si="39"/>
        <v/>
      </c>
      <c r="H73" s="14" t="str">
        <f t="shared" ca="1" si="40"/>
        <v/>
      </c>
      <c r="I73" s="14" t="str">
        <f t="shared" ca="1" si="41"/>
        <v/>
      </c>
      <c r="T73" s="23" t="b">
        <f t="shared" ca="1" si="42"/>
        <v>0</v>
      </c>
      <c r="U73" s="23" t="b">
        <f t="shared" si="43"/>
        <v>0</v>
      </c>
      <c r="V73" s="23" t="b">
        <f t="shared" ref="V73:V105" ca="1" si="44">AND(E73="",H73&lt;&gt;"",H73)</f>
        <v>0</v>
      </c>
      <c r="X73" s="23" t="b">
        <f t="shared" si="32"/>
        <v>0</v>
      </c>
      <c r="Y73" s="23" t="b">
        <f t="shared" si="33"/>
        <v>0</v>
      </c>
      <c r="Z73" s="23" t="b">
        <f t="shared" si="34"/>
        <v>0</v>
      </c>
      <c r="AA73" s="23" t="b">
        <f t="shared" si="35"/>
        <v>0</v>
      </c>
      <c r="AB73" s="23" t="b">
        <f t="shared" si="36"/>
        <v>0</v>
      </c>
      <c r="AI73" s="75"/>
    </row>
    <row r="74" spans="1:35">
      <c r="A74" s="53">
        <v>69</v>
      </c>
      <c r="B74" s="47"/>
      <c r="C74" s="40" t="str">
        <f t="shared" ca="1" si="37"/>
        <v/>
      </c>
      <c r="D74" s="40" t="str">
        <f t="shared" ca="1" si="38"/>
        <v/>
      </c>
      <c r="E74" s="56"/>
      <c r="F74" s="50"/>
      <c r="G74" s="43" t="str">
        <f t="shared" ca="1" si="39"/>
        <v/>
      </c>
      <c r="H74" s="14" t="str">
        <f t="shared" ca="1" si="40"/>
        <v/>
      </c>
      <c r="I74" s="14" t="str">
        <f t="shared" ca="1" si="41"/>
        <v/>
      </c>
      <c r="T74" s="23" t="b">
        <f t="shared" ca="1" si="42"/>
        <v>0</v>
      </c>
      <c r="U74" s="23" t="b">
        <f t="shared" si="43"/>
        <v>0</v>
      </c>
      <c r="V74" s="23" t="b">
        <f t="shared" ca="1" si="44"/>
        <v>0</v>
      </c>
      <c r="X74" s="23" t="b">
        <f t="shared" si="32"/>
        <v>0</v>
      </c>
      <c r="Y74" s="23" t="b">
        <f t="shared" si="33"/>
        <v>0</v>
      </c>
      <c r="Z74" s="23" t="b">
        <f t="shared" si="34"/>
        <v>0</v>
      </c>
      <c r="AA74" s="23" t="b">
        <f t="shared" si="35"/>
        <v>0</v>
      </c>
      <c r="AB74" s="23" t="b">
        <f t="shared" si="36"/>
        <v>0</v>
      </c>
      <c r="AI74" s="75"/>
    </row>
    <row r="75" spans="1:35">
      <c r="A75" s="53">
        <v>70</v>
      </c>
      <c r="B75" s="47"/>
      <c r="C75" s="40" t="str">
        <f t="shared" ca="1" si="37"/>
        <v/>
      </c>
      <c r="D75" s="40" t="str">
        <f t="shared" ca="1" si="38"/>
        <v/>
      </c>
      <c r="E75" s="56"/>
      <c r="F75" s="50"/>
      <c r="G75" s="43" t="str">
        <f t="shared" ca="1" si="39"/>
        <v/>
      </c>
      <c r="H75" s="14" t="str">
        <f t="shared" ca="1" si="40"/>
        <v/>
      </c>
      <c r="I75" s="14" t="str">
        <f t="shared" ca="1" si="41"/>
        <v/>
      </c>
      <c r="T75" s="23" t="b">
        <f t="shared" ca="1" si="42"/>
        <v>0</v>
      </c>
      <c r="U75" s="23" t="b">
        <f t="shared" si="43"/>
        <v>0</v>
      </c>
      <c r="V75" s="23" t="b">
        <f t="shared" ca="1" si="44"/>
        <v>0</v>
      </c>
      <c r="AI75" s="75"/>
    </row>
    <row r="76" spans="1:35">
      <c r="A76" s="53">
        <v>71</v>
      </c>
      <c r="B76" s="47"/>
      <c r="C76" s="40" t="str">
        <f t="shared" ca="1" si="37"/>
        <v/>
      </c>
      <c r="D76" s="40" t="str">
        <f t="shared" ca="1" si="38"/>
        <v/>
      </c>
      <c r="E76" s="56"/>
      <c r="F76" s="50"/>
      <c r="G76" s="43" t="str">
        <f t="shared" ca="1" si="39"/>
        <v/>
      </c>
      <c r="H76" s="14" t="str">
        <f t="shared" ca="1" si="40"/>
        <v/>
      </c>
      <c r="I76" s="14" t="str">
        <f t="shared" ca="1" si="41"/>
        <v/>
      </c>
      <c r="T76" s="23" t="b">
        <f t="shared" ca="1" si="42"/>
        <v>0</v>
      </c>
      <c r="U76" s="23" t="b">
        <f t="shared" si="43"/>
        <v>0</v>
      </c>
      <c r="V76" s="23" t="b">
        <f t="shared" ca="1" si="44"/>
        <v>0</v>
      </c>
      <c r="AI76" s="75"/>
    </row>
    <row r="77" spans="1:35">
      <c r="A77" s="53">
        <v>72</v>
      </c>
      <c r="B77" s="47"/>
      <c r="C77" s="40" t="str">
        <f t="shared" ca="1" si="37"/>
        <v/>
      </c>
      <c r="D77" s="40" t="str">
        <f t="shared" ca="1" si="38"/>
        <v/>
      </c>
      <c r="E77" s="56"/>
      <c r="F77" s="50"/>
      <c r="G77" s="43" t="str">
        <f t="shared" ca="1" si="39"/>
        <v/>
      </c>
      <c r="H77" s="14" t="str">
        <f t="shared" ca="1" si="40"/>
        <v/>
      </c>
      <c r="I77" s="14" t="str">
        <f t="shared" ca="1" si="41"/>
        <v/>
      </c>
      <c r="T77" s="23" t="b">
        <f t="shared" ca="1" si="42"/>
        <v>0</v>
      </c>
      <c r="U77" s="23" t="b">
        <f t="shared" si="43"/>
        <v>0</v>
      </c>
      <c r="V77" s="23" t="b">
        <f t="shared" ca="1" si="4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37"/>
        <v/>
      </c>
      <c r="D78" s="40" t="str">
        <f t="shared" ca="1" si="38"/>
        <v/>
      </c>
      <c r="E78" s="56"/>
      <c r="F78" s="50"/>
      <c r="G78" s="43" t="str">
        <f t="shared" ca="1" si="39"/>
        <v/>
      </c>
      <c r="H78" s="14" t="str">
        <f t="shared" ca="1" si="40"/>
        <v/>
      </c>
      <c r="I78" s="14" t="str">
        <f t="shared" ca="1" si="41"/>
        <v/>
      </c>
      <c r="T78" s="23" t="b">
        <f t="shared" ca="1" si="42"/>
        <v>0</v>
      </c>
      <c r="U78" s="23" t="b">
        <f t="shared" si="43"/>
        <v>0</v>
      </c>
      <c r="V78" s="23" t="b">
        <f t="shared" ca="1" si="44"/>
        <v>0</v>
      </c>
      <c r="X78" s="23" t="b">
        <f t="shared" ref="X78:X87" ca="1" si="4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37"/>
        <v/>
      </c>
      <c r="D79" s="40" t="str">
        <f t="shared" ca="1" si="38"/>
        <v/>
      </c>
      <c r="E79" s="56"/>
      <c r="F79" s="50"/>
      <c r="G79" s="43" t="str">
        <f t="shared" ca="1" si="39"/>
        <v/>
      </c>
      <c r="H79" s="14" t="str">
        <f t="shared" ca="1" si="40"/>
        <v/>
      </c>
      <c r="I79" s="14" t="str">
        <f t="shared" ca="1" si="41"/>
        <v/>
      </c>
      <c r="T79" s="23" t="b">
        <f t="shared" ca="1" si="42"/>
        <v>0</v>
      </c>
      <c r="U79" s="23" t="b">
        <f t="shared" si="43"/>
        <v>0</v>
      </c>
      <c r="V79" s="23" t="b">
        <f t="shared" ca="1" si="44"/>
        <v>0</v>
      </c>
      <c r="X79" s="23" t="b">
        <f t="shared" ca="1" si="45"/>
        <v>0</v>
      </c>
      <c r="AI79" s="75"/>
    </row>
    <row r="80" spans="1:35">
      <c r="A80" s="53">
        <v>75</v>
      </c>
      <c r="B80" s="47"/>
      <c r="C80" s="40" t="str">
        <f t="shared" ca="1" si="37"/>
        <v/>
      </c>
      <c r="D80" s="40" t="str">
        <f t="shared" ca="1" si="38"/>
        <v/>
      </c>
      <c r="E80" s="56"/>
      <c r="F80" s="50"/>
      <c r="G80" s="43" t="str">
        <f t="shared" ca="1" si="39"/>
        <v/>
      </c>
      <c r="H80" s="14" t="str">
        <f t="shared" ca="1" si="40"/>
        <v/>
      </c>
      <c r="I80" s="14" t="str">
        <f t="shared" ca="1" si="41"/>
        <v/>
      </c>
      <c r="T80" s="23" t="b">
        <f t="shared" ca="1" si="42"/>
        <v>0</v>
      </c>
      <c r="U80" s="23" t="b">
        <f t="shared" si="43"/>
        <v>0</v>
      </c>
      <c r="V80" s="23" t="b">
        <f t="shared" ca="1" si="44"/>
        <v>0</v>
      </c>
      <c r="X80" s="23" t="e">
        <f t="shared" ca="1" si="45"/>
        <v>#N/A</v>
      </c>
      <c r="AI80" s="75"/>
    </row>
    <row r="81" spans="1:35">
      <c r="A81" s="53">
        <v>76</v>
      </c>
      <c r="B81" s="47"/>
      <c r="C81" s="40" t="str">
        <f t="shared" ca="1" si="37"/>
        <v/>
      </c>
      <c r="D81" s="40" t="str">
        <f t="shared" ca="1" si="38"/>
        <v/>
      </c>
      <c r="E81" s="56"/>
      <c r="F81" s="50"/>
      <c r="G81" s="43" t="str">
        <f t="shared" ca="1" si="39"/>
        <v/>
      </c>
      <c r="H81" s="14" t="str">
        <f t="shared" ca="1" si="40"/>
        <v/>
      </c>
      <c r="I81" s="14" t="str">
        <f t="shared" ca="1" si="41"/>
        <v/>
      </c>
      <c r="T81" s="23" t="b">
        <f t="shared" ca="1" si="42"/>
        <v>0</v>
      </c>
      <c r="U81" s="23" t="b">
        <f t="shared" si="43"/>
        <v>0</v>
      </c>
      <c r="V81" s="23" t="b">
        <f t="shared" ca="1" si="44"/>
        <v>0</v>
      </c>
      <c r="X81" s="23" t="b">
        <f t="shared" ca="1" si="45"/>
        <v>0</v>
      </c>
      <c r="AI81" s="75"/>
    </row>
    <row r="82" spans="1:35">
      <c r="A82" s="53">
        <v>77</v>
      </c>
      <c r="B82" s="47"/>
      <c r="C82" s="40" t="str">
        <f t="shared" ca="1" si="37"/>
        <v/>
      </c>
      <c r="D82" s="40" t="str">
        <f t="shared" ca="1" si="38"/>
        <v/>
      </c>
      <c r="E82" s="56"/>
      <c r="F82" s="50"/>
      <c r="G82" s="43" t="str">
        <f t="shared" ca="1" si="39"/>
        <v/>
      </c>
      <c r="H82" s="14" t="str">
        <f t="shared" ca="1" si="40"/>
        <v/>
      </c>
      <c r="I82" s="14" t="str">
        <f t="shared" ca="1" si="41"/>
        <v/>
      </c>
      <c r="T82" s="23" t="b">
        <f t="shared" ca="1" si="42"/>
        <v>0</v>
      </c>
      <c r="U82" s="23" t="b">
        <f t="shared" si="43"/>
        <v>0</v>
      </c>
      <c r="V82" s="23" t="b">
        <f t="shared" ca="1" si="44"/>
        <v>0</v>
      </c>
      <c r="X82" s="23" t="b">
        <f t="shared" ca="1" si="45"/>
        <v>0</v>
      </c>
      <c r="AI82" s="75"/>
    </row>
    <row r="83" spans="1:35">
      <c r="A83" s="53">
        <v>78</v>
      </c>
      <c r="B83" s="47"/>
      <c r="C83" s="40" t="str">
        <f t="shared" ca="1" si="37"/>
        <v/>
      </c>
      <c r="D83" s="40" t="str">
        <f t="shared" ca="1" si="38"/>
        <v/>
      </c>
      <c r="E83" s="56"/>
      <c r="F83" s="50"/>
      <c r="G83" s="43" t="str">
        <f t="shared" ca="1" si="39"/>
        <v/>
      </c>
      <c r="H83" s="14" t="str">
        <f t="shared" ca="1" si="40"/>
        <v/>
      </c>
      <c r="I83" s="14" t="str">
        <f t="shared" ca="1" si="41"/>
        <v/>
      </c>
      <c r="T83" s="23" t="b">
        <f t="shared" ca="1" si="42"/>
        <v>0</v>
      </c>
      <c r="U83" s="23" t="b">
        <f t="shared" si="43"/>
        <v>0</v>
      </c>
      <c r="V83" s="23" t="b">
        <f t="shared" ca="1" si="44"/>
        <v>0</v>
      </c>
      <c r="X83" s="23" t="b">
        <f t="shared" ca="1" si="45"/>
        <v>0</v>
      </c>
      <c r="AI83" s="75"/>
    </row>
    <row r="84" spans="1:35">
      <c r="A84" s="53">
        <v>79</v>
      </c>
      <c r="B84" s="47"/>
      <c r="C84" s="40" t="str">
        <f t="shared" ca="1" si="37"/>
        <v/>
      </c>
      <c r="D84" s="40" t="str">
        <f t="shared" ca="1" si="38"/>
        <v/>
      </c>
      <c r="E84" s="56"/>
      <c r="F84" s="50"/>
      <c r="G84" s="43" t="str">
        <f t="shared" ca="1" si="39"/>
        <v/>
      </c>
      <c r="H84" s="14" t="str">
        <f t="shared" ca="1" si="40"/>
        <v/>
      </c>
      <c r="I84" s="14" t="str">
        <f t="shared" ca="1" si="41"/>
        <v/>
      </c>
      <c r="T84" s="23" t="b">
        <f t="shared" ca="1" si="42"/>
        <v>0</v>
      </c>
      <c r="U84" s="23" t="b">
        <f t="shared" si="43"/>
        <v>0</v>
      </c>
      <c r="V84" s="23" t="b">
        <f t="shared" ca="1" si="44"/>
        <v>0</v>
      </c>
      <c r="X84" s="23" t="b">
        <f t="shared" ca="1" si="45"/>
        <v>0</v>
      </c>
      <c r="AI84" s="75"/>
    </row>
    <row r="85" spans="1:35">
      <c r="A85" s="53">
        <v>80</v>
      </c>
      <c r="B85" s="47"/>
      <c r="C85" s="40" t="str">
        <f t="shared" ca="1" si="37"/>
        <v/>
      </c>
      <c r="D85" s="40" t="str">
        <f t="shared" ca="1" si="38"/>
        <v/>
      </c>
      <c r="E85" s="56"/>
      <c r="F85" s="50"/>
      <c r="G85" s="43" t="str">
        <f t="shared" ca="1" si="39"/>
        <v/>
      </c>
      <c r="H85" s="14" t="str">
        <f t="shared" ca="1" si="40"/>
        <v/>
      </c>
      <c r="I85" s="14" t="str">
        <f t="shared" ca="1" si="41"/>
        <v/>
      </c>
      <c r="T85" s="23" t="b">
        <f t="shared" ca="1" si="42"/>
        <v>0</v>
      </c>
      <c r="U85" s="23" t="b">
        <f t="shared" si="43"/>
        <v>0</v>
      </c>
      <c r="V85" s="23" t="b">
        <f t="shared" ca="1" si="44"/>
        <v>0</v>
      </c>
      <c r="X85" s="23" t="e">
        <f t="shared" ca="1" si="45"/>
        <v>#N/A</v>
      </c>
      <c r="AI85" s="75"/>
    </row>
    <row r="86" spans="1:35">
      <c r="A86" s="53">
        <v>81</v>
      </c>
      <c r="B86" s="47"/>
      <c r="C86" s="40" t="str">
        <f t="shared" ca="1" si="37"/>
        <v/>
      </c>
      <c r="D86" s="40" t="str">
        <f t="shared" ca="1" si="38"/>
        <v/>
      </c>
      <c r="E86" s="56"/>
      <c r="F86" s="50"/>
      <c r="G86" s="43" t="str">
        <f t="shared" ca="1" si="39"/>
        <v/>
      </c>
      <c r="H86" s="14" t="str">
        <f t="shared" ca="1" si="40"/>
        <v/>
      </c>
      <c r="I86" s="14" t="str">
        <f t="shared" ca="1" si="41"/>
        <v/>
      </c>
      <c r="T86" s="23" t="b">
        <f t="shared" ca="1" si="42"/>
        <v>0</v>
      </c>
      <c r="U86" s="23" t="b">
        <f t="shared" si="43"/>
        <v>0</v>
      </c>
      <c r="V86" s="23" t="b">
        <f t="shared" ca="1" si="44"/>
        <v>0</v>
      </c>
      <c r="X86" s="23" t="e">
        <f t="shared" ca="1" si="45"/>
        <v>#N/A</v>
      </c>
      <c r="AI86" s="75"/>
    </row>
    <row r="87" spans="1:35">
      <c r="A87" s="53">
        <v>82</v>
      </c>
      <c r="B87" s="47"/>
      <c r="C87" s="40" t="str">
        <f t="shared" ca="1" si="37"/>
        <v/>
      </c>
      <c r="D87" s="40" t="str">
        <f t="shared" ca="1" si="38"/>
        <v/>
      </c>
      <c r="E87" s="56"/>
      <c r="F87" s="50"/>
      <c r="G87" s="43" t="str">
        <f t="shared" ca="1" si="39"/>
        <v/>
      </c>
      <c r="H87" s="14" t="str">
        <f t="shared" ca="1" si="40"/>
        <v/>
      </c>
      <c r="I87" s="14" t="str">
        <f t="shared" ca="1" si="41"/>
        <v/>
      </c>
      <c r="T87" s="23" t="b">
        <f t="shared" ca="1" si="42"/>
        <v>0</v>
      </c>
      <c r="U87" s="23" t="b">
        <f t="shared" si="43"/>
        <v>0</v>
      </c>
      <c r="V87" s="23" t="b">
        <f t="shared" ca="1" si="44"/>
        <v>0</v>
      </c>
      <c r="X87" s="23" t="e">
        <f t="shared" ca="1" si="45"/>
        <v>#N/A</v>
      </c>
      <c r="AI87" s="75"/>
    </row>
    <row r="88" spans="1:35">
      <c r="A88" s="53">
        <v>83</v>
      </c>
      <c r="B88" s="47"/>
      <c r="C88" s="40" t="str">
        <f t="shared" ca="1" si="37"/>
        <v/>
      </c>
      <c r="D88" s="40" t="str">
        <f t="shared" ca="1" si="38"/>
        <v/>
      </c>
      <c r="E88" s="56"/>
      <c r="F88" s="50"/>
      <c r="G88" s="43" t="str">
        <f t="shared" ca="1" si="39"/>
        <v/>
      </c>
      <c r="H88" s="14" t="str">
        <f t="shared" ca="1" si="40"/>
        <v/>
      </c>
      <c r="I88" s="14" t="str">
        <f t="shared" ca="1" si="41"/>
        <v/>
      </c>
      <c r="T88" s="23" t="b">
        <f t="shared" ca="1" si="42"/>
        <v>0</v>
      </c>
      <c r="U88" s="23" t="b">
        <f t="shared" si="43"/>
        <v>0</v>
      </c>
      <c r="V88" s="23" t="b">
        <f t="shared" ca="1" si="44"/>
        <v>0</v>
      </c>
      <c r="AI88" s="75"/>
    </row>
    <row r="89" spans="1:35">
      <c r="A89" s="53">
        <v>84</v>
      </c>
      <c r="B89" s="47"/>
      <c r="C89" s="40" t="str">
        <f t="shared" ca="1" si="37"/>
        <v/>
      </c>
      <c r="D89" s="40" t="str">
        <f t="shared" ca="1" si="38"/>
        <v/>
      </c>
      <c r="E89" s="56"/>
      <c r="F89" s="50"/>
      <c r="G89" s="43" t="str">
        <f t="shared" ca="1" si="39"/>
        <v/>
      </c>
      <c r="H89" s="14" t="str">
        <f t="shared" ca="1" si="40"/>
        <v/>
      </c>
      <c r="I89" s="14" t="str">
        <f t="shared" ca="1" si="41"/>
        <v/>
      </c>
      <c r="T89" s="23" t="b">
        <f t="shared" ca="1" si="42"/>
        <v>0</v>
      </c>
      <c r="U89" s="23" t="b">
        <f t="shared" si="43"/>
        <v>0</v>
      </c>
      <c r="V89" s="23" t="b">
        <f t="shared" ca="1" si="44"/>
        <v>0</v>
      </c>
      <c r="AI89" s="75"/>
    </row>
    <row r="90" spans="1:35">
      <c r="A90" s="53">
        <v>85</v>
      </c>
      <c r="B90" s="47"/>
      <c r="C90" s="40" t="str">
        <f t="shared" ca="1" si="37"/>
        <v/>
      </c>
      <c r="D90" s="40" t="str">
        <f t="shared" ca="1" si="38"/>
        <v/>
      </c>
      <c r="E90" s="56"/>
      <c r="F90" s="50"/>
      <c r="G90" s="43" t="str">
        <f t="shared" ca="1" si="39"/>
        <v/>
      </c>
      <c r="H90" s="14" t="str">
        <f t="shared" ca="1" si="40"/>
        <v/>
      </c>
      <c r="I90" s="14" t="str">
        <f t="shared" ca="1" si="41"/>
        <v/>
      </c>
      <c r="T90" s="23" t="b">
        <f t="shared" ca="1" si="42"/>
        <v>0</v>
      </c>
      <c r="U90" s="23" t="b">
        <f t="shared" si="43"/>
        <v>0</v>
      </c>
      <c r="V90" s="23" t="b">
        <f t="shared" ca="1" si="44"/>
        <v>0</v>
      </c>
      <c r="AI90" s="75"/>
    </row>
    <row r="91" spans="1:35">
      <c r="A91" s="53">
        <v>86</v>
      </c>
      <c r="B91" s="47"/>
      <c r="C91" s="40" t="str">
        <f t="shared" ca="1" si="37"/>
        <v/>
      </c>
      <c r="D91" s="40" t="str">
        <f t="shared" ca="1" si="38"/>
        <v/>
      </c>
      <c r="E91" s="56"/>
      <c r="F91" s="50"/>
      <c r="G91" s="43" t="str">
        <f t="shared" ca="1" si="39"/>
        <v/>
      </c>
      <c r="H91" s="14" t="str">
        <f t="shared" ca="1" si="40"/>
        <v/>
      </c>
      <c r="I91" s="14" t="str">
        <f t="shared" ca="1" si="41"/>
        <v/>
      </c>
      <c r="T91" s="23" t="b">
        <f t="shared" ca="1" si="42"/>
        <v>0</v>
      </c>
      <c r="U91" s="23" t="b">
        <f t="shared" si="43"/>
        <v>0</v>
      </c>
      <c r="V91" s="23" t="b">
        <f t="shared" ca="1" si="44"/>
        <v>0</v>
      </c>
      <c r="AI91" s="75"/>
    </row>
    <row r="92" spans="1:35">
      <c r="A92" s="53">
        <v>87</v>
      </c>
      <c r="B92" s="47"/>
      <c r="C92" s="40" t="str">
        <f t="shared" ca="1" si="37"/>
        <v/>
      </c>
      <c r="D92" s="40" t="str">
        <f t="shared" ca="1" si="38"/>
        <v/>
      </c>
      <c r="E92" s="56"/>
      <c r="F92" s="50"/>
      <c r="G92" s="43" t="str">
        <f t="shared" ca="1" si="39"/>
        <v/>
      </c>
      <c r="H92" s="14" t="str">
        <f t="shared" ca="1" si="40"/>
        <v/>
      </c>
      <c r="I92" s="14" t="str">
        <f t="shared" ca="1" si="41"/>
        <v/>
      </c>
      <c r="T92" s="23" t="b">
        <f t="shared" ca="1" si="42"/>
        <v>0</v>
      </c>
      <c r="U92" s="23" t="b">
        <f t="shared" si="43"/>
        <v>0</v>
      </c>
      <c r="V92" s="23" t="b">
        <f t="shared" ca="1" si="44"/>
        <v>0</v>
      </c>
      <c r="AI92" s="75"/>
    </row>
    <row r="93" spans="1:35">
      <c r="A93" s="53">
        <v>88</v>
      </c>
      <c r="B93" s="47"/>
      <c r="C93" s="40" t="str">
        <f t="shared" ca="1" si="37"/>
        <v/>
      </c>
      <c r="D93" s="40" t="str">
        <f t="shared" ca="1" si="38"/>
        <v/>
      </c>
      <c r="E93" s="56"/>
      <c r="F93" s="50"/>
      <c r="G93" s="43" t="str">
        <f t="shared" ca="1" si="39"/>
        <v/>
      </c>
      <c r="H93" s="14" t="str">
        <f t="shared" ca="1" si="40"/>
        <v/>
      </c>
      <c r="I93" s="14" t="str">
        <f t="shared" ca="1" si="41"/>
        <v/>
      </c>
      <c r="T93" s="23" t="b">
        <f t="shared" ca="1" si="42"/>
        <v>0</v>
      </c>
      <c r="U93" s="23" t="b">
        <f t="shared" si="43"/>
        <v>0</v>
      </c>
      <c r="V93" s="23" t="b">
        <f t="shared" ca="1" si="44"/>
        <v>0</v>
      </c>
      <c r="AI93" s="75"/>
    </row>
    <row r="94" spans="1:35">
      <c r="A94" s="53">
        <v>89</v>
      </c>
      <c r="B94" s="47"/>
      <c r="C94" s="40" t="str">
        <f t="shared" ca="1" si="37"/>
        <v/>
      </c>
      <c r="D94" s="40" t="str">
        <f t="shared" ca="1" si="38"/>
        <v/>
      </c>
      <c r="E94" s="56"/>
      <c r="F94" s="50"/>
      <c r="G94" s="43" t="str">
        <f t="shared" ca="1" si="39"/>
        <v/>
      </c>
      <c r="H94" s="14" t="str">
        <f t="shared" ca="1" si="40"/>
        <v/>
      </c>
      <c r="I94" s="14" t="str">
        <f t="shared" ca="1" si="41"/>
        <v/>
      </c>
      <c r="T94" s="23" t="b">
        <f t="shared" ca="1" si="42"/>
        <v>0</v>
      </c>
      <c r="U94" s="23" t="b">
        <f t="shared" si="43"/>
        <v>0</v>
      </c>
      <c r="V94" s="23" t="b">
        <f t="shared" ca="1" si="44"/>
        <v>0</v>
      </c>
      <c r="AI94" s="75"/>
    </row>
    <row r="95" spans="1:35">
      <c r="A95" s="53">
        <v>90</v>
      </c>
      <c r="B95" s="47"/>
      <c r="C95" s="40" t="str">
        <f t="shared" ca="1" si="37"/>
        <v/>
      </c>
      <c r="D95" s="40" t="str">
        <f t="shared" ca="1" si="38"/>
        <v/>
      </c>
      <c r="E95" s="56"/>
      <c r="F95" s="50"/>
      <c r="G95" s="43" t="str">
        <f t="shared" ca="1" si="39"/>
        <v/>
      </c>
      <c r="H95" s="14" t="str">
        <f t="shared" ca="1" si="40"/>
        <v/>
      </c>
      <c r="I95" s="14" t="str">
        <f t="shared" ca="1" si="41"/>
        <v/>
      </c>
      <c r="T95" s="23" t="b">
        <f t="shared" ca="1" si="42"/>
        <v>0</v>
      </c>
      <c r="U95" s="23" t="b">
        <f t="shared" si="43"/>
        <v>0</v>
      </c>
      <c r="V95" s="23" t="b">
        <f t="shared" ca="1" si="44"/>
        <v>0</v>
      </c>
      <c r="AI95" s="75"/>
    </row>
    <row r="96" spans="1:35">
      <c r="A96" s="53">
        <v>91</v>
      </c>
      <c r="B96" s="47"/>
      <c r="C96" s="40" t="str">
        <f t="shared" ca="1" si="37"/>
        <v/>
      </c>
      <c r="D96" s="40" t="str">
        <f t="shared" ca="1" si="38"/>
        <v/>
      </c>
      <c r="E96" s="56"/>
      <c r="F96" s="50"/>
      <c r="G96" s="43" t="str">
        <f t="shared" ca="1" si="39"/>
        <v/>
      </c>
      <c r="H96" s="14" t="str">
        <f t="shared" ca="1" si="40"/>
        <v/>
      </c>
      <c r="I96" s="14" t="str">
        <f t="shared" ca="1" si="41"/>
        <v/>
      </c>
      <c r="T96" s="23" t="b">
        <f t="shared" ca="1" si="42"/>
        <v>0</v>
      </c>
      <c r="U96" s="23" t="b">
        <f t="shared" si="43"/>
        <v>0</v>
      </c>
      <c r="V96" s="23" t="b">
        <f t="shared" ca="1" si="44"/>
        <v>0</v>
      </c>
      <c r="AI96" s="75"/>
    </row>
    <row r="97" spans="1:35">
      <c r="A97" s="53">
        <v>92</v>
      </c>
      <c r="B97" s="47"/>
      <c r="C97" s="40" t="str">
        <f t="shared" ca="1" si="37"/>
        <v/>
      </c>
      <c r="D97" s="40" t="str">
        <f t="shared" ca="1" si="38"/>
        <v/>
      </c>
      <c r="E97" s="56"/>
      <c r="F97" s="50"/>
      <c r="G97" s="43" t="str">
        <f t="shared" ca="1" si="39"/>
        <v/>
      </c>
      <c r="H97" s="14" t="str">
        <f t="shared" ca="1" si="40"/>
        <v/>
      </c>
      <c r="I97" s="14" t="str">
        <f t="shared" ca="1" si="41"/>
        <v/>
      </c>
      <c r="T97" s="23" t="b">
        <f t="shared" ca="1" si="42"/>
        <v>0</v>
      </c>
      <c r="U97" s="23" t="b">
        <f t="shared" si="43"/>
        <v>0</v>
      </c>
      <c r="V97" s="23" t="b">
        <f t="shared" ca="1" si="44"/>
        <v>0</v>
      </c>
      <c r="AI97" s="75"/>
    </row>
    <row r="98" spans="1:35">
      <c r="A98" s="53">
        <v>93</v>
      </c>
      <c r="B98" s="47"/>
      <c r="C98" s="40" t="str">
        <f t="shared" ca="1" si="37"/>
        <v/>
      </c>
      <c r="D98" s="40" t="str">
        <f t="shared" ca="1" si="38"/>
        <v/>
      </c>
      <c r="E98" s="56"/>
      <c r="F98" s="50"/>
      <c r="G98" s="43" t="str">
        <f t="shared" ca="1" si="39"/>
        <v/>
      </c>
      <c r="H98" s="14" t="str">
        <f t="shared" ca="1" si="40"/>
        <v/>
      </c>
      <c r="I98" s="14" t="str">
        <f t="shared" ca="1" si="41"/>
        <v/>
      </c>
      <c r="T98" s="23" t="b">
        <f t="shared" ca="1" si="42"/>
        <v>0</v>
      </c>
      <c r="U98" s="23" t="b">
        <f t="shared" si="43"/>
        <v>0</v>
      </c>
      <c r="V98" s="23" t="b">
        <f t="shared" ca="1" si="44"/>
        <v>0</v>
      </c>
      <c r="AI98" s="75"/>
    </row>
    <row r="99" spans="1:35">
      <c r="A99" s="53">
        <v>94</v>
      </c>
      <c r="B99" s="47"/>
      <c r="C99" s="40" t="str">
        <f t="shared" ca="1" si="37"/>
        <v/>
      </c>
      <c r="D99" s="40" t="str">
        <f t="shared" ca="1" si="38"/>
        <v/>
      </c>
      <c r="E99" s="56"/>
      <c r="F99" s="50"/>
      <c r="G99" s="43" t="str">
        <f t="shared" ca="1" si="39"/>
        <v/>
      </c>
      <c r="H99" s="14" t="str">
        <f t="shared" ca="1" si="40"/>
        <v/>
      </c>
      <c r="I99" s="14" t="str">
        <f t="shared" ca="1" si="41"/>
        <v/>
      </c>
      <c r="T99" s="23" t="b">
        <f t="shared" ca="1" si="42"/>
        <v>0</v>
      </c>
      <c r="U99" s="23" t="b">
        <f t="shared" si="43"/>
        <v>0</v>
      </c>
      <c r="V99" s="23" t="b">
        <f t="shared" ca="1" si="44"/>
        <v>0</v>
      </c>
      <c r="AI99" s="75"/>
    </row>
    <row r="100" spans="1:35">
      <c r="A100" s="53">
        <v>95</v>
      </c>
      <c r="B100" s="47"/>
      <c r="C100" s="40" t="str">
        <f t="shared" ca="1" si="37"/>
        <v/>
      </c>
      <c r="D100" s="40" t="str">
        <f t="shared" ca="1" si="38"/>
        <v/>
      </c>
      <c r="E100" s="56"/>
      <c r="F100" s="50"/>
      <c r="G100" s="43" t="str">
        <f t="shared" ca="1" si="39"/>
        <v/>
      </c>
      <c r="H100" s="14" t="str">
        <f t="shared" ca="1" si="40"/>
        <v/>
      </c>
      <c r="I100" s="14" t="str">
        <f t="shared" ca="1" si="41"/>
        <v/>
      </c>
      <c r="T100" s="23" t="b">
        <f t="shared" ca="1" si="42"/>
        <v>0</v>
      </c>
      <c r="U100" s="23" t="b">
        <f t="shared" si="43"/>
        <v>0</v>
      </c>
      <c r="V100" s="23" t="b">
        <f t="shared" ca="1" si="44"/>
        <v>0</v>
      </c>
      <c r="AI100" s="75"/>
    </row>
    <row r="101" spans="1:35">
      <c r="A101" s="53">
        <v>96</v>
      </c>
      <c r="B101" s="47"/>
      <c r="C101" s="40" t="str">
        <f t="shared" ca="1" si="37"/>
        <v/>
      </c>
      <c r="D101" s="40" t="str">
        <f t="shared" ca="1" si="38"/>
        <v/>
      </c>
      <c r="E101" s="56"/>
      <c r="F101" s="50"/>
      <c r="G101" s="43" t="str">
        <f t="shared" ca="1" si="39"/>
        <v/>
      </c>
      <c r="H101" s="14" t="str">
        <f t="shared" ca="1" si="40"/>
        <v/>
      </c>
      <c r="I101" s="14" t="str">
        <f t="shared" ca="1" si="41"/>
        <v/>
      </c>
      <c r="T101" s="23" t="b">
        <f t="shared" ca="1" si="42"/>
        <v>0</v>
      </c>
      <c r="U101" s="23" t="b">
        <f t="shared" si="43"/>
        <v>0</v>
      </c>
      <c r="V101" s="23" t="b">
        <f t="shared" ca="1" si="44"/>
        <v>0</v>
      </c>
      <c r="AI101" s="75"/>
    </row>
    <row r="102" spans="1:35">
      <c r="A102" s="53">
        <v>97</v>
      </c>
      <c r="B102" s="47"/>
      <c r="C102" s="40" t="str">
        <f t="shared" ref="C102:C105" ca="1" si="46">IFERROR(VLOOKUP(B102,項目DATA,2,FALSE),"")</f>
        <v/>
      </c>
      <c r="D102" s="40" t="str">
        <f t="shared" ca="1" si="38"/>
        <v/>
      </c>
      <c r="E102" s="56"/>
      <c r="F102" s="50"/>
      <c r="G102" s="43" t="str">
        <f t="shared" ca="1" si="39"/>
        <v/>
      </c>
      <c r="H102" s="14" t="str">
        <f t="shared" ca="1" si="40"/>
        <v/>
      </c>
      <c r="I102" s="14" t="str">
        <f t="shared" ca="1" si="41"/>
        <v/>
      </c>
      <c r="T102" s="23" t="b">
        <f t="shared" ca="1" si="42"/>
        <v>0</v>
      </c>
      <c r="U102" s="23" t="b">
        <f t="shared" si="43"/>
        <v>0</v>
      </c>
      <c r="V102" s="23" t="b">
        <f t="shared" ca="1" si="44"/>
        <v>0</v>
      </c>
      <c r="AI102" s="75"/>
    </row>
    <row r="103" spans="1:35">
      <c r="A103" s="53">
        <v>98</v>
      </c>
      <c r="B103" s="47"/>
      <c r="C103" s="40" t="str">
        <f t="shared" ca="1" si="46"/>
        <v/>
      </c>
      <c r="D103" s="40" t="str">
        <f t="shared" ca="1" si="38"/>
        <v/>
      </c>
      <c r="E103" s="56"/>
      <c r="F103" s="50"/>
      <c r="G103" s="43" t="str">
        <f t="shared" ca="1" si="39"/>
        <v/>
      </c>
      <c r="H103" s="14" t="str">
        <f t="shared" ca="1" si="40"/>
        <v/>
      </c>
      <c r="I103" s="14" t="str">
        <f t="shared" ca="1" si="41"/>
        <v/>
      </c>
      <c r="T103" s="23" t="b">
        <f t="shared" ca="1" si="42"/>
        <v>0</v>
      </c>
      <c r="U103" s="23" t="b">
        <f t="shared" si="43"/>
        <v>0</v>
      </c>
      <c r="V103" s="23" t="b">
        <f t="shared" ca="1" si="44"/>
        <v>0</v>
      </c>
      <c r="AI103" s="75"/>
    </row>
    <row r="104" spans="1:35">
      <c r="A104" s="53">
        <v>99</v>
      </c>
      <c r="B104" s="47"/>
      <c r="C104" s="40" t="str">
        <f t="shared" ca="1" si="46"/>
        <v/>
      </c>
      <c r="D104" s="40" t="str">
        <f t="shared" ca="1" si="38"/>
        <v/>
      </c>
      <c r="E104" s="56"/>
      <c r="F104" s="50"/>
      <c r="G104" s="43" t="str">
        <f t="shared" ca="1" si="39"/>
        <v/>
      </c>
      <c r="H104" s="14" t="str">
        <f t="shared" ca="1" si="40"/>
        <v/>
      </c>
      <c r="I104" s="14" t="str">
        <f t="shared" ca="1" si="41"/>
        <v/>
      </c>
      <c r="T104" s="23" t="b">
        <f t="shared" ca="1" si="42"/>
        <v>0</v>
      </c>
      <c r="U104" s="23" t="b">
        <f t="shared" si="43"/>
        <v>0</v>
      </c>
      <c r="V104" s="23" t="b">
        <f t="shared" ca="1" si="44"/>
        <v>0</v>
      </c>
      <c r="AI104" s="75"/>
    </row>
    <row r="105" spans="1:35">
      <c r="A105" s="54">
        <v>100</v>
      </c>
      <c r="B105" s="48"/>
      <c r="C105" s="41" t="str">
        <f t="shared" ca="1" si="46"/>
        <v/>
      </c>
      <c r="D105" s="41" t="str">
        <f t="shared" ca="1" si="38"/>
        <v/>
      </c>
      <c r="E105" s="57"/>
      <c r="F105" s="51"/>
      <c r="G105" s="44" t="str">
        <f t="shared" ca="1" si="39"/>
        <v/>
      </c>
      <c r="H105" s="15" t="str">
        <f t="shared" ca="1" si="40"/>
        <v/>
      </c>
      <c r="I105" s="15" t="str">
        <f t="shared" ca="1" si="41"/>
        <v/>
      </c>
      <c r="T105" s="23" t="b">
        <f t="shared" ca="1" si="42"/>
        <v>0</v>
      </c>
      <c r="U105" s="23" t="b">
        <f t="shared" si="43"/>
        <v>0</v>
      </c>
      <c r="V105" s="23" t="b">
        <f t="shared" ca="1" si="44"/>
        <v>0</v>
      </c>
      <c r="AI105" s="75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22</v>
      </c>
    </row>
    <row r="3" spans="1:8">
      <c r="A3" s="18" t="e">
        <v>#N/A</v>
      </c>
      <c r="B3" s="19"/>
      <c r="C3" s="19"/>
      <c r="D3" s="19"/>
      <c r="E3" s="19"/>
      <c r="F3" s="19"/>
      <c r="G3" s="19"/>
      <c r="H3" s="17"/>
    </row>
    <row r="6" spans="1:8">
      <c r="A6" t="s">
        <v>21</v>
      </c>
    </row>
    <row r="7" spans="1:8">
      <c r="A7" s="18" t="e">
        <v>#N/A</v>
      </c>
      <c r="B7" s="17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F2D5-B0DA-42B4-B469-2EBEB846F7DF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136</v>
      </c>
      <c r="C2" s="24" t="s">
        <v>134</v>
      </c>
      <c r="D2" s="38">
        <v>1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77</v>
      </c>
      <c r="C6" s="39" t="str">
        <f t="shared" ref="C6:C69" ca="1" si="0">IFERROR(VLOOKUP(B6,項目DATA,2,FALSE),"")</f>
        <v>customer_id</v>
      </c>
      <c r="D6" s="39" t="str">
        <f t="shared" ref="D6:D69" ca="1" si="1">IFERROR(VLOOKUP(B6,項目DATA,3,FALSE),"")</f>
        <v>varchar(3)</v>
      </c>
      <c r="E6" s="55">
        <v>1</v>
      </c>
      <c r="F6" s="49"/>
      <c r="G6" s="42" t="str">
        <f ca="1">IFERROR(VLOOKUP(B6,項目DATA,4,FALSE),"")</f>
        <v>(LENGTH(customer_id) &gt;= 3)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153</v>
      </c>
    </row>
    <row r="7" spans="1:41">
      <c r="A7" s="53">
        <v>2</v>
      </c>
      <c r="B7" s="47" t="s">
        <v>81</v>
      </c>
      <c r="C7" s="40" t="str">
        <f t="shared" ca="1" si="0"/>
        <v>customer_name</v>
      </c>
      <c r="D7" s="40" t="str">
        <f t="shared" ca="1" si="1"/>
        <v>varchar(100)</v>
      </c>
      <c r="E7" s="56">
        <v>1</v>
      </c>
      <c r="F7" s="50"/>
      <c r="G7" s="43">
        <f t="shared" ref="G7:G70" ca="1" si="7">IFERROR(VLOOKUP(B7,項目DATA,4,FALSE),"")</f>
        <v>0</v>
      </c>
      <c r="H7" s="14" t="b">
        <f t="shared" ca="1" si="2"/>
        <v>0</v>
      </c>
      <c r="I7" s="14" t="b">
        <f t="shared" ca="1" si="3"/>
        <v>1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81</v>
      </c>
    </row>
    <row r="8" spans="1:41">
      <c r="A8" s="53">
        <v>3</v>
      </c>
      <c r="B8" s="47" t="s">
        <v>65</v>
      </c>
      <c r="C8" s="40" t="str">
        <f t="shared" ca="1" si="0"/>
        <v>person_in_charge</v>
      </c>
      <c r="D8" s="40" t="str">
        <f t="shared" ca="1" si="1"/>
        <v>varchar(30)</v>
      </c>
      <c r="E8" s="56"/>
      <c r="F8" s="50"/>
      <c r="G8" s="43">
        <f t="shared" ca="1" si="7"/>
        <v>0</v>
      </c>
      <c r="H8" s="14" t="b">
        <f t="shared" ca="1" si="2"/>
        <v>0</v>
      </c>
      <c r="I8" s="14" t="b">
        <f t="shared" ca="1" si="3"/>
        <v>1</v>
      </c>
      <c r="K8" s="69" t="s">
        <v>15</v>
      </c>
      <c r="L8" s="59" t="s">
        <v>77</v>
      </c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65</v>
      </c>
      <c r="AK8" s="75" t="str">
        <f ca="1">VLOOKUP(L8,テーブル項目ALL,2,FALSE)</f>
        <v>customer_id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150</v>
      </c>
      <c r="C9" s="40" t="str">
        <f t="shared" ca="1" si="0"/>
        <v>customer_type</v>
      </c>
      <c r="D9" s="40" t="str">
        <f t="shared" ca="1" si="1"/>
        <v>customer_type</v>
      </c>
      <c r="E9" s="56">
        <v>1</v>
      </c>
      <c r="F9" s="50"/>
      <c r="G9" s="43">
        <f t="shared" ca="1" si="7"/>
        <v>0</v>
      </c>
      <c r="H9" s="14" t="b">
        <f t="shared" ca="1" si="2"/>
        <v>1</v>
      </c>
      <c r="I9" s="14" t="b">
        <f t="shared" ca="1" si="3"/>
        <v>1</v>
      </c>
      <c r="K9" s="71" t="s">
        <v>140</v>
      </c>
      <c r="L9" s="72">
        <f ca="1">IFERROR(VLOOKUP(L8,テーブル項目ALL,4,FALSE),"")</f>
        <v>1</v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150</v>
      </c>
    </row>
    <row r="10" spans="1:41">
      <c r="A10" s="53">
        <v>5</v>
      </c>
      <c r="B10" s="47" t="s">
        <v>30</v>
      </c>
      <c r="C10" s="40" t="str">
        <f t="shared" ca="1" si="0"/>
        <v>registration_date</v>
      </c>
      <c r="D10" s="40" t="str">
        <f t="shared" ca="1" si="1"/>
        <v>date</v>
      </c>
      <c r="E10" s="56">
        <v>1</v>
      </c>
      <c r="F10" s="50" t="s">
        <v>154</v>
      </c>
      <c r="G10" s="43">
        <f t="shared" ca="1" si="7"/>
        <v>0</v>
      </c>
      <c r="H10" s="14" t="b">
        <f t="shared" ca="1" si="2"/>
        <v>0</v>
      </c>
      <c r="I10" s="14" t="b">
        <f t="shared" ca="1" si="3"/>
        <v>0</v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 t="s">
        <v>30</v>
      </c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E47B45DB-84CD-47D8-A709-2D3E5EEF07E2}">
      <formula1>テーブル項目KEY</formula1>
    </dataValidation>
    <dataValidation type="whole" imeMode="off" operator="equal" allowBlank="1" showInputMessage="1" showErrorMessage="1" error="NotNullの場合は[1]を入力する。" sqref="E6:E105" xr:uid="{ADBFFC56-9CDF-49B4-9FF9-9D9466CCEAFC}">
      <formula1>1</formula1>
    </dataValidation>
    <dataValidation type="list" allowBlank="1" showInputMessage="1" showErrorMessage="1" sqref="B6:B105" xr:uid="{B5849D0E-8F09-425D-9D32-EA4A1B066127}">
      <formula1>項目KEY</formula1>
    </dataValidation>
    <dataValidation imeMode="off" allowBlank="1" showInputMessage="1" showErrorMessage="1" sqref="D5:F5 C2" xr:uid="{BD53ED45-520A-4DCE-968F-BB43541103CD}"/>
    <dataValidation imeMode="on" allowBlank="1" showInputMessage="1" showErrorMessage="1" sqref="K12 A5 A1:A2 F6:I105 K7" xr:uid="{138DD966-6BE1-469C-8747-79FFD9970C69}"/>
  </dataValidations>
  <hyperlinks>
    <hyperlink ref="E1" location="一覧!R1C1" display="一覧へ" xr:uid="{64D60D96-9E41-43E5-935E-CF5E7F21960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5C9F-6E84-4168-869B-C499FEA6FC71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137</v>
      </c>
      <c r="C2" s="24" t="s">
        <v>135</v>
      </c>
      <c r="D2" s="38">
        <v>2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58</v>
      </c>
      <c r="C6" s="39" t="str">
        <f t="shared" ref="C6:C69" ca="1" si="0">IFERROR(VLOOKUP(B6,項目DATA,2,FALSE),"")</f>
        <v>received_order_no</v>
      </c>
      <c r="D6" s="39" t="str">
        <f t="shared" ref="D6:D69" ca="1" si="1">IFERROR(VLOOKUP(B6,項目DATA,3,FALSE),"")</f>
        <v>varchar(10)</v>
      </c>
      <c r="E6" s="55">
        <v>1</v>
      </c>
      <c r="F6" s="49"/>
      <c r="G6" s="42" t="str">
        <f ca="1">IFERROR(VLOOKUP(B6,項目DATA,4,FALSE),"")</f>
        <v>(LENGTH(received_order_no) &gt;= 10)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155</v>
      </c>
    </row>
    <row r="7" spans="1:41">
      <c r="A7" s="53">
        <v>2</v>
      </c>
      <c r="B7" s="47" t="s">
        <v>54</v>
      </c>
      <c r="C7" s="40" t="str">
        <f t="shared" ca="1" si="0"/>
        <v>order_date</v>
      </c>
      <c r="D7" s="40" t="str">
        <f t="shared" ca="1" si="1"/>
        <v>date</v>
      </c>
      <c r="E7" s="56">
        <v>1</v>
      </c>
      <c r="F7" s="50"/>
      <c r="G7" s="43">
        <f t="shared" ref="G7:G70" ca="1" si="7">IFERROR(VLOOKUP(B7,項目DATA,4,FALSE),"")</f>
        <v>0</v>
      </c>
      <c r="H7" s="14" t="b">
        <f t="shared" ca="1" si="2"/>
        <v>0</v>
      </c>
      <c r="I7" s="14" t="b">
        <f t="shared" ca="1" si="3"/>
        <v>0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54</v>
      </c>
    </row>
    <row r="8" spans="1:41">
      <c r="A8" s="53">
        <v>3</v>
      </c>
      <c r="B8" s="47" t="s">
        <v>65</v>
      </c>
      <c r="C8" s="40" t="str">
        <f t="shared" ca="1" si="0"/>
        <v>person_in_charge</v>
      </c>
      <c r="D8" s="40" t="str">
        <f t="shared" ca="1" si="1"/>
        <v>varchar(30)</v>
      </c>
      <c r="E8" s="56"/>
      <c r="F8" s="50"/>
      <c r="G8" s="43">
        <f t="shared" ca="1" si="7"/>
        <v>0</v>
      </c>
      <c r="H8" s="14" t="b">
        <f t="shared" ca="1" si="2"/>
        <v>0</v>
      </c>
      <c r="I8" s="14" t="b">
        <f t="shared" ca="1" si="3"/>
        <v>1</v>
      </c>
      <c r="K8" s="69" t="s">
        <v>15</v>
      </c>
      <c r="L8" s="59" t="s">
        <v>58</v>
      </c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65</v>
      </c>
      <c r="AK8" s="75" t="str">
        <f ca="1">VLOOKUP(L8,テーブル項目ALL,2,FALSE)</f>
        <v>received_order_no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77</v>
      </c>
      <c r="C9" s="40" t="str">
        <f t="shared" ca="1" si="0"/>
        <v>customer_id</v>
      </c>
      <c r="D9" s="40" t="str">
        <f t="shared" ca="1" si="1"/>
        <v>varchar(3)</v>
      </c>
      <c r="E9" s="56">
        <v>1</v>
      </c>
      <c r="F9" s="50"/>
      <c r="G9" s="43" t="str">
        <f t="shared" ca="1" si="7"/>
        <v>(LENGTH(customer_id) &gt;= 3)</v>
      </c>
      <c r="H9" s="14" t="b">
        <f t="shared" ca="1" si="2"/>
        <v>0</v>
      </c>
      <c r="I9" s="14" t="b">
        <f t="shared" ca="1" si="3"/>
        <v>1</v>
      </c>
      <c r="K9" s="71" t="s">
        <v>140</v>
      </c>
      <c r="L9" s="72">
        <f ca="1">IFERROR(VLOOKUP(L8,テーブル項目ALL,4,FALSE),"")</f>
        <v>1</v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77</v>
      </c>
    </row>
    <row r="10" spans="1:41">
      <c r="A10" s="53">
        <v>5</v>
      </c>
      <c r="B10" s="47" t="s">
        <v>35</v>
      </c>
      <c r="C10" s="40" t="str">
        <f t="shared" ca="1" si="0"/>
        <v>comment</v>
      </c>
      <c r="D10" s="40" t="str">
        <f t="shared" ca="1" si="1"/>
        <v>text</v>
      </c>
      <c r="E10" s="56"/>
      <c r="F10" s="50"/>
      <c r="G10" s="43" t="str">
        <f t="shared" ca="1" si="7"/>
        <v>(LENGTH(comment) &gt;= 10)</v>
      </c>
      <c r="H10" s="14" t="b">
        <f t="shared" ca="1" si="2"/>
        <v>0</v>
      </c>
      <c r="I10" s="14" t="b">
        <f t="shared" ca="1" si="3"/>
        <v>1</v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 t="s">
        <v>35</v>
      </c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494D2E5D-C682-4B19-A608-18504BEC8562}">
      <formula1>テーブル項目KEY</formula1>
    </dataValidation>
    <dataValidation type="whole" imeMode="off" operator="equal" allowBlank="1" showInputMessage="1" showErrorMessage="1" error="NotNullの場合は[1]を入力する。" sqref="E6:E105" xr:uid="{5F817FB1-8AB6-4E7A-95DD-1C3B0C24123B}">
      <formula1>1</formula1>
    </dataValidation>
    <dataValidation type="list" allowBlank="1" showInputMessage="1" showErrorMessage="1" sqref="B6:B105" xr:uid="{89AE8279-B5F3-4868-947D-81DB4F4A9597}">
      <formula1>項目KEY</formula1>
    </dataValidation>
    <dataValidation imeMode="off" allowBlank="1" showInputMessage="1" showErrorMessage="1" sqref="D5:F5 C2" xr:uid="{C212547C-D8D3-4391-ADD3-568B80DAB2C1}"/>
    <dataValidation imeMode="on" allowBlank="1" showInputMessage="1" showErrorMessage="1" sqref="K12 A5 A1:A2 F6:I105 K7" xr:uid="{0C0216DE-4E07-41FB-A074-7624F7ABA0C0}"/>
  </dataValidations>
  <hyperlinks>
    <hyperlink ref="E1" location="一覧!R1C1" display="一覧へ" xr:uid="{4631B4D6-D96B-4A94-8B99-1BBD548FD6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14FFF-5C4C-4936-A42A-C6A46C4A4A1C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156</v>
      </c>
      <c r="C2" s="24" t="s">
        <v>157</v>
      </c>
      <c r="D2" s="38">
        <v>3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58</v>
      </c>
      <c r="C6" s="39" t="str">
        <f t="shared" ref="C6:C69" ca="1" si="0">IFERROR(VLOOKUP(B6,項目DATA,2,FALSE),"")</f>
        <v>received_order_no</v>
      </c>
      <c r="D6" s="39" t="str">
        <f t="shared" ref="D6:D69" ca="1" si="1">IFERROR(VLOOKUP(B6,項目DATA,3,FALSE),"")</f>
        <v>varchar(10)</v>
      </c>
      <c r="E6" s="55">
        <v>1</v>
      </c>
      <c r="F6" s="49"/>
      <c r="G6" s="42" t="str">
        <f ca="1">IFERROR(VLOOKUP(B6,項目DATA,4,FALSE),"")</f>
        <v>(LENGTH(received_order_no) &gt;= 10)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155</v>
      </c>
    </row>
    <row r="7" spans="1:41">
      <c r="A7" s="53">
        <v>2</v>
      </c>
      <c r="B7" s="47" t="s">
        <v>50</v>
      </c>
      <c r="C7" s="40" t="str">
        <f t="shared" ca="1" si="0"/>
        <v>product_no</v>
      </c>
      <c r="D7" s="40" t="str">
        <f t="shared" ca="1" si="1"/>
        <v>varchar(10)</v>
      </c>
      <c r="E7" s="56">
        <v>1</v>
      </c>
      <c r="F7" s="50"/>
      <c r="G7" s="43" t="str">
        <f t="shared" ref="G7:G70" ca="1" si="7">IFERROR(VLOOKUP(B7,項目DATA,4,FALSE),"")</f>
        <v>(LENGTH(product_no) &gt;= 9)</v>
      </c>
      <c r="H7" s="14" t="b">
        <f t="shared" ca="1" si="2"/>
        <v>0</v>
      </c>
      <c r="I7" s="14" t="b">
        <f t="shared" ca="1" si="3"/>
        <v>1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50</v>
      </c>
    </row>
    <row r="8" spans="1:41">
      <c r="A8" s="53">
        <v>3</v>
      </c>
      <c r="B8" s="47" t="s">
        <v>56</v>
      </c>
      <c r="C8" s="40" t="str">
        <f t="shared" ca="1" si="0"/>
        <v>quantity</v>
      </c>
      <c r="D8" s="40" t="str">
        <f t="shared" ca="1" si="1"/>
        <v>integer</v>
      </c>
      <c r="E8" s="56"/>
      <c r="F8" s="50"/>
      <c r="G8" s="43" t="str">
        <f t="shared" ca="1" si="7"/>
        <v>(quantity &gt;= 0 AND quantity &lt;= 99999)</v>
      </c>
      <c r="H8" s="14" t="b">
        <f t="shared" ca="1" si="2"/>
        <v>0</v>
      </c>
      <c r="I8" s="14" t="b">
        <f t="shared" ca="1" si="3"/>
        <v>0</v>
      </c>
      <c r="K8" s="69" t="s">
        <v>15</v>
      </c>
      <c r="L8" s="59" t="s">
        <v>58</v>
      </c>
      <c r="M8" s="60" t="s">
        <v>50</v>
      </c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56</v>
      </c>
      <c r="AK8" s="75" t="str">
        <f ca="1">VLOOKUP(L8,テーブル項目ALL,2,FALSE)</f>
        <v>received_order_no</v>
      </c>
      <c r="AL8" s="75" t="str">
        <f ca="1">VLOOKUP(M8,テーブル項目ALL,2,FALSE)</f>
        <v>product_no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4</v>
      </c>
      <c r="C9" s="40" t="str">
        <f t="shared" ca="1" si="0"/>
        <v>price</v>
      </c>
      <c r="D9" s="40" t="str">
        <f t="shared" ca="1" si="1"/>
        <v>integer</v>
      </c>
      <c r="E9" s="56"/>
      <c r="F9" s="50"/>
      <c r="G9" s="43" t="str">
        <f t="shared" ca="1" si="7"/>
        <v>(price &gt;= 0 AND price &lt;= 99999)</v>
      </c>
      <c r="H9" s="14" t="b">
        <f t="shared" ca="1" si="2"/>
        <v>0</v>
      </c>
      <c r="I9" s="14" t="b">
        <f t="shared" ca="1" si="3"/>
        <v>0</v>
      </c>
      <c r="K9" s="71" t="s">
        <v>140</v>
      </c>
      <c r="L9" s="72">
        <f ca="1">IFERROR(VLOOKUP(L8,テーブル項目ALL,4,FALSE),"")</f>
        <v>1</v>
      </c>
      <c r="M9" s="73">
        <f ca="1">IFERROR(VLOOKUP(M8,テーブル項目ALL,4,FALSE),"")</f>
        <v>1</v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4</v>
      </c>
    </row>
    <row r="10" spans="1:41">
      <c r="A10" s="53">
        <v>5</v>
      </c>
      <c r="B10" s="47"/>
      <c r="C10" s="40" t="str">
        <f t="shared" ca="1" si="0"/>
        <v/>
      </c>
      <c r="D10" s="40" t="str">
        <f t="shared" ca="1" si="1"/>
        <v/>
      </c>
      <c r="E10" s="56"/>
      <c r="F10" s="50"/>
      <c r="G10" s="43" t="str">
        <f t="shared" ca="1" si="7"/>
        <v/>
      </c>
      <c r="H10" s="14" t="str">
        <f t="shared" ca="1" si="2"/>
        <v/>
      </c>
      <c r="I10" s="14" t="str">
        <f t="shared" ca="1" si="3"/>
        <v/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/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35923ECD-924F-4686-86C7-DBD0FD9615AF}">
      <formula1>テーブル項目KEY</formula1>
    </dataValidation>
    <dataValidation type="whole" imeMode="off" operator="equal" allowBlank="1" showInputMessage="1" showErrorMessage="1" error="NotNullの場合は[1]を入力する。" sqref="E6:E105" xr:uid="{9163D7D4-A184-41D3-A0BC-6E623E6A1404}">
      <formula1>1</formula1>
    </dataValidation>
    <dataValidation type="list" allowBlank="1" showInputMessage="1" showErrorMessage="1" sqref="B6:B105" xr:uid="{A48B47BD-7818-413C-8D0B-E83E9D776D56}">
      <formula1>項目KEY</formula1>
    </dataValidation>
    <dataValidation imeMode="off" allowBlank="1" showInputMessage="1" showErrorMessage="1" sqref="D5:F5 C2" xr:uid="{B72681AE-28E7-46E7-B3FF-7B8535F0848F}"/>
    <dataValidation imeMode="on" allowBlank="1" showInputMessage="1" showErrorMessage="1" sqref="K12 A5 A1:A2 F6:I105 K7" xr:uid="{32B3A012-9D6F-4473-89DE-F82F3D04F218}"/>
  </dataValidations>
  <hyperlinks>
    <hyperlink ref="E1" location="一覧!R1C1" display="一覧へ" xr:uid="{9C8DC6E8-9A62-415E-8115-AEE7DF3EDF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WORK</vt:lpstr>
      <vt:lpstr>得意先</vt:lpstr>
      <vt:lpstr>受注</vt:lpstr>
      <vt:lpstr>受注明細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2024-02-12T11:56:02Z</dcterms:modified>
</cp:coreProperties>
</file>