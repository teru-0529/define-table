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5D4A5328-A9AE-4098-BE8D-2C2EEAA2627C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項目" sheetId="2" r:id="rId1"/>
    <sheet name="一覧" sheetId="1" r:id="rId2"/>
    <sheet name="テンプレート" sheetId="4" r:id="rId3"/>
    <sheet name="得意先" sheetId="73" r:id="rId4"/>
    <sheet name="受注" sheetId="74" r:id="rId5"/>
    <sheet name="受注明細" sheetId="75" r:id="rId6"/>
    <sheet name="WORK" sheetId="5" state="hidden" r:id="rId7"/>
  </sheets>
  <functionGroups builtInGroupCount="19"/>
  <definedNames>
    <definedName name="CURRENT_DATETIME">45342.3099884259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FK_FIELD_1" localSheetId="2">OFFSET(テンプレート!$AL$6,,,テンプレート!$AL$5,)</definedName>
    <definedName name="FK_FIELD_1" localSheetId="4">OFFSET(受注!$AL$6,,,受注!$AL$5,)</definedName>
    <definedName name="FK_FIELD_1" localSheetId="5">OFFSET(受注明細!$AL$6,,,受注明細!$AL$5,)</definedName>
    <definedName name="FK_FIELD_1" localSheetId="3">OFFSET(得意先!$AL$6,,,得意先!$AL$5,)</definedName>
    <definedName name="FK_FIELD_2" localSheetId="2">OFFSET(テンプレート!$AM$6,,,テンプレート!$AM$5,)</definedName>
    <definedName name="FK_FIELD_2" localSheetId="4">OFFSET(受注!$AM$6,,,受注!$AM$5,)</definedName>
    <definedName name="FK_FIELD_2" localSheetId="5">OFFSET(受注明細!$AM$6,,,受注明細!$AM$5,)</definedName>
    <definedName name="FK_FIELD_2" localSheetId="3">OFFSET(得意先!$AM$6,,,得意先!$AM$5,)</definedName>
    <definedName name="FK_FIELD_3" localSheetId="2">OFFSET(テンプレート!$AN$6,,,テンプレート!$AN$5,)</definedName>
    <definedName name="FK_FIELD_3" localSheetId="4">OFFSET(受注!$AN$6,,,受注!$AN$5,)</definedName>
    <definedName name="FK_FIELD_3" localSheetId="5">OFFSET(受注明細!$AN$6,,,受注明細!$AN$5,)</definedName>
    <definedName name="FK_FIELD_3" localSheetId="3">OFFSET(得意先!$AN$6,,,得意先!$AN$5,)</definedName>
    <definedName name="FK_FIELD_4" localSheetId="2">OFFSET(テンプレート!$AO$6,,,テンプレート!$AO$5,)</definedName>
    <definedName name="FK_FIELD_4" localSheetId="4">OFFSET(受注!$AO$6,,,受注!$AO$5,)</definedName>
    <definedName name="FK_FIELD_4" localSheetId="5">OFFSET(受注明細!$AO$6,,,受注明細!$AO$5,)</definedName>
    <definedName name="FK_FIELD_4" localSheetId="3">OFFSET(得意先!$AO$6,,,得意先!$AO$5,)</definedName>
    <definedName name="FK_FIELD_5" localSheetId="2">OFFSET(テンプレート!$AP$6,,,テンプレート!$AP$5,)</definedName>
    <definedName name="FK_FIELD_5" localSheetId="4">OFFSET(受注!$AP$6,,,受注!$AP$5,)</definedName>
    <definedName name="FK_FIELD_5" localSheetId="5">OFFSET(受注明細!$AP$6,,,受注明細!$AP$5,)</definedName>
    <definedName name="FK_FIELD_5" localSheetId="3">OFFSET(得意先!$AP$6,,,得意先!$AP$5,)</definedName>
    <definedName name="FK_OPTION">WORK!$E$6:$E$9</definedName>
    <definedName name="INVALID">FALSE</definedName>
    <definedName name="IS_MASTER" localSheetId="2">テンプレート!$F$2</definedName>
    <definedName name="IS_MASTER" localSheetId="4">受注!$F$2</definedName>
    <definedName name="IS_MASTER" localSheetId="5">受注明細!$F$2</definedName>
    <definedName name="IS_MASTER" localSheetId="3">得意先!$F$2</definedName>
    <definedName name="MODIFY_DATETIME">45342.3099884259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CHEMA_EN">WORK!$A$9</definedName>
    <definedName name="SCHEMA_JP">WORK!$A$6</definedName>
    <definedName name="TABLE_AREA" localSheetId="2">テンプレート!$AK$6:$AK$105</definedName>
    <definedName name="TABLE_AREA" localSheetId="4">受注!$AK$6:$AK$105</definedName>
    <definedName name="TABLE_AREA" localSheetId="5">受注明細!$AK$6:$AK$105</definedName>
    <definedName name="TABLE_AREA" localSheetId="3">得意先!$AK$6:$AK$105</definedName>
    <definedName name="TABLE_COUNT" localSheetId="2">テンプレート!$AK$5</definedName>
    <definedName name="TABLE_COUNT" localSheetId="4">受注!$AK$5</definedName>
    <definedName name="TABLE_COUNT" localSheetId="5">受注明細!$AK$5</definedName>
    <definedName name="TABLE_COUNT" localSheetId="3">得意先!$AK$5</definedName>
    <definedName name="TABLE_COUNT">#REF!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TABLEリスト" localSheetId="2">OFFSET(テンプレート!$AK$6,,,テンプレート!TABLE_COUNT,)</definedName>
    <definedName name="TABLEリスト" localSheetId="4">OFFSET(受注!$AK$6,,,受注!TABLE_COUNT,)</definedName>
    <definedName name="TABLEリスト" localSheetId="5">OFFSET(受注明細!$AK$6,,,受注明細!TABLE_COUNT,)</definedName>
    <definedName name="TABLEリスト" localSheetId="3">OFFSET(得意先!$AK$6,,,得意先!TABLE_COUNT,)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75" l="1"/>
  <c r="T105" i="75"/>
  <c r="H105" i="75"/>
  <c r="V105" i="75" s="1"/>
  <c r="G105" i="75"/>
  <c r="D105" i="75"/>
  <c r="C105" i="75"/>
  <c r="U104" i="75"/>
  <c r="T104" i="75"/>
  <c r="H104" i="75"/>
  <c r="V104" i="75" s="1"/>
  <c r="G104" i="75"/>
  <c r="D104" i="75"/>
  <c r="C104" i="75"/>
  <c r="U103" i="75"/>
  <c r="T103" i="75"/>
  <c r="H103" i="75"/>
  <c r="V103" i="75" s="1"/>
  <c r="G103" i="75"/>
  <c r="D103" i="75"/>
  <c r="C103" i="75"/>
  <c r="U102" i="75"/>
  <c r="T102" i="75"/>
  <c r="H102" i="75"/>
  <c r="V102" i="75" s="1"/>
  <c r="G102" i="75"/>
  <c r="D102" i="75"/>
  <c r="C102" i="75"/>
  <c r="U101" i="75"/>
  <c r="T101" i="75"/>
  <c r="H101" i="75"/>
  <c r="V101" i="75" s="1"/>
  <c r="G101" i="75"/>
  <c r="D101" i="75"/>
  <c r="C101" i="75"/>
  <c r="U100" i="75"/>
  <c r="T100" i="75"/>
  <c r="H100" i="75"/>
  <c r="V100" i="75" s="1"/>
  <c r="G100" i="75"/>
  <c r="D100" i="75"/>
  <c r="C100" i="75"/>
  <c r="U99" i="75"/>
  <c r="T99" i="75"/>
  <c r="H99" i="75"/>
  <c r="V99" i="75" s="1"/>
  <c r="G99" i="75"/>
  <c r="D99" i="75"/>
  <c r="C99" i="75"/>
  <c r="U98" i="75"/>
  <c r="T98" i="75"/>
  <c r="H98" i="75"/>
  <c r="V98" i="75" s="1"/>
  <c r="G98" i="75"/>
  <c r="D98" i="75"/>
  <c r="C98" i="75"/>
  <c r="U97" i="75"/>
  <c r="T97" i="75"/>
  <c r="H97" i="75"/>
  <c r="V97" i="75" s="1"/>
  <c r="G97" i="75"/>
  <c r="D97" i="75"/>
  <c r="C97" i="75"/>
  <c r="U96" i="75"/>
  <c r="T96" i="75"/>
  <c r="H96" i="75"/>
  <c r="V96" i="75" s="1"/>
  <c r="G96" i="75"/>
  <c r="D96" i="75"/>
  <c r="C96" i="75"/>
  <c r="U95" i="75"/>
  <c r="T95" i="75"/>
  <c r="H95" i="75"/>
  <c r="V95" i="75" s="1"/>
  <c r="G95" i="75"/>
  <c r="D95" i="75"/>
  <c r="C95" i="75"/>
  <c r="U94" i="75"/>
  <c r="T94" i="75"/>
  <c r="H94" i="75"/>
  <c r="V94" i="75" s="1"/>
  <c r="G94" i="75"/>
  <c r="D94" i="75"/>
  <c r="C94" i="75"/>
  <c r="U93" i="75"/>
  <c r="T93" i="75"/>
  <c r="H93" i="75"/>
  <c r="V93" i="75" s="1"/>
  <c r="G93" i="75"/>
  <c r="D93" i="75"/>
  <c r="C93" i="75"/>
  <c r="U92" i="75"/>
  <c r="T92" i="75"/>
  <c r="H92" i="75"/>
  <c r="V92" i="75" s="1"/>
  <c r="G92" i="75"/>
  <c r="D92" i="75"/>
  <c r="C92" i="75"/>
  <c r="U91" i="75"/>
  <c r="T91" i="75"/>
  <c r="H91" i="75"/>
  <c r="V91" i="75" s="1"/>
  <c r="G91" i="75"/>
  <c r="D91" i="75"/>
  <c r="C91" i="75"/>
  <c r="U90" i="75"/>
  <c r="T90" i="75"/>
  <c r="H90" i="75"/>
  <c r="V90" i="75" s="1"/>
  <c r="G90" i="75"/>
  <c r="D90" i="75"/>
  <c r="C90" i="75"/>
  <c r="U89" i="75"/>
  <c r="T89" i="75"/>
  <c r="H89" i="75"/>
  <c r="V89" i="75" s="1"/>
  <c r="G89" i="75"/>
  <c r="D89" i="75"/>
  <c r="C89" i="75"/>
  <c r="U88" i="75"/>
  <c r="T88" i="75"/>
  <c r="H88" i="75"/>
  <c r="V88" i="75" s="1"/>
  <c r="G88" i="75"/>
  <c r="D88" i="75"/>
  <c r="C88" i="75"/>
  <c r="U87" i="75"/>
  <c r="T87" i="75"/>
  <c r="H87" i="75"/>
  <c r="V87" i="75" s="1"/>
  <c r="G87" i="75"/>
  <c r="D87" i="75"/>
  <c r="C87" i="75"/>
  <c r="U86" i="75"/>
  <c r="T86" i="75"/>
  <c r="H86" i="75"/>
  <c r="V86" i="75" s="1"/>
  <c r="G86" i="75"/>
  <c r="D86" i="75"/>
  <c r="C86" i="75"/>
  <c r="U85" i="75"/>
  <c r="T85" i="75"/>
  <c r="H85" i="75"/>
  <c r="V85" i="75" s="1"/>
  <c r="G85" i="75"/>
  <c r="D85" i="75"/>
  <c r="C85" i="75"/>
  <c r="U84" i="75"/>
  <c r="T84" i="75"/>
  <c r="H84" i="75"/>
  <c r="V84" i="75" s="1"/>
  <c r="G84" i="75"/>
  <c r="D84" i="75"/>
  <c r="C84" i="75"/>
  <c r="U83" i="75"/>
  <c r="T83" i="75"/>
  <c r="H83" i="75"/>
  <c r="V83" i="75" s="1"/>
  <c r="G83" i="75"/>
  <c r="D83" i="75"/>
  <c r="C83" i="75"/>
  <c r="U82" i="75"/>
  <c r="T82" i="75"/>
  <c r="H82" i="75"/>
  <c r="V82" i="75" s="1"/>
  <c r="G82" i="75"/>
  <c r="D82" i="75"/>
  <c r="C82" i="75"/>
  <c r="U81" i="75"/>
  <c r="T81" i="75"/>
  <c r="H81" i="75"/>
  <c r="V81" i="75" s="1"/>
  <c r="G81" i="75"/>
  <c r="D81" i="75"/>
  <c r="C81" i="75"/>
  <c r="U80" i="75"/>
  <c r="T80" i="75"/>
  <c r="H80" i="75"/>
  <c r="V80" i="75" s="1"/>
  <c r="G80" i="75"/>
  <c r="D80" i="75"/>
  <c r="C80" i="75"/>
  <c r="U79" i="75"/>
  <c r="T79" i="75"/>
  <c r="H79" i="75"/>
  <c r="V79" i="75" s="1"/>
  <c r="G79" i="75"/>
  <c r="D79" i="75"/>
  <c r="C79" i="75"/>
  <c r="U78" i="75"/>
  <c r="T78" i="75"/>
  <c r="H78" i="75"/>
  <c r="V78" i="75" s="1"/>
  <c r="G78" i="75"/>
  <c r="D78" i="75"/>
  <c r="C78" i="75"/>
  <c r="U77" i="75"/>
  <c r="T77" i="75"/>
  <c r="H77" i="75"/>
  <c r="V77" i="75" s="1"/>
  <c r="G77" i="75"/>
  <c r="D77" i="75"/>
  <c r="C77" i="75"/>
  <c r="U76" i="75"/>
  <c r="T76" i="75"/>
  <c r="H76" i="75"/>
  <c r="V76" i="75" s="1"/>
  <c r="G76" i="75"/>
  <c r="D76" i="75"/>
  <c r="C76" i="75"/>
  <c r="U75" i="75"/>
  <c r="T75" i="75"/>
  <c r="H75" i="75"/>
  <c r="V75" i="75" s="1"/>
  <c r="G75" i="75"/>
  <c r="D75" i="75"/>
  <c r="C75" i="75"/>
  <c r="U74" i="75"/>
  <c r="T74" i="75"/>
  <c r="H74" i="75"/>
  <c r="V74" i="75" s="1"/>
  <c r="G74" i="75"/>
  <c r="D74" i="75"/>
  <c r="C74" i="75"/>
  <c r="U73" i="75"/>
  <c r="T73" i="75"/>
  <c r="H73" i="75"/>
  <c r="V73" i="75" s="1"/>
  <c r="G73" i="75"/>
  <c r="D73" i="75"/>
  <c r="C73" i="75"/>
  <c r="U72" i="75"/>
  <c r="T72" i="75"/>
  <c r="H72" i="75"/>
  <c r="V72" i="75" s="1"/>
  <c r="G72" i="75"/>
  <c r="D72" i="75"/>
  <c r="C72" i="75"/>
  <c r="U71" i="75"/>
  <c r="T71" i="75"/>
  <c r="H71" i="75"/>
  <c r="V71" i="75" s="1"/>
  <c r="G71" i="75"/>
  <c r="D71" i="75"/>
  <c r="C71" i="75"/>
  <c r="U70" i="75"/>
  <c r="T70" i="75"/>
  <c r="H70" i="75"/>
  <c r="V70" i="75" s="1"/>
  <c r="G70" i="75"/>
  <c r="D70" i="75"/>
  <c r="C70" i="75"/>
  <c r="U69" i="75"/>
  <c r="T69" i="75"/>
  <c r="H69" i="75"/>
  <c r="V69" i="75" s="1"/>
  <c r="G69" i="75"/>
  <c r="D69" i="75"/>
  <c r="C69" i="75"/>
  <c r="U68" i="75"/>
  <c r="T68" i="75"/>
  <c r="H68" i="75"/>
  <c r="V68" i="75" s="1"/>
  <c r="G68" i="75"/>
  <c r="D68" i="75"/>
  <c r="C68" i="75"/>
  <c r="U67" i="75"/>
  <c r="T67" i="75"/>
  <c r="H67" i="75"/>
  <c r="V67" i="75" s="1"/>
  <c r="G67" i="75"/>
  <c r="D67" i="75"/>
  <c r="C67" i="75"/>
  <c r="U66" i="75"/>
  <c r="T66" i="75"/>
  <c r="H66" i="75"/>
  <c r="V66" i="75" s="1"/>
  <c r="G66" i="75"/>
  <c r="D66" i="75"/>
  <c r="C66" i="75"/>
  <c r="U65" i="75"/>
  <c r="T65" i="75"/>
  <c r="H65" i="75"/>
  <c r="V65" i="75" s="1"/>
  <c r="G65" i="75"/>
  <c r="D65" i="75"/>
  <c r="C65" i="75"/>
  <c r="U64" i="75"/>
  <c r="T64" i="75"/>
  <c r="H64" i="75"/>
  <c r="V64" i="75" s="1"/>
  <c r="G64" i="75"/>
  <c r="D64" i="75"/>
  <c r="C64" i="75"/>
  <c r="U63" i="75"/>
  <c r="T63" i="75"/>
  <c r="R63" i="75"/>
  <c r="AD63" i="75" s="1"/>
  <c r="H63" i="75"/>
  <c r="V63" i="75" s="1"/>
  <c r="G63" i="75"/>
  <c r="D63" i="75"/>
  <c r="C63" i="75"/>
  <c r="U62" i="75"/>
  <c r="T62" i="75"/>
  <c r="H62" i="75"/>
  <c r="V62" i="75" s="1"/>
  <c r="G62" i="75"/>
  <c r="D62" i="75"/>
  <c r="C62" i="75"/>
  <c r="U61" i="75"/>
  <c r="T61" i="75"/>
  <c r="R61" i="75"/>
  <c r="H61" i="75"/>
  <c r="V61" i="75" s="1"/>
  <c r="G61" i="75"/>
  <c r="D61" i="75"/>
  <c r="C61" i="75"/>
  <c r="U60" i="75"/>
  <c r="T60" i="75"/>
  <c r="H60" i="75"/>
  <c r="V60" i="75" s="1"/>
  <c r="G60" i="75"/>
  <c r="D60" i="75"/>
  <c r="C60" i="75"/>
  <c r="U59" i="75"/>
  <c r="T59" i="75"/>
  <c r="R59" i="75"/>
  <c r="H59" i="75"/>
  <c r="V59" i="75" s="1"/>
  <c r="G59" i="75"/>
  <c r="D59" i="75"/>
  <c r="C59" i="75"/>
  <c r="U58" i="75"/>
  <c r="T58" i="75"/>
  <c r="H58" i="75"/>
  <c r="V58" i="75" s="1"/>
  <c r="G58" i="75"/>
  <c r="D58" i="75"/>
  <c r="C58" i="75"/>
  <c r="U57" i="75"/>
  <c r="T57" i="75"/>
  <c r="R57" i="75"/>
  <c r="AD57" i="75" s="1"/>
  <c r="H57" i="75"/>
  <c r="V57" i="75" s="1"/>
  <c r="G57" i="75"/>
  <c r="D57" i="75"/>
  <c r="C57" i="75"/>
  <c r="U56" i="75"/>
  <c r="T56" i="75"/>
  <c r="H56" i="75"/>
  <c r="V56" i="75" s="1"/>
  <c r="G56" i="75"/>
  <c r="D56" i="75"/>
  <c r="C56" i="75"/>
  <c r="U55" i="75"/>
  <c r="T55" i="75"/>
  <c r="R55" i="75"/>
  <c r="H55" i="75"/>
  <c r="V55" i="75" s="1"/>
  <c r="G55" i="75"/>
  <c r="D55" i="75"/>
  <c r="C55" i="75"/>
  <c r="U54" i="75"/>
  <c r="T54" i="75"/>
  <c r="H54" i="75"/>
  <c r="V54" i="75" s="1"/>
  <c r="G54" i="75"/>
  <c r="D54" i="75"/>
  <c r="C54" i="75"/>
  <c r="U53" i="75"/>
  <c r="T53" i="75"/>
  <c r="H53" i="75"/>
  <c r="V53" i="75" s="1"/>
  <c r="G53" i="75"/>
  <c r="D53" i="75"/>
  <c r="C53" i="75"/>
  <c r="U52" i="75"/>
  <c r="T52" i="75"/>
  <c r="H52" i="75"/>
  <c r="V52" i="75" s="1"/>
  <c r="G52" i="75"/>
  <c r="D52" i="75"/>
  <c r="C52" i="75"/>
  <c r="U51" i="75"/>
  <c r="T51" i="75"/>
  <c r="H51" i="75"/>
  <c r="V51" i="75" s="1"/>
  <c r="G51" i="75"/>
  <c r="D51" i="75"/>
  <c r="C51" i="75"/>
  <c r="AC50" i="75"/>
  <c r="AB50" i="75"/>
  <c r="AA50" i="75"/>
  <c r="Z50" i="75"/>
  <c r="Y50" i="75"/>
  <c r="U50" i="75"/>
  <c r="T50" i="75"/>
  <c r="H50" i="75"/>
  <c r="V50" i="75" s="1"/>
  <c r="G50" i="75"/>
  <c r="D50" i="75"/>
  <c r="C50" i="75"/>
  <c r="AC49" i="75"/>
  <c r="AB49" i="75"/>
  <c r="AA49" i="75"/>
  <c r="Z49" i="75"/>
  <c r="Y49" i="75"/>
  <c r="U49" i="75"/>
  <c r="T49" i="75"/>
  <c r="H49" i="75"/>
  <c r="V49" i="75" s="1"/>
  <c r="G49" i="75"/>
  <c r="D49" i="75"/>
  <c r="C49" i="75"/>
  <c r="U48" i="75"/>
  <c r="T48" i="75"/>
  <c r="H48" i="75"/>
  <c r="V48" i="75" s="1"/>
  <c r="G48" i="75"/>
  <c r="D48" i="75"/>
  <c r="C48" i="75"/>
  <c r="U47" i="75"/>
  <c r="T47" i="75"/>
  <c r="R47" i="75"/>
  <c r="S47" i="75" s="1"/>
  <c r="H47" i="75"/>
  <c r="V47" i="75" s="1"/>
  <c r="G47" i="75"/>
  <c r="D47" i="75"/>
  <c r="C47" i="75"/>
  <c r="U46" i="75"/>
  <c r="T46" i="75"/>
  <c r="H46" i="75"/>
  <c r="V46" i="75" s="1"/>
  <c r="G46" i="75"/>
  <c r="D46" i="75"/>
  <c r="C46" i="75"/>
  <c r="AC45" i="75"/>
  <c r="AB45" i="75"/>
  <c r="AA45" i="75"/>
  <c r="Z45" i="75"/>
  <c r="Y45" i="75"/>
  <c r="U45" i="75"/>
  <c r="T45" i="75"/>
  <c r="H45" i="75"/>
  <c r="V45" i="75" s="1"/>
  <c r="G45" i="75"/>
  <c r="D45" i="75"/>
  <c r="C45" i="75"/>
  <c r="AC44" i="75"/>
  <c r="AB44" i="75"/>
  <c r="AA44" i="75"/>
  <c r="Z44" i="75"/>
  <c r="Y44" i="75"/>
  <c r="U44" i="75"/>
  <c r="T44" i="75"/>
  <c r="H44" i="75"/>
  <c r="V44" i="75" s="1"/>
  <c r="G44" i="75"/>
  <c r="D44" i="75"/>
  <c r="C44" i="75"/>
  <c r="U43" i="75"/>
  <c r="T43" i="75"/>
  <c r="H43" i="75"/>
  <c r="V43" i="75" s="1"/>
  <c r="G43" i="75"/>
  <c r="D43" i="75"/>
  <c r="C43" i="75"/>
  <c r="U42" i="75"/>
  <c r="T42" i="75"/>
  <c r="R42" i="75"/>
  <c r="S42" i="75" s="1"/>
  <c r="H42" i="75"/>
  <c r="V42" i="75" s="1"/>
  <c r="G42" i="75"/>
  <c r="D42" i="75"/>
  <c r="C42" i="75"/>
  <c r="U41" i="75"/>
  <c r="T41" i="75"/>
  <c r="H41" i="75"/>
  <c r="V41" i="75" s="1"/>
  <c r="G41" i="75"/>
  <c r="D41" i="75"/>
  <c r="C41" i="75"/>
  <c r="AC40" i="75"/>
  <c r="AB40" i="75"/>
  <c r="AA40" i="75"/>
  <c r="Z40" i="75"/>
  <c r="Y40" i="75"/>
  <c r="U40" i="75"/>
  <c r="T40" i="75"/>
  <c r="H40" i="75"/>
  <c r="V40" i="75" s="1"/>
  <c r="G40" i="75"/>
  <c r="D40" i="75"/>
  <c r="C40" i="75"/>
  <c r="AC39" i="75"/>
  <c r="AB39" i="75"/>
  <c r="AA39" i="75"/>
  <c r="Z39" i="75"/>
  <c r="Y39" i="75"/>
  <c r="U39" i="75"/>
  <c r="T39" i="75"/>
  <c r="H39" i="75"/>
  <c r="V39" i="75" s="1"/>
  <c r="G39" i="75"/>
  <c r="D39" i="75"/>
  <c r="C39" i="75"/>
  <c r="U38" i="75"/>
  <c r="T38" i="75"/>
  <c r="H38" i="75"/>
  <c r="V38" i="75" s="1"/>
  <c r="G38" i="75"/>
  <c r="D38" i="75"/>
  <c r="C38" i="75"/>
  <c r="U37" i="75"/>
  <c r="T37" i="75"/>
  <c r="R37" i="75"/>
  <c r="S37" i="75" s="1"/>
  <c r="H37" i="75"/>
  <c r="V37" i="75" s="1"/>
  <c r="G37" i="75"/>
  <c r="D37" i="75"/>
  <c r="C37" i="75"/>
  <c r="U36" i="75"/>
  <c r="T36" i="75"/>
  <c r="H36" i="75"/>
  <c r="V36" i="75" s="1"/>
  <c r="G36" i="75"/>
  <c r="D36" i="75"/>
  <c r="C36" i="75"/>
  <c r="AC35" i="75"/>
  <c r="AB35" i="75"/>
  <c r="AA35" i="75"/>
  <c r="Z35" i="75"/>
  <c r="Y35" i="75"/>
  <c r="U35" i="75"/>
  <c r="T35" i="75"/>
  <c r="H35" i="75"/>
  <c r="V35" i="75" s="1"/>
  <c r="G35" i="75"/>
  <c r="D35" i="75"/>
  <c r="C35" i="75"/>
  <c r="AC34" i="75"/>
  <c r="AB34" i="75"/>
  <c r="AA34" i="75"/>
  <c r="Z34" i="75"/>
  <c r="Y34" i="75"/>
  <c r="U34" i="75"/>
  <c r="T34" i="75"/>
  <c r="H34" i="75"/>
  <c r="V34" i="75" s="1"/>
  <c r="G34" i="75"/>
  <c r="D34" i="75"/>
  <c r="C34" i="75"/>
  <c r="U33" i="75"/>
  <c r="T33" i="75"/>
  <c r="H33" i="75"/>
  <c r="V33" i="75" s="1"/>
  <c r="G33" i="75"/>
  <c r="D33" i="75"/>
  <c r="C33" i="75"/>
  <c r="U32" i="75"/>
  <c r="T32" i="75"/>
  <c r="R32" i="75"/>
  <c r="S32" i="75" s="1"/>
  <c r="H32" i="75"/>
  <c r="V32" i="75" s="1"/>
  <c r="G32" i="75"/>
  <c r="D32" i="75"/>
  <c r="C32" i="75"/>
  <c r="U31" i="75"/>
  <c r="T31" i="75"/>
  <c r="H31" i="75"/>
  <c r="V31" i="75" s="1"/>
  <c r="G31" i="75"/>
  <c r="D31" i="75"/>
  <c r="C31" i="75"/>
  <c r="AC30" i="75"/>
  <c r="AB30" i="75"/>
  <c r="AA30" i="75"/>
  <c r="Z30" i="75"/>
  <c r="Y30" i="75"/>
  <c r="U30" i="75"/>
  <c r="T30" i="75"/>
  <c r="H30" i="75"/>
  <c r="V30" i="75" s="1"/>
  <c r="G30" i="75"/>
  <c r="D30" i="75"/>
  <c r="C30" i="75"/>
  <c r="AC29" i="75"/>
  <c r="AB29" i="75"/>
  <c r="AA29" i="75"/>
  <c r="Z29" i="75"/>
  <c r="Y29" i="75"/>
  <c r="U29" i="75"/>
  <c r="T29" i="75"/>
  <c r="H29" i="75"/>
  <c r="V29" i="75" s="1"/>
  <c r="G29" i="75"/>
  <c r="D29" i="75"/>
  <c r="C29" i="75"/>
  <c r="U28" i="75"/>
  <c r="T28" i="75"/>
  <c r="H28" i="75"/>
  <c r="V28" i="75" s="1"/>
  <c r="G28" i="75"/>
  <c r="D28" i="75"/>
  <c r="C28" i="75"/>
  <c r="U27" i="75"/>
  <c r="T27" i="75"/>
  <c r="R27" i="75"/>
  <c r="S27" i="75" s="1"/>
  <c r="AD27" i="75" s="1"/>
  <c r="H27" i="75"/>
  <c r="V27" i="75" s="1"/>
  <c r="G27" i="75"/>
  <c r="D27" i="75"/>
  <c r="C27" i="75"/>
  <c r="U26" i="75"/>
  <c r="T26" i="75"/>
  <c r="H26" i="75"/>
  <c r="V26" i="75" s="1"/>
  <c r="G26" i="75"/>
  <c r="D26" i="75"/>
  <c r="C26" i="75"/>
  <c r="U25" i="75"/>
  <c r="T25" i="75"/>
  <c r="H25" i="75"/>
  <c r="V25" i="75" s="1"/>
  <c r="G25" i="75"/>
  <c r="D25" i="75"/>
  <c r="C25" i="75"/>
  <c r="U24" i="75"/>
  <c r="T24" i="75"/>
  <c r="H24" i="75"/>
  <c r="V24" i="75" s="1"/>
  <c r="G24" i="75"/>
  <c r="D24" i="75"/>
  <c r="C24" i="75"/>
  <c r="U23" i="75"/>
  <c r="T23" i="75"/>
  <c r="H23" i="75"/>
  <c r="V23" i="75" s="1"/>
  <c r="G23" i="75"/>
  <c r="D23" i="75"/>
  <c r="C23" i="75"/>
  <c r="U22" i="75"/>
  <c r="T22" i="75"/>
  <c r="R22" i="75"/>
  <c r="AD22" i="75" s="1"/>
  <c r="H22" i="75"/>
  <c r="V22" i="75" s="1"/>
  <c r="G22" i="75"/>
  <c r="D22" i="75"/>
  <c r="C22" i="75"/>
  <c r="U21" i="75"/>
  <c r="T21" i="75"/>
  <c r="R21" i="75"/>
  <c r="H21" i="75"/>
  <c r="V21" i="75" s="1"/>
  <c r="G21" i="75"/>
  <c r="D21" i="75"/>
  <c r="C21" i="75"/>
  <c r="U20" i="75"/>
  <c r="T20" i="75"/>
  <c r="R20" i="75"/>
  <c r="AD20" i="75" s="1"/>
  <c r="H20" i="75"/>
  <c r="V20" i="75" s="1"/>
  <c r="G20" i="75"/>
  <c r="D20" i="75"/>
  <c r="C20" i="75"/>
  <c r="U19" i="75"/>
  <c r="T19" i="75"/>
  <c r="R19" i="75"/>
  <c r="H19" i="75"/>
  <c r="V19" i="75" s="1"/>
  <c r="G19" i="75"/>
  <c r="D19" i="75"/>
  <c r="C19" i="75"/>
  <c r="U18" i="75"/>
  <c r="T18" i="75"/>
  <c r="R18" i="75"/>
  <c r="AD18" i="75" s="1"/>
  <c r="H18" i="75"/>
  <c r="V18" i="75" s="1"/>
  <c r="G18" i="75"/>
  <c r="D18" i="75"/>
  <c r="C18" i="75"/>
  <c r="U17" i="75"/>
  <c r="T17" i="75"/>
  <c r="R17" i="75"/>
  <c r="H17" i="75"/>
  <c r="V17" i="75" s="1"/>
  <c r="G17" i="75"/>
  <c r="D17" i="75"/>
  <c r="C17" i="75"/>
  <c r="U16" i="75"/>
  <c r="T16" i="75"/>
  <c r="R16" i="75"/>
  <c r="H16" i="75"/>
  <c r="V16" i="75" s="1"/>
  <c r="G16" i="75"/>
  <c r="D16" i="75"/>
  <c r="C16" i="75"/>
  <c r="U15" i="75"/>
  <c r="T15" i="75"/>
  <c r="R15" i="75"/>
  <c r="AD15" i="75" s="1"/>
  <c r="H15" i="75"/>
  <c r="V15" i="75" s="1"/>
  <c r="G15" i="75"/>
  <c r="D15" i="75"/>
  <c r="C15" i="75"/>
  <c r="U14" i="75"/>
  <c r="T14" i="75"/>
  <c r="R14" i="75"/>
  <c r="AD55" i="75" s="1"/>
  <c r="H14" i="75"/>
  <c r="V14" i="75" s="1"/>
  <c r="G14" i="75"/>
  <c r="D14" i="75"/>
  <c r="C14" i="75"/>
  <c r="U13" i="75"/>
  <c r="T13" i="75"/>
  <c r="R13" i="75"/>
  <c r="AD59" i="75" s="1"/>
  <c r="H13" i="75"/>
  <c r="V13" i="75" s="1"/>
  <c r="G13" i="75"/>
  <c r="D13" i="75"/>
  <c r="C13" i="75"/>
  <c r="U12" i="75"/>
  <c r="T12" i="75"/>
  <c r="H12" i="75"/>
  <c r="V12" i="75" s="1"/>
  <c r="G12" i="75"/>
  <c r="D12" i="75"/>
  <c r="C12" i="75"/>
  <c r="U11" i="75"/>
  <c r="T11" i="75"/>
  <c r="H11" i="75"/>
  <c r="V11" i="75" s="1"/>
  <c r="G11" i="75"/>
  <c r="D11" i="75"/>
  <c r="C11" i="75"/>
  <c r="U10" i="75"/>
  <c r="T10" i="75"/>
  <c r="H10" i="75"/>
  <c r="V10" i="75" s="1"/>
  <c r="G10" i="75"/>
  <c r="D10" i="75"/>
  <c r="C10" i="75"/>
  <c r="U9" i="75"/>
  <c r="T9" i="75"/>
  <c r="H9" i="75"/>
  <c r="V9" i="75" s="1"/>
  <c r="G9" i="75"/>
  <c r="D9" i="75"/>
  <c r="C9" i="75"/>
  <c r="AC8" i="75"/>
  <c r="AB8" i="75"/>
  <c r="AA8" i="75"/>
  <c r="Z8" i="75"/>
  <c r="Y8" i="75"/>
  <c r="U8" i="75"/>
  <c r="T8" i="75"/>
  <c r="H8" i="75"/>
  <c r="V8" i="75" s="1"/>
  <c r="G8" i="75"/>
  <c r="D8" i="75"/>
  <c r="C8" i="75"/>
  <c r="AG7" i="75"/>
  <c r="U7" i="75"/>
  <c r="T7" i="75"/>
  <c r="H7" i="75"/>
  <c r="V7" i="75" s="1"/>
  <c r="G7" i="75"/>
  <c r="D7" i="75"/>
  <c r="C7" i="75"/>
  <c r="U6" i="75"/>
  <c r="T6" i="75"/>
  <c r="H6" i="75"/>
  <c r="V6" i="75" s="1"/>
  <c r="G6" i="75"/>
  <c r="D6" i="75"/>
  <c r="C6" i="75"/>
  <c r="AK5" i="75"/>
  <c r="AJ5" i="75"/>
  <c r="AB7" i="75" s="1"/>
  <c r="AI5" i="75"/>
  <c r="AB63" i="75" s="1"/>
  <c r="AG3" i="75"/>
  <c r="C2" i="75" a="1"/>
  <c r="C2" i="75" s="1"/>
  <c r="B2" i="75" a="1"/>
  <c r="B2" i="75" s="1"/>
  <c r="AG2" i="75" s="1"/>
  <c r="C1" i="75"/>
  <c r="B1" i="75"/>
  <c r="U105" i="74"/>
  <c r="T105" i="74"/>
  <c r="H105" i="74"/>
  <c r="V105" i="74" s="1"/>
  <c r="G105" i="74"/>
  <c r="D105" i="74"/>
  <c r="C105" i="74"/>
  <c r="U104" i="74"/>
  <c r="T104" i="74"/>
  <c r="H104" i="74"/>
  <c r="V104" i="74" s="1"/>
  <c r="G104" i="74"/>
  <c r="D104" i="74"/>
  <c r="C104" i="74"/>
  <c r="U103" i="74"/>
  <c r="T103" i="74"/>
  <c r="H103" i="74"/>
  <c r="V103" i="74" s="1"/>
  <c r="G103" i="74"/>
  <c r="D103" i="74"/>
  <c r="C103" i="74"/>
  <c r="U102" i="74"/>
  <c r="T102" i="74"/>
  <c r="H102" i="74"/>
  <c r="V102" i="74" s="1"/>
  <c r="G102" i="74"/>
  <c r="D102" i="74"/>
  <c r="C102" i="74"/>
  <c r="U101" i="74"/>
  <c r="T101" i="74"/>
  <c r="H101" i="74"/>
  <c r="V101" i="74" s="1"/>
  <c r="G101" i="74"/>
  <c r="D101" i="74"/>
  <c r="C101" i="74"/>
  <c r="U100" i="74"/>
  <c r="T100" i="74"/>
  <c r="H100" i="74"/>
  <c r="V100" i="74" s="1"/>
  <c r="G100" i="74"/>
  <c r="D100" i="74"/>
  <c r="C100" i="74"/>
  <c r="U99" i="74"/>
  <c r="T99" i="74"/>
  <c r="H99" i="74"/>
  <c r="V99" i="74" s="1"/>
  <c r="G99" i="74"/>
  <c r="D99" i="74"/>
  <c r="C99" i="74"/>
  <c r="U98" i="74"/>
  <c r="T98" i="74"/>
  <c r="H98" i="74"/>
  <c r="V98" i="74" s="1"/>
  <c r="G98" i="74"/>
  <c r="D98" i="74"/>
  <c r="C98" i="74"/>
  <c r="U97" i="74"/>
  <c r="T97" i="74"/>
  <c r="H97" i="74"/>
  <c r="V97" i="74" s="1"/>
  <c r="G97" i="74"/>
  <c r="D97" i="74"/>
  <c r="C97" i="74"/>
  <c r="U96" i="74"/>
  <c r="T96" i="74"/>
  <c r="H96" i="74"/>
  <c r="V96" i="74" s="1"/>
  <c r="G96" i="74"/>
  <c r="D96" i="74"/>
  <c r="C96" i="74"/>
  <c r="U95" i="74"/>
  <c r="T95" i="74"/>
  <c r="H95" i="74"/>
  <c r="V95" i="74" s="1"/>
  <c r="G95" i="74"/>
  <c r="D95" i="74"/>
  <c r="C95" i="74"/>
  <c r="U94" i="74"/>
  <c r="T94" i="74"/>
  <c r="H94" i="74"/>
  <c r="V94" i="74" s="1"/>
  <c r="G94" i="74"/>
  <c r="D94" i="74"/>
  <c r="C94" i="74"/>
  <c r="U93" i="74"/>
  <c r="T93" i="74"/>
  <c r="H93" i="74"/>
  <c r="V93" i="74" s="1"/>
  <c r="G93" i="74"/>
  <c r="D93" i="74"/>
  <c r="C93" i="74"/>
  <c r="U92" i="74"/>
  <c r="T92" i="74"/>
  <c r="H92" i="74"/>
  <c r="V92" i="74" s="1"/>
  <c r="G92" i="74"/>
  <c r="D92" i="74"/>
  <c r="C92" i="74"/>
  <c r="U91" i="74"/>
  <c r="T91" i="74"/>
  <c r="H91" i="74"/>
  <c r="V91" i="74" s="1"/>
  <c r="G91" i="74"/>
  <c r="D91" i="74"/>
  <c r="C91" i="74"/>
  <c r="U90" i="74"/>
  <c r="T90" i="74"/>
  <c r="H90" i="74"/>
  <c r="V90" i="74" s="1"/>
  <c r="G90" i="74"/>
  <c r="D90" i="74"/>
  <c r="C90" i="74"/>
  <c r="U89" i="74"/>
  <c r="T89" i="74"/>
  <c r="H89" i="74"/>
  <c r="V89" i="74" s="1"/>
  <c r="G89" i="74"/>
  <c r="D89" i="74"/>
  <c r="C89" i="74"/>
  <c r="U88" i="74"/>
  <c r="T88" i="74"/>
  <c r="H88" i="74"/>
  <c r="V88" i="74" s="1"/>
  <c r="G88" i="74"/>
  <c r="D88" i="74"/>
  <c r="C88" i="74"/>
  <c r="U87" i="74"/>
  <c r="T87" i="74"/>
  <c r="H87" i="74"/>
  <c r="V87" i="74" s="1"/>
  <c r="G87" i="74"/>
  <c r="D87" i="74"/>
  <c r="C87" i="74"/>
  <c r="U86" i="74"/>
  <c r="T86" i="74"/>
  <c r="H86" i="74"/>
  <c r="V86" i="74" s="1"/>
  <c r="G86" i="74"/>
  <c r="D86" i="74"/>
  <c r="C86" i="74"/>
  <c r="U85" i="74"/>
  <c r="T85" i="74"/>
  <c r="H85" i="74"/>
  <c r="V85" i="74" s="1"/>
  <c r="G85" i="74"/>
  <c r="D85" i="74"/>
  <c r="C85" i="74"/>
  <c r="U84" i="74"/>
  <c r="T84" i="74"/>
  <c r="H84" i="74"/>
  <c r="V84" i="74" s="1"/>
  <c r="G84" i="74"/>
  <c r="D84" i="74"/>
  <c r="C84" i="74"/>
  <c r="U83" i="74"/>
  <c r="T83" i="74"/>
  <c r="H83" i="74"/>
  <c r="V83" i="74" s="1"/>
  <c r="G83" i="74"/>
  <c r="D83" i="74"/>
  <c r="C83" i="74"/>
  <c r="U82" i="74"/>
  <c r="T82" i="74"/>
  <c r="H82" i="74"/>
  <c r="V82" i="74" s="1"/>
  <c r="G82" i="74"/>
  <c r="D82" i="74"/>
  <c r="C82" i="74"/>
  <c r="U81" i="74"/>
  <c r="T81" i="74"/>
  <c r="H81" i="74"/>
  <c r="V81" i="74" s="1"/>
  <c r="G81" i="74"/>
  <c r="D81" i="74"/>
  <c r="C81" i="74"/>
  <c r="U80" i="74"/>
  <c r="T80" i="74"/>
  <c r="H80" i="74"/>
  <c r="V80" i="74" s="1"/>
  <c r="G80" i="74"/>
  <c r="D80" i="74"/>
  <c r="C80" i="74"/>
  <c r="U79" i="74"/>
  <c r="T79" i="74"/>
  <c r="H79" i="74"/>
  <c r="V79" i="74" s="1"/>
  <c r="G79" i="74"/>
  <c r="D79" i="74"/>
  <c r="C79" i="74"/>
  <c r="U78" i="74"/>
  <c r="T78" i="74"/>
  <c r="H78" i="74"/>
  <c r="V78" i="74" s="1"/>
  <c r="G78" i="74"/>
  <c r="D78" i="74"/>
  <c r="C78" i="74"/>
  <c r="U77" i="74"/>
  <c r="T77" i="74"/>
  <c r="H77" i="74"/>
  <c r="V77" i="74" s="1"/>
  <c r="G77" i="74"/>
  <c r="D77" i="74"/>
  <c r="C77" i="74"/>
  <c r="U76" i="74"/>
  <c r="T76" i="74"/>
  <c r="H76" i="74"/>
  <c r="V76" i="74" s="1"/>
  <c r="G76" i="74"/>
  <c r="D76" i="74"/>
  <c r="C76" i="74"/>
  <c r="U75" i="74"/>
  <c r="T75" i="74"/>
  <c r="H75" i="74"/>
  <c r="V75" i="74" s="1"/>
  <c r="G75" i="74"/>
  <c r="D75" i="74"/>
  <c r="C75" i="74"/>
  <c r="U74" i="74"/>
  <c r="T74" i="74"/>
  <c r="H74" i="74"/>
  <c r="V74" i="74" s="1"/>
  <c r="G74" i="74"/>
  <c r="D74" i="74"/>
  <c r="C74" i="74"/>
  <c r="U73" i="74"/>
  <c r="T73" i="74"/>
  <c r="H73" i="74"/>
  <c r="V73" i="74" s="1"/>
  <c r="G73" i="74"/>
  <c r="D73" i="74"/>
  <c r="C73" i="74"/>
  <c r="U72" i="74"/>
  <c r="T72" i="74"/>
  <c r="H72" i="74"/>
  <c r="V72" i="74" s="1"/>
  <c r="G72" i="74"/>
  <c r="D72" i="74"/>
  <c r="C72" i="74"/>
  <c r="U71" i="74"/>
  <c r="T71" i="74"/>
  <c r="H71" i="74"/>
  <c r="V71" i="74" s="1"/>
  <c r="G71" i="74"/>
  <c r="D71" i="74"/>
  <c r="C71" i="74"/>
  <c r="U70" i="74"/>
  <c r="T70" i="74"/>
  <c r="H70" i="74"/>
  <c r="V70" i="74" s="1"/>
  <c r="G70" i="74"/>
  <c r="D70" i="74"/>
  <c r="C70" i="74"/>
  <c r="U69" i="74"/>
  <c r="T69" i="74"/>
  <c r="H69" i="74"/>
  <c r="V69" i="74" s="1"/>
  <c r="G69" i="74"/>
  <c r="D69" i="74"/>
  <c r="C69" i="74"/>
  <c r="U68" i="74"/>
  <c r="T68" i="74"/>
  <c r="H68" i="74"/>
  <c r="V68" i="74" s="1"/>
  <c r="G68" i="74"/>
  <c r="D68" i="74"/>
  <c r="C68" i="74"/>
  <c r="U67" i="74"/>
  <c r="T67" i="74"/>
  <c r="H67" i="74"/>
  <c r="V67" i="74" s="1"/>
  <c r="G67" i="74"/>
  <c r="D67" i="74"/>
  <c r="C67" i="74"/>
  <c r="U66" i="74"/>
  <c r="T66" i="74"/>
  <c r="H66" i="74"/>
  <c r="V66" i="74" s="1"/>
  <c r="G66" i="74"/>
  <c r="D66" i="74"/>
  <c r="C66" i="74"/>
  <c r="U65" i="74"/>
  <c r="T65" i="74"/>
  <c r="H65" i="74"/>
  <c r="V65" i="74" s="1"/>
  <c r="G65" i="74"/>
  <c r="D65" i="74"/>
  <c r="C65" i="74"/>
  <c r="U64" i="74"/>
  <c r="T64" i="74"/>
  <c r="H64" i="74"/>
  <c r="V64" i="74" s="1"/>
  <c r="G64" i="74"/>
  <c r="D64" i="74"/>
  <c r="C64" i="74"/>
  <c r="U63" i="74"/>
  <c r="T63" i="74"/>
  <c r="R63" i="74"/>
  <c r="H63" i="74"/>
  <c r="V63" i="74" s="1"/>
  <c r="G63" i="74"/>
  <c r="D63" i="74"/>
  <c r="C63" i="74"/>
  <c r="U62" i="74"/>
  <c r="T62" i="74"/>
  <c r="H62" i="74"/>
  <c r="V62" i="74" s="1"/>
  <c r="G62" i="74"/>
  <c r="D62" i="74"/>
  <c r="C62" i="74"/>
  <c r="U61" i="74"/>
  <c r="T61" i="74"/>
  <c r="R61" i="74"/>
  <c r="AD61" i="74" s="1"/>
  <c r="H61" i="74"/>
  <c r="V61" i="74" s="1"/>
  <c r="G61" i="74"/>
  <c r="D61" i="74"/>
  <c r="C61" i="74"/>
  <c r="U60" i="74"/>
  <c r="T60" i="74"/>
  <c r="H60" i="74"/>
  <c r="V60" i="74" s="1"/>
  <c r="G60" i="74"/>
  <c r="D60" i="74"/>
  <c r="C60" i="74"/>
  <c r="U59" i="74"/>
  <c r="T59" i="74"/>
  <c r="R59" i="74"/>
  <c r="H59" i="74"/>
  <c r="V59" i="74" s="1"/>
  <c r="G59" i="74"/>
  <c r="D59" i="74"/>
  <c r="C59" i="74"/>
  <c r="U58" i="74"/>
  <c r="T58" i="74"/>
  <c r="H58" i="74"/>
  <c r="V58" i="74" s="1"/>
  <c r="G58" i="74"/>
  <c r="D58" i="74"/>
  <c r="C58" i="74"/>
  <c r="U57" i="74"/>
  <c r="T57" i="74"/>
  <c r="R57" i="74"/>
  <c r="AD57" i="74" s="1"/>
  <c r="H57" i="74"/>
  <c r="V57" i="74" s="1"/>
  <c r="G57" i="74"/>
  <c r="D57" i="74"/>
  <c r="C57" i="74"/>
  <c r="U56" i="74"/>
  <c r="T56" i="74"/>
  <c r="H56" i="74"/>
  <c r="V56" i="74" s="1"/>
  <c r="G56" i="74"/>
  <c r="D56" i="74"/>
  <c r="C56" i="74"/>
  <c r="U55" i="74"/>
  <c r="T55" i="74"/>
  <c r="R55" i="74"/>
  <c r="H55" i="74"/>
  <c r="V55" i="74" s="1"/>
  <c r="G55" i="74"/>
  <c r="D55" i="74"/>
  <c r="C55" i="74"/>
  <c r="U54" i="74"/>
  <c r="T54" i="74"/>
  <c r="H54" i="74"/>
  <c r="V54" i="74" s="1"/>
  <c r="G54" i="74"/>
  <c r="D54" i="74"/>
  <c r="C54" i="74"/>
  <c r="U53" i="74"/>
  <c r="T53" i="74"/>
  <c r="H53" i="74"/>
  <c r="V53" i="74" s="1"/>
  <c r="G53" i="74"/>
  <c r="D53" i="74"/>
  <c r="C53" i="74"/>
  <c r="U52" i="74"/>
  <c r="T52" i="74"/>
  <c r="H52" i="74"/>
  <c r="V52" i="74" s="1"/>
  <c r="G52" i="74"/>
  <c r="D52" i="74"/>
  <c r="C52" i="74"/>
  <c r="U51" i="74"/>
  <c r="T51" i="74"/>
  <c r="H51" i="74"/>
  <c r="V51" i="74" s="1"/>
  <c r="G51" i="74"/>
  <c r="D51" i="74"/>
  <c r="C51" i="74"/>
  <c r="AC50" i="74"/>
  <c r="AB50" i="74"/>
  <c r="AA50" i="74"/>
  <c r="Z50" i="74"/>
  <c r="Y50" i="74"/>
  <c r="U50" i="74"/>
  <c r="T50" i="74"/>
  <c r="H50" i="74"/>
  <c r="V50" i="74" s="1"/>
  <c r="G50" i="74"/>
  <c r="D50" i="74"/>
  <c r="C50" i="74"/>
  <c r="AC49" i="74"/>
  <c r="AB49" i="74"/>
  <c r="AA49" i="74"/>
  <c r="Z49" i="74"/>
  <c r="Y49" i="74"/>
  <c r="U49" i="74"/>
  <c r="T49" i="74"/>
  <c r="H49" i="74"/>
  <c r="V49" i="74" s="1"/>
  <c r="G49" i="74"/>
  <c r="D49" i="74"/>
  <c r="C49" i="74"/>
  <c r="U48" i="74"/>
  <c r="T48" i="74"/>
  <c r="H48" i="74"/>
  <c r="V48" i="74" s="1"/>
  <c r="G48" i="74"/>
  <c r="D48" i="74"/>
  <c r="C48" i="74"/>
  <c r="U47" i="74"/>
  <c r="T47" i="74"/>
  <c r="R47" i="74"/>
  <c r="S47" i="74" s="1"/>
  <c r="H47" i="74"/>
  <c r="V47" i="74" s="1"/>
  <c r="G47" i="74"/>
  <c r="D47" i="74"/>
  <c r="C47" i="74"/>
  <c r="U46" i="74"/>
  <c r="T46" i="74"/>
  <c r="H46" i="74"/>
  <c r="V46" i="74" s="1"/>
  <c r="G46" i="74"/>
  <c r="D46" i="74"/>
  <c r="C46" i="74"/>
  <c r="AC45" i="74"/>
  <c r="AB45" i="74"/>
  <c r="AA45" i="74"/>
  <c r="Z45" i="74"/>
  <c r="Y45" i="74"/>
  <c r="U45" i="74"/>
  <c r="T45" i="74"/>
  <c r="H45" i="74"/>
  <c r="V45" i="74" s="1"/>
  <c r="G45" i="74"/>
  <c r="D45" i="74"/>
  <c r="C45" i="74"/>
  <c r="AC44" i="74"/>
  <c r="AB44" i="74"/>
  <c r="AA44" i="74"/>
  <c r="Z44" i="74"/>
  <c r="Y44" i="74"/>
  <c r="U44" i="74"/>
  <c r="T44" i="74"/>
  <c r="H44" i="74"/>
  <c r="V44" i="74" s="1"/>
  <c r="G44" i="74"/>
  <c r="D44" i="74"/>
  <c r="C44" i="74"/>
  <c r="U43" i="74"/>
  <c r="T43" i="74"/>
  <c r="H43" i="74"/>
  <c r="V43" i="74" s="1"/>
  <c r="G43" i="74"/>
  <c r="D43" i="74"/>
  <c r="C43" i="74"/>
  <c r="U42" i="74"/>
  <c r="T42" i="74"/>
  <c r="R42" i="74"/>
  <c r="S42" i="74" s="1"/>
  <c r="H42" i="74"/>
  <c r="V42" i="74" s="1"/>
  <c r="G42" i="74"/>
  <c r="D42" i="74"/>
  <c r="C42" i="74"/>
  <c r="U41" i="74"/>
  <c r="T41" i="74"/>
  <c r="H41" i="74"/>
  <c r="V41" i="74" s="1"/>
  <c r="G41" i="74"/>
  <c r="D41" i="74"/>
  <c r="C41" i="74"/>
  <c r="AC40" i="74"/>
  <c r="AB40" i="74"/>
  <c r="AA40" i="74"/>
  <c r="Z40" i="74"/>
  <c r="Y40" i="74"/>
  <c r="U40" i="74"/>
  <c r="T40" i="74"/>
  <c r="H40" i="74"/>
  <c r="V40" i="74" s="1"/>
  <c r="G40" i="74"/>
  <c r="D40" i="74"/>
  <c r="C40" i="74"/>
  <c r="AC39" i="74"/>
  <c r="AB39" i="74"/>
  <c r="AA39" i="74"/>
  <c r="Z39" i="74"/>
  <c r="Y39" i="74"/>
  <c r="U39" i="74"/>
  <c r="T39" i="74"/>
  <c r="H39" i="74"/>
  <c r="V39" i="74" s="1"/>
  <c r="G39" i="74"/>
  <c r="D39" i="74"/>
  <c r="C39" i="74"/>
  <c r="U38" i="74"/>
  <c r="T38" i="74"/>
  <c r="H38" i="74"/>
  <c r="V38" i="74" s="1"/>
  <c r="G38" i="74"/>
  <c r="D38" i="74"/>
  <c r="C38" i="74"/>
  <c r="U37" i="74"/>
  <c r="T37" i="74"/>
  <c r="R37" i="74"/>
  <c r="S37" i="74" s="1"/>
  <c r="H37" i="74"/>
  <c r="V37" i="74" s="1"/>
  <c r="G37" i="74"/>
  <c r="D37" i="74"/>
  <c r="C37" i="74"/>
  <c r="AD36" i="74"/>
  <c r="U36" i="74"/>
  <c r="T36" i="74"/>
  <c r="H36" i="74"/>
  <c r="V36" i="74" s="1"/>
  <c r="G36" i="74"/>
  <c r="D36" i="74"/>
  <c r="C36" i="74"/>
  <c r="AC35" i="74"/>
  <c r="AB35" i="74"/>
  <c r="AA35" i="74"/>
  <c r="Z35" i="74"/>
  <c r="Y35" i="74"/>
  <c r="U35" i="74"/>
  <c r="T35" i="74"/>
  <c r="H35" i="74"/>
  <c r="V35" i="74" s="1"/>
  <c r="G35" i="74"/>
  <c r="D35" i="74"/>
  <c r="C35" i="74"/>
  <c r="AC34" i="74"/>
  <c r="AB34" i="74"/>
  <c r="AA34" i="74"/>
  <c r="Z34" i="74"/>
  <c r="Y34" i="74"/>
  <c r="U34" i="74"/>
  <c r="T34" i="74"/>
  <c r="H34" i="74"/>
  <c r="V34" i="74" s="1"/>
  <c r="G34" i="74"/>
  <c r="D34" i="74"/>
  <c r="C34" i="74"/>
  <c r="U33" i="74"/>
  <c r="T33" i="74"/>
  <c r="H33" i="74"/>
  <c r="V33" i="74" s="1"/>
  <c r="G33" i="74"/>
  <c r="D33" i="74"/>
  <c r="C33" i="74"/>
  <c r="U32" i="74"/>
  <c r="T32" i="74"/>
  <c r="R32" i="74"/>
  <c r="S32" i="74" s="1"/>
  <c r="H32" i="74"/>
  <c r="V32" i="74" s="1"/>
  <c r="G32" i="74"/>
  <c r="D32" i="74"/>
  <c r="C32" i="74"/>
  <c r="AD31" i="74"/>
  <c r="U31" i="74"/>
  <c r="T31" i="74"/>
  <c r="H31" i="74"/>
  <c r="V31" i="74" s="1"/>
  <c r="G31" i="74"/>
  <c r="D31" i="74"/>
  <c r="C31" i="74"/>
  <c r="AC30" i="74"/>
  <c r="AB30" i="74"/>
  <c r="AA30" i="74"/>
  <c r="Z30" i="74"/>
  <c r="Y30" i="74"/>
  <c r="U30" i="74"/>
  <c r="T30" i="74"/>
  <c r="H30" i="74"/>
  <c r="V30" i="74" s="1"/>
  <c r="G30" i="74"/>
  <c r="D30" i="74"/>
  <c r="C30" i="74"/>
  <c r="AC29" i="74"/>
  <c r="AB29" i="74"/>
  <c r="AA29" i="74"/>
  <c r="Z29" i="74"/>
  <c r="Y29" i="74"/>
  <c r="U29" i="74"/>
  <c r="T29" i="74"/>
  <c r="H29" i="74"/>
  <c r="V29" i="74" s="1"/>
  <c r="G29" i="74"/>
  <c r="D29" i="74"/>
  <c r="C29" i="74"/>
  <c r="U28" i="74"/>
  <c r="T28" i="74"/>
  <c r="H28" i="74"/>
  <c r="V28" i="74" s="1"/>
  <c r="G28" i="74"/>
  <c r="D28" i="74"/>
  <c r="C28" i="74"/>
  <c r="U27" i="74"/>
  <c r="T27" i="74"/>
  <c r="R27" i="74"/>
  <c r="S27" i="74" s="1"/>
  <c r="H27" i="74"/>
  <c r="V27" i="74" s="1"/>
  <c r="G27" i="74"/>
  <c r="D27" i="74"/>
  <c r="C27" i="74"/>
  <c r="U26" i="74"/>
  <c r="T26" i="74"/>
  <c r="H26" i="74"/>
  <c r="V26" i="74" s="1"/>
  <c r="G26" i="74"/>
  <c r="D26" i="74"/>
  <c r="C26" i="74"/>
  <c r="U25" i="74"/>
  <c r="T25" i="74"/>
  <c r="H25" i="74"/>
  <c r="V25" i="74" s="1"/>
  <c r="G25" i="74"/>
  <c r="D25" i="74"/>
  <c r="C25" i="74"/>
  <c r="U24" i="74"/>
  <c r="T24" i="74"/>
  <c r="H24" i="74"/>
  <c r="V24" i="74" s="1"/>
  <c r="G24" i="74"/>
  <c r="D24" i="74"/>
  <c r="C24" i="74"/>
  <c r="U23" i="74"/>
  <c r="T23" i="74"/>
  <c r="H23" i="74"/>
  <c r="V23" i="74" s="1"/>
  <c r="G23" i="74"/>
  <c r="D23" i="74"/>
  <c r="C23" i="74"/>
  <c r="U22" i="74"/>
  <c r="T22" i="74"/>
  <c r="R22" i="74"/>
  <c r="AD22" i="74" s="1"/>
  <c r="H22" i="74"/>
  <c r="V22" i="74" s="1"/>
  <c r="G22" i="74"/>
  <c r="D22" i="74"/>
  <c r="C22" i="74"/>
  <c r="U21" i="74"/>
  <c r="T21" i="74"/>
  <c r="R21" i="74"/>
  <c r="H21" i="74"/>
  <c r="V21" i="74" s="1"/>
  <c r="G21" i="74"/>
  <c r="D21" i="74"/>
  <c r="C21" i="74"/>
  <c r="U20" i="74"/>
  <c r="T20" i="74"/>
  <c r="R20" i="74"/>
  <c r="AD20" i="74" s="1"/>
  <c r="H20" i="74"/>
  <c r="V20" i="74" s="1"/>
  <c r="G20" i="74"/>
  <c r="D20" i="74"/>
  <c r="C20" i="74"/>
  <c r="U19" i="74"/>
  <c r="T19" i="74"/>
  <c r="R19" i="74"/>
  <c r="AD19" i="74" s="1"/>
  <c r="H19" i="74"/>
  <c r="V19" i="74" s="1"/>
  <c r="G19" i="74"/>
  <c r="D19" i="74"/>
  <c r="C19" i="74"/>
  <c r="U18" i="74"/>
  <c r="T18" i="74"/>
  <c r="R18" i="74"/>
  <c r="AD18" i="74" s="1"/>
  <c r="H18" i="74"/>
  <c r="V18" i="74" s="1"/>
  <c r="G18" i="74"/>
  <c r="D18" i="74"/>
  <c r="C18" i="74"/>
  <c r="U17" i="74"/>
  <c r="T17" i="74"/>
  <c r="R17" i="74"/>
  <c r="H17" i="74"/>
  <c r="V17" i="74" s="1"/>
  <c r="G17" i="74"/>
  <c r="D17" i="74"/>
  <c r="C17" i="74"/>
  <c r="U16" i="74"/>
  <c r="T16" i="74"/>
  <c r="R16" i="74"/>
  <c r="H16" i="74"/>
  <c r="V16" i="74" s="1"/>
  <c r="G16" i="74"/>
  <c r="D16" i="74"/>
  <c r="C16" i="74"/>
  <c r="U15" i="74"/>
  <c r="T15" i="74"/>
  <c r="R15" i="74"/>
  <c r="H15" i="74"/>
  <c r="V15" i="74" s="1"/>
  <c r="G15" i="74"/>
  <c r="D15" i="74"/>
  <c r="C15" i="74"/>
  <c r="U14" i="74"/>
  <c r="T14" i="74"/>
  <c r="R14" i="74"/>
  <c r="AD17" i="74" s="1"/>
  <c r="H14" i="74"/>
  <c r="V14" i="74" s="1"/>
  <c r="G14" i="74"/>
  <c r="D14" i="74"/>
  <c r="C14" i="74"/>
  <c r="U13" i="74"/>
  <c r="T13" i="74"/>
  <c r="R13" i="74"/>
  <c r="AD59" i="74" s="1"/>
  <c r="H13" i="74"/>
  <c r="V13" i="74" s="1"/>
  <c r="G13" i="74"/>
  <c r="D13" i="74"/>
  <c r="C13" i="74"/>
  <c r="U12" i="74"/>
  <c r="T12" i="74"/>
  <c r="H12" i="74"/>
  <c r="V12" i="74" s="1"/>
  <c r="G12" i="74"/>
  <c r="D12" i="74"/>
  <c r="C12" i="74"/>
  <c r="U11" i="74"/>
  <c r="T11" i="74"/>
  <c r="H11" i="74"/>
  <c r="V11" i="74" s="1"/>
  <c r="G11" i="74"/>
  <c r="D11" i="74"/>
  <c r="C11" i="74"/>
  <c r="U10" i="74"/>
  <c r="T10" i="74"/>
  <c r="H10" i="74"/>
  <c r="V10" i="74" s="1"/>
  <c r="G10" i="74"/>
  <c r="D10" i="74"/>
  <c r="C10" i="74"/>
  <c r="U9" i="74"/>
  <c r="T9" i="74"/>
  <c r="H9" i="74"/>
  <c r="V9" i="74" s="1"/>
  <c r="G9" i="74"/>
  <c r="D9" i="74"/>
  <c r="C9" i="74"/>
  <c r="AC8" i="74"/>
  <c r="AB8" i="74"/>
  <c r="AA8" i="74"/>
  <c r="Z8" i="74"/>
  <c r="Y8" i="74"/>
  <c r="U8" i="74"/>
  <c r="T8" i="74"/>
  <c r="H8" i="74"/>
  <c r="V8" i="74" s="1"/>
  <c r="G8" i="74"/>
  <c r="D8" i="74"/>
  <c r="C8" i="74"/>
  <c r="AG7" i="74"/>
  <c r="U7" i="74"/>
  <c r="T7" i="74"/>
  <c r="H7" i="74"/>
  <c r="V7" i="74" s="1"/>
  <c r="G7" i="74"/>
  <c r="D7" i="74"/>
  <c r="C7" i="74"/>
  <c r="U6" i="74"/>
  <c r="T6" i="74"/>
  <c r="H6" i="74"/>
  <c r="V6" i="74" s="1"/>
  <c r="G6" i="74"/>
  <c r="D6" i="74"/>
  <c r="C6" i="74"/>
  <c r="AK5" i="74"/>
  <c r="AJ5" i="74"/>
  <c r="AC7" i="74" s="1"/>
  <c r="AI5" i="74"/>
  <c r="AB63" i="74" s="1"/>
  <c r="AG3" i="74"/>
  <c r="C2" i="74" a="1"/>
  <c r="C2" i="74" s="1"/>
  <c r="B2" i="74" a="1"/>
  <c r="B2" i="74" s="1"/>
  <c r="C1" i="74"/>
  <c r="B1" i="74"/>
  <c r="U105" i="73"/>
  <c r="T105" i="73"/>
  <c r="H105" i="73"/>
  <c r="V105" i="73" s="1"/>
  <c r="G105" i="73"/>
  <c r="D105" i="73"/>
  <c r="C105" i="73"/>
  <c r="U104" i="73"/>
  <c r="T104" i="73"/>
  <c r="H104" i="73"/>
  <c r="V104" i="73" s="1"/>
  <c r="G104" i="73"/>
  <c r="D104" i="73"/>
  <c r="C104" i="73"/>
  <c r="U103" i="73"/>
  <c r="T103" i="73"/>
  <c r="H103" i="73"/>
  <c r="V103" i="73" s="1"/>
  <c r="G103" i="73"/>
  <c r="D103" i="73"/>
  <c r="C103" i="73"/>
  <c r="U102" i="73"/>
  <c r="T102" i="73"/>
  <c r="H102" i="73"/>
  <c r="V102" i="73" s="1"/>
  <c r="G102" i="73"/>
  <c r="D102" i="73"/>
  <c r="C102" i="73"/>
  <c r="U101" i="73"/>
  <c r="T101" i="73"/>
  <c r="H101" i="73"/>
  <c r="V101" i="73" s="1"/>
  <c r="G101" i="73"/>
  <c r="D101" i="73"/>
  <c r="C101" i="73"/>
  <c r="U100" i="73"/>
  <c r="T100" i="73"/>
  <c r="H100" i="73"/>
  <c r="V100" i="73" s="1"/>
  <c r="G100" i="73"/>
  <c r="D100" i="73"/>
  <c r="C100" i="73"/>
  <c r="U99" i="73"/>
  <c r="T99" i="73"/>
  <c r="H99" i="73"/>
  <c r="V99" i="73" s="1"/>
  <c r="G99" i="73"/>
  <c r="D99" i="73"/>
  <c r="C99" i="73"/>
  <c r="U98" i="73"/>
  <c r="T98" i="73"/>
  <c r="H98" i="73"/>
  <c r="V98" i="73" s="1"/>
  <c r="G98" i="73"/>
  <c r="D98" i="73"/>
  <c r="C98" i="73"/>
  <c r="U97" i="73"/>
  <c r="T97" i="73"/>
  <c r="H97" i="73"/>
  <c r="V97" i="73" s="1"/>
  <c r="G97" i="73"/>
  <c r="D97" i="73"/>
  <c r="C97" i="73"/>
  <c r="U96" i="73"/>
  <c r="T96" i="73"/>
  <c r="H96" i="73"/>
  <c r="V96" i="73" s="1"/>
  <c r="G96" i="73"/>
  <c r="D96" i="73"/>
  <c r="C96" i="73"/>
  <c r="U95" i="73"/>
  <c r="T95" i="73"/>
  <c r="H95" i="73"/>
  <c r="V95" i="73" s="1"/>
  <c r="G95" i="73"/>
  <c r="D95" i="73"/>
  <c r="C95" i="73"/>
  <c r="U94" i="73"/>
  <c r="T94" i="73"/>
  <c r="H94" i="73"/>
  <c r="V94" i="73" s="1"/>
  <c r="G94" i="73"/>
  <c r="D94" i="73"/>
  <c r="C94" i="73"/>
  <c r="U93" i="73"/>
  <c r="T93" i="73"/>
  <c r="H93" i="73"/>
  <c r="V93" i="73" s="1"/>
  <c r="G93" i="73"/>
  <c r="D93" i="73"/>
  <c r="C93" i="73"/>
  <c r="U92" i="73"/>
  <c r="T92" i="73"/>
  <c r="H92" i="73"/>
  <c r="V92" i="73" s="1"/>
  <c r="G92" i="73"/>
  <c r="D92" i="73"/>
  <c r="C92" i="73"/>
  <c r="U91" i="73"/>
  <c r="T91" i="73"/>
  <c r="H91" i="73"/>
  <c r="V91" i="73" s="1"/>
  <c r="G91" i="73"/>
  <c r="D91" i="73"/>
  <c r="C91" i="73"/>
  <c r="U90" i="73"/>
  <c r="T90" i="73"/>
  <c r="H90" i="73"/>
  <c r="V90" i="73" s="1"/>
  <c r="G90" i="73"/>
  <c r="D90" i="73"/>
  <c r="C90" i="73"/>
  <c r="U89" i="73"/>
  <c r="T89" i="73"/>
  <c r="H89" i="73"/>
  <c r="V89" i="73" s="1"/>
  <c r="G89" i="73"/>
  <c r="D89" i="73"/>
  <c r="C89" i="73"/>
  <c r="U88" i="73"/>
  <c r="T88" i="73"/>
  <c r="H88" i="73"/>
  <c r="V88" i="73" s="1"/>
  <c r="G88" i="73"/>
  <c r="D88" i="73"/>
  <c r="C88" i="73"/>
  <c r="U87" i="73"/>
  <c r="T87" i="73"/>
  <c r="H87" i="73"/>
  <c r="V87" i="73" s="1"/>
  <c r="G87" i="73"/>
  <c r="D87" i="73"/>
  <c r="C87" i="73"/>
  <c r="U86" i="73"/>
  <c r="T86" i="73"/>
  <c r="H86" i="73"/>
  <c r="V86" i="73" s="1"/>
  <c r="G86" i="73"/>
  <c r="D86" i="73"/>
  <c r="C86" i="73"/>
  <c r="U85" i="73"/>
  <c r="T85" i="73"/>
  <c r="H85" i="73"/>
  <c r="V85" i="73" s="1"/>
  <c r="G85" i="73"/>
  <c r="D85" i="73"/>
  <c r="C85" i="73"/>
  <c r="U84" i="73"/>
  <c r="T84" i="73"/>
  <c r="H84" i="73"/>
  <c r="V84" i="73" s="1"/>
  <c r="G84" i="73"/>
  <c r="D84" i="73"/>
  <c r="C84" i="73"/>
  <c r="U83" i="73"/>
  <c r="T83" i="73"/>
  <c r="H83" i="73"/>
  <c r="V83" i="73" s="1"/>
  <c r="G83" i="73"/>
  <c r="D83" i="73"/>
  <c r="C83" i="73"/>
  <c r="U82" i="73"/>
  <c r="T82" i="73"/>
  <c r="H82" i="73"/>
  <c r="V82" i="73" s="1"/>
  <c r="G82" i="73"/>
  <c r="D82" i="73"/>
  <c r="C82" i="73"/>
  <c r="U81" i="73"/>
  <c r="T81" i="73"/>
  <c r="H81" i="73"/>
  <c r="V81" i="73" s="1"/>
  <c r="G81" i="73"/>
  <c r="D81" i="73"/>
  <c r="C81" i="73"/>
  <c r="U80" i="73"/>
  <c r="T80" i="73"/>
  <c r="H80" i="73"/>
  <c r="V80" i="73" s="1"/>
  <c r="G80" i="73"/>
  <c r="D80" i="73"/>
  <c r="C80" i="73"/>
  <c r="U79" i="73"/>
  <c r="T79" i="73"/>
  <c r="H79" i="73"/>
  <c r="V79" i="73" s="1"/>
  <c r="G79" i="73"/>
  <c r="D79" i="73"/>
  <c r="C79" i="73"/>
  <c r="U78" i="73"/>
  <c r="T78" i="73"/>
  <c r="H78" i="73"/>
  <c r="V78" i="73" s="1"/>
  <c r="G78" i="73"/>
  <c r="D78" i="73"/>
  <c r="C78" i="73"/>
  <c r="U77" i="73"/>
  <c r="T77" i="73"/>
  <c r="H77" i="73"/>
  <c r="V77" i="73" s="1"/>
  <c r="G77" i="73"/>
  <c r="D77" i="73"/>
  <c r="C77" i="73"/>
  <c r="U76" i="73"/>
  <c r="T76" i="73"/>
  <c r="H76" i="73"/>
  <c r="V76" i="73" s="1"/>
  <c r="G76" i="73"/>
  <c r="D76" i="73"/>
  <c r="C76" i="73"/>
  <c r="U75" i="73"/>
  <c r="T75" i="73"/>
  <c r="H75" i="73"/>
  <c r="V75" i="73" s="1"/>
  <c r="G75" i="73"/>
  <c r="D75" i="73"/>
  <c r="C75" i="73"/>
  <c r="U74" i="73"/>
  <c r="T74" i="73"/>
  <c r="H74" i="73"/>
  <c r="V74" i="73" s="1"/>
  <c r="G74" i="73"/>
  <c r="D74" i="73"/>
  <c r="C74" i="73"/>
  <c r="U73" i="73"/>
  <c r="T73" i="73"/>
  <c r="H73" i="73"/>
  <c r="V73" i="73" s="1"/>
  <c r="G73" i="73"/>
  <c r="D73" i="73"/>
  <c r="C73" i="73"/>
  <c r="U72" i="73"/>
  <c r="T72" i="73"/>
  <c r="H72" i="73"/>
  <c r="V72" i="73" s="1"/>
  <c r="G72" i="73"/>
  <c r="D72" i="73"/>
  <c r="C72" i="73"/>
  <c r="U71" i="73"/>
  <c r="T71" i="73"/>
  <c r="H71" i="73"/>
  <c r="V71" i="73" s="1"/>
  <c r="G71" i="73"/>
  <c r="D71" i="73"/>
  <c r="C71" i="73"/>
  <c r="U70" i="73"/>
  <c r="T70" i="73"/>
  <c r="H70" i="73"/>
  <c r="V70" i="73" s="1"/>
  <c r="G70" i="73"/>
  <c r="D70" i="73"/>
  <c r="C70" i="73"/>
  <c r="U69" i="73"/>
  <c r="T69" i="73"/>
  <c r="H69" i="73"/>
  <c r="V69" i="73" s="1"/>
  <c r="G69" i="73"/>
  <c r="D69" i="73"/>
  <c r="C69" i="73"/>
  <c r="U68" i="73"/>
  <c r="T68" i="73"/>
  <c r="H68" i="73"/>
  <c r="V68" i="73" s="1"/>
  <c r="G68" i="73"/>
  <c r="D68" i="73"/>
  <c r="C68" i="73"/>
  <c r="U67" i="73"/>
  <c r="T67" i="73"/>
  <c r="H67" i="73"/>
  <c r="V67" i="73" s="1"/>
  <c r="G67" i="73"/>
  <c r="D67" i="73"/>
  <c r="C67" i="73"/>
  <c r="U66" i="73"/>
  <c r="T66" i="73"/>
  <c r="H66" i="73"/>
  <c r="V66" i="73" s="1"/>
  <c r="G66" i="73"/>
  <c r="D66" i="73"/>
  <c r="C66" i="73"/>
  <c r="U65" i="73"/>
  <c r="T65" i="73"/>
  <c r="H65" i="73"/>
  <c r="V65" i="73" s="1"/>
  <c r="G65" i="73"/>
  <c r="D65" i="73"/>
  <c r="C65" i="73"/>
  <c r="U64" i="73"/>
  <c r="T64" i="73"/>
  <c r="H64" i="73"/>
  <c r="V64" i="73" s="1"/>
  <c r="G64" i="73"/>
  <c r="D64" i="73"/>
  <c r="C64" i="73"/>
  <c r="U63" i="73"/>
  <c r="T63" i="73"/>
  <c r="R63" i="73"/>
  <c r="H63" i="73"/>
  <c r="V63" i="73" s="1"/>
  <c r="G63" i="73"/>
  <c r="D63" i="73"/>
  <c r="C63" i="73"/>
  <c r="U62" i="73"/>
  <c r="T62" i="73"/>
  <c r="H62" i="73"/>
  <c r="V62" i="73" s="1"/>
  <c r="G62" i="73"/>
  <c r="D62" i="73"/>
  <c r="C62" i="73"/>
  <c r="U61" i="73"/>
  <c r="T61" i="73"/>
  <c r="R61" i="73"/>
  <c r="H61" i="73"/>
  <c r="V61" i="73" s="1"/>
  <c r="G61" i="73"/>
  <c r="D61" i="73"/>
  <c r="C61" i="73"/>
  <c r="U60" i="73"/>
  <c r="T60" i="73"/>
  <c r="H60" i="73"/>
  <c r="V60" i="73" s="1"/>
  <c r="G60" i="73"/>
  <c r="D60" i="73"/>
  <c r="C60" i="73"/>
  <c r="U59" i="73"/>
  <c r="T59" i="73"/>
  <c r="R59" i="73"/>
  <c r="H59" i="73"/>
  <c r="V59" i="73" s="1"/>
  <c r="G59" i="73"/>
  <c r="D59" i="73"/>
  <c r="C59" i="73"/>
  <c r="U58" i="73"/>
  <c r="T58" i="73"/>
  <c r="H58" i="73"/>
  <c r="V58" i="73" s="1"/>
  <c r="G58" i="73"/>
  <c r="D58" i="73"/>
  <c r="C58" i="73"/>
  <c r="U57" i="73"/>
  <c r="T57" i="73"/>
  <c r="R57" i="73"/>
  <c r="H57" i="73"/>
  <c r="V57" i="73" s="1"/>
  <c r="G57" i="73"/>
  <c r="D57" i="73"/>
  <c r="C57" i="73"/>
  <c r="U56" i="73"/>
  <c r="T56" i="73"/>
  <c r="H56" i="73"/>
  <c r="V56" i="73" s="1"/>
  <c r="G56" i="73"/>
  <c r="D56" i="73"/>
  <c r="C56" i="73"/>
  <c r="U55" i="73"/>
  <c r="T55" i="73"/>
  <c r="R55" i="73"/>
  <c r="H55" i="73"/>
  <c r="V55" i="73" s="1"/>
  <c r="G55" i="73"/>
  <c r="D55" i="73"/>
  <c r="C55" i="73"/>
  <c r="U54" i="73"/>
  <c r="T54" i="73"/>
  <c r="H54" i="73"/>
  <c r="V54" i="73" s="1"/>
  <c r="G54" i="73"/>
  <c r="D54" i="73"/>
  <c r="C54" i="73"/>
  <c r="U53" i="73"/>
  <c r="T53" i="73"/>
  <c r="H53" i="73"/>
  <c r="V53" i="73" s="1"/>
  <c r="G53" i="73"/>
  <c r="D53" i="73"/>
  <c r="C53" i="73"/>
  <c r="U52" i="73"/>
  <c r="T52" i="73"/>
  <c r="H52" i="73"/>
  <c r="V52" i="73" s="1"/>
  <c r="G52" i="73"/>
  <c r="D52" i="73"/>
  <c r="C52" i="73"/>
  <c r="U51" i="73"/>
  <c r="T51" i="73"/>
  <c r="H51" i="73"/>
  <c r="V51" i="73" s="1"/>
  <c r="G51" i="73"/>
  <c r="D51" i="73"/>
  <c r="C51" i="73"/>
  <c r="AC50" i="73"/>
  <c r="AB50" i="73"/>
  <c r="AA50" i="73"/>
  <c r="Z50" i="73"/>
  <c r="Y50" i="73"/>
  <c r="U50" i="73"/>
  <c r="T50" i="73"/>
  <c r="H50" i="73"/>
  <c r="V50" i="73" s="1"/>
  <c r="G50" i="73"/>
  <c r="D50" i="73"/>
  <c r="C50" i="73"/>
  <c r="AC49" i="73"/>
  <c r="AB49" i="73"/>
  <c r="AA49" i="73"/>
  <c r="Z49" i="73"/>
  <c r="Y49" i="73"/>
  <c r="U49" i="73"/>
  <c r="T49" i="73"/>
  <c r="H49" i="73"/>
  <c r="V49" i="73" s="1"/>
  <c r="G49" i="73"/>
  <c r="D49" i="73"/>
  <c r="C49" i="73"/>
  <c r="U48" i="73"/>
  <c r="T48" i="73"/>
  <c r="H48" i="73"/>
  <c r="V48" i="73" s="1"/>
  <c r="G48" i="73"/>
  <c r="D48" i="73"/>
  <c r="C48" i="73"/>
  <c r="U47" i="73"/>
  <c r="T47" i="73"/>
  <c r="S47" i="73"/>
  <c r="R47" i="73"/>
  <c r="AD46" i="73" s="1"/>
  <c r="H47" i="73"/>
  <c r="V47" i="73" s="1"/>
  <c r="G47" i="73"/>
  <c r="D47" i="73"/>
  <c r="C47" i="73"/>
  <c r="U46" i="73"/>
  <c r="T46" i="73"/>
  <c r="H46" i="73"/>
  <c r="V46" i="73" s="1"/>
  <c r="G46" i="73"/>
  <c r="D46" i="73"/>
  <c r="C46" i="73"/>
  <c r="AC45" i="73"/>
  <c r="AB45" i="73"/>
  <c r="AA45" i="73"/>
  <c r="Z45" i="73"/>
  <c r="Y45" i="73"/>
  <c r="U45" i="73"/>
  <c r="T45" i="73"/>
  <c r="H45" i="73"/>
  <c r="V45" i="73" s="1"/>
  <c r="G45" i="73"/>
  <c r="D45" i="73"/>
  <c r="C45" i="73"/>
  <c r="AC44" i="73"/>
  <c r="AB44" i="73"/>
  <c r="AA44" i="73"/>
  <c r="Z44" i="73"/>
  <c r="Y44" i="73"/>
  <c r="U44" i="73"/>
  <c r="T44" i="73"/>
  <c r="H44" i="73"/>
  <c r="V44" i="73" s="1"/>
  <c r="G44" i="73"/>
  <c r="D44" i="73"/>
  <c r="C44" i="73"/>
  <c r="U43" i="73"/>
  <c r="T43" i="73"/>
  <c r="H43" i="73"/>
  <c r="V43" i="73" s="1"/>
  <c r="G43" i="73"/>
  <c r="D43" i="73"/>
  <c r="C43" i="73"/>
  <c r="U42" i="73"/>
  <c r="T42" i="73"/>
  <c r="S42" i="73"/>
  <c r="R42" i="73"/>
  <c r="AD41" i="73" s="1"/>
  <c r="H42" i="73"/>
  <c r="V42" i="73" s="1"/>
  <c r="G42" i="73"/>
  <c r="D42" i="73"/>
  <c r="C42" i="73"/>
  <c r="U41" i="73"/>
  <c r="T41" i="73"/>
  <c r="H41" i="73"/>
  <c r="V41" i="73" s="1"/>
  <c r="G41" i="73"/>
  <c r="D41" i="73"/>
  <c r="C41" i="73"/>
  <c r="AC40" i="73"/>
  <c r="AB40" i="73"/>
  <c r="AA40" i="73"/>
  <c r="Z40" i="73"/>
  <c r="Y40" i="73"/>
  <c r="U40" i="73"/>
  <c r="T40" i="73"/>
  <c r="H40" i="73"/>
  <c r="V40" i="73" s="1"/>
  <c r="G40" i="73"/>
  <c r="D40" i="73"/>
  <c r="C40" i="73"/>
  <c r="AC39" i="73"/>
  <c r="AB39" i="73"/>
  <c r="AA39" i="73"/>
  <c r="Z39" i="73"/>
  <c r="Y39" i="73"/>
  <c r="U39" i="73"/>
  <c r="T39" i="73"/>
  <c r="H39" i="73"/>
  <c r="V39" i="73" s="1"/>
  <c r="G39" i="73"/>
  <c r="D39" i="73"/>
  <c r="C39" i="73"/>
  <c r="U38" i="73"/>
  <c r="T38" i="73"/>
  <c r="H38" i="73"/>
  <c r="V38" i="73" s="1"/>
  <c r="G38" i="73"/>
  <c r="D38" i="73"/>
  <c r="C38" i="73"/>
  <c r="AD37" i="73"/>
  <c r="U37" i="73"/>
  <c r="T37" i="73"/>
  <c r="S37" i="73"/>
  <c r="R37" i="73"/>
  <c r="AD36" i="73" s="1"/>
  <c r="H37" i="73"/>
  <c r="V37" i="73" s="1"/>
  <c r="G37" i="73"/>
  <c r="D37" i="73"/>
  <c r="C37" i="73"/>
  <c r="U36" i="73"/>
  <c r="T36" i="73"/>
  <c r="H36" i="73"/>
  <c r="V36" i="73" s="1"/>
  <c r="G36" i="73"/>
  <c r="D36" i="73"/>
  <c r="C36" i="73"/>
  <c r="AC35" i="73"/>
  <c r="AB35" i="73"/>
  <c r="AA35" i="73"/>
  <c r="Z35" i="73"/>
  <c r="Y35" i="73"/>
  <c r="U35" i="73"/>
  <c r="T35" i="73"/>
  <c r="H35" i="73"/>
  <c r="V35" i="73" s="1"/>
  <c r="G35" i="73"/>
  <c r="D35" i="73"/>
  <c r="C35" i="73"/>
  <c r="AC34" i="73"/>
  <c r="AB34" i="73"/>
  <c r="AA34" i="73"/>
  <c r="Z34" i="73"/>
  <c r="Y34" i="73"/>
  <c r="U34" i="73"/>
  <c r="T34" i="73"/>
  <c r="H34" i="73"/>
  <c r="V34" i="73" s="1"/>
  <c r="G34" i="73"/>
  <c r="D34" i="73"/>
  <c r="C34" i="73"/>
  <c r="U33" i="73"/>
  <c r="T33" i="73"/>
  <c r="H33" i="73"/>
  <c r="V33" i="73" s="1"/>
  <c r="G33" i="73"/>
  <c r="D33" i="73"/>
  <c r="C33" i="73"/>
  <c r="AD32" i="73"/>
  <c r="U32" i="73"/>
  <c r="T32" i="73"/>
  <c r="S32" i="73"/>
  <c r="R32" i="73"/>
  <c r="AD31" i="73" s="1"/>
  <c r="H32" i="73"/>
  <c r="V32" i="73" s="1"/>
  <c r="G32" i="73"/>
  <c r="D32" i="73"/>
  <c r="C32" i="73"/>
  <c r="U31" i="73"/>
  <c r="T31" i="73"/>
  <c r="H31" i="73"/>
  <c r="V31" i="73" s="1"/>
  <c r="G31" i="73"/>
  <c r="D31" i="73"/>
  <c r="C31" i="73"/>
  <c r="AC30" i="73"/>
  <c r="AB30" i="73"/>
  <c r="AA30" i="73"/>
  <c r="Z30" i="73"/>
  <c r="Y30" i="73"/>
  <c r="U30" i="73"/>
  <c r="T30" i="73"/>
  <c r="H30" i="73"/>
  <c r="V30" i="73" s="1"/>
  <c r="G30" i="73"/>
  <c r="D30" i="73"/>
  <c r="C30" i="73"/>
  <c r="AC29" i="73"/>
  <c r="AB29" i="73"/>
  <c r="AA29" i="73"/>
  <c r="Z29" i="73"/>
  <c r="Y29" i="73"/>
  <c r="U29" i="73"/>
  <c r="T29" i="73"/>
  <c r="H29" i="73"/>
  <c r="V29" i="73" s="1"/>
  <c r="G29" i="73"/>
  <c r="D29" i="73"/>
  <c r="C29" i="73"/>
  <c r="U28" i="73"/>
  <c r="T28" i="73"/>
  <c r="H28" i="73"/>
  <c r="V28" i="73" s="1"/>
  <c r="G28" i="73"/>
  <c r="D28" i="73"/>
  <c r="C28" i="73"/>
  <c r="AD27" i="73"/>
  <c r="U27" i="73"/>
  <c r="T27" i="73"/>
  <c r="S27" i="73"/>
  <c r="AD47" i="73" s="1"/>
  <c r="R27" i="73"/>
  <c r="AD26" i="73" s="1"/>
  <c r="AG14" i="73" s="1"/>
  <c r="H27" i="73"/>
  <c r="V27" i="73" s="1"/>
  <c r="G27" i="73"/>
  <c r="D27" i="73"/>
  <c r="C27" i="73"/>
  <c r="U26" i="73"/>
  <c r="T26" i="73"/>
  <c r="H26" i="73"/>
  <c r="V26" i="73" s="1"/>
  <c r="G26" i="73"/>
  <c r="D26" i="73"/>
  <c r="C26" i="73"/>
  <c r="U25" i="73"/>
  <c r="T25" i="73"/>
  <c r="H25" i="73"/>
  <c r="V25" i="73" s="1"/>
  <c r="G25" i="73"/>
  <c r="D25" i="73"/>
  <c r="C25" i="73"/>
  <c r="U24" i="73"/>
  <c r="T24" i="73"/>
  <c r="H24" i="73"/>
  <c r="V24" i="73" s="1"/>
  <c r="G24" i="73"/>
  <c r="D24" i="73"/>
  <c r="C24" i="73"/>
  <c r="U23" i="73"/>
  <c r="T23" i="73"/>
  <c r="H23" i="73"/>
  <c r="V23" i="73" s="1"/>
  <c r="G23" i="73"/>
  <c r="D23" i="73"/>
  <c r="C23" i="73"/>
  <c r="U22" i="73"/>
  <c r="T22" i="73"/>
  <c r="R22" i="73"/>
  <c r="H22" i="73"/>
  <c r="V22" i="73" s="1"/>
  <c r="G22" i="73"/>
  <c r="D22" i="73"/>
  <c r="C22" i="73"/>
  <c r="U21" i="73"/>
  <c r="T21" i="73"/>
  <c r="R21" i="73"/>
  <c r="H21" i="73"/>
  <c r="V21" i="73" s="1"/>
  <c r="G21" i="73"/>
  <c r="D21" i="73"/>
  <c r="C21" i="73"/>
  <c r="U20" i="73"/>
  <c r="T20" i="73"/>
  <c r="R20" i="73"/>
  <c r="H20" i="73"/>
  <c r="V20" i="73" s="1"/>
  <c r="G20" i="73"/>
  <c r="D20" i="73"/>
  <c r="C20" i="73"/>
  <c r="U19" i="73"/>
  <c r="T19" i="73"/>
  <c r="R19" i="73"/>
  <c r="H19" i="73"/>
  <c r="V19" i="73" s="1"/>
  <c r="G19" i="73"/>
  <c r="D19" i="73"/>
  <c r="C19" i="73"/>
  <c r="U18" i="73"/>
  <c r="T18" i="73"/>
  <c r="R18" i="73"/>
  <c r="H18" i="73"/>
  <c r="V18" i="73" s="1"/>
  <c r="G18" i="73"/>
  <c r="D18" i="73"/>
  <c r="C18" i="73"/>
  <c r="U17" i="73"/>
  <c r="T17" i="73"/>
  <c r="R17" i="73"/>
  <c r="H17" i="73"/>
  <c r="V17" i="73" s="1"/>
  <c r="G17" i="73"/>
  <c r="D17" i="73"/>
  <c r="C17" i="73"/>
  <c r="U16" i="73"/>
  <c r="T16" i="73"/>
  <c r="R16" i="73"/>
  <c r="H16" i="73"/>
  <c r="V16" i="73" s="1"/>
  <c r="G16" i="73"/>
  <c r="D16" i="73"/>
  <c r="C16" i="73"/>
  <c r="U15" i="73"/>
  <c r="T15" i="73"/>
  <c r="R15" i="73"/>
  <c r="H15" i="73"/>
  <c r="V15" i="73" s="1"/>
  <c r="G15" i="73"/>
  <c r="D15" i="73"/>
  <c r="C15" i="73"/>
  <c r="U14" i="73"/>
  <c r="T14" i="73"/>
  <c r="R14" i="73"/>
  <c r="H14" i="73"/>
  <c r="V14" i="73" s="1"/>
  <c r="G14" i="73"/>
  <c r="D14" i="73"/>
  <c r="C14" i="73"/>
  <c r="U13" i="73"/>
  <c r="T13" i="73"/>
  <c r="R13" i="73"/>
  <c r="AD59" i="73" s="1"/>
  <c r="H13" i="73"/>
  <c r="V13" i="73" s="1"/>
  <c r="G13" i="73"/>
  <c r="D13" i="73"/>
  <c r="C13" i="73"/>
  <c r="U12" i="73"/>
  <c r="T12" i="73"/>
  <c r="H12" i="73"/>
  <c r="V12" i="73" s="1"/>
  <c r="G12" i="73"/>
  <c r="D12" i="73"/>
  <c r="C12" i="73"/>
  <c r="U11" i="73"/>
  <c r="T11" i="73"/>
  <c r="H11" i="73"/>
  <c r="V11" i="73" s="1"/>
  <c r="G11" i="73"/>
  <c r="D11" i="73"/>
  <c r="C11" i="73"/>
  <c r="U10" i="73"/>
  <c r="T10" i="73"/>
  <c r="H10" i="73"/>
  <c r="V10" i="73" s="1"/>
  <c r="G10" i="73"/>
  <c r="D10" i="73"/>
  <c r="C10" i="73"/>
  <c r="U9" i="73"/>
  <c r="T9" i="73"/>
  <c r="H9" i="73"/>
  <c r="V9" i="73" s="1"/>
  <c r="G9" i="73"/>
  <c r="D9" i="73"/>
  <c r="C9" i="73"/>
  <c r="AC8" i="73"/>
  <c r="AB8" i="73"/>
  <c r="AA8" i="73"/>
  <c r="Z8" i="73"/>
  <c r="Y8" i="73"/>
  <c r="U8" i="73"/>
  <c r="T8" i="73"/>
  <c r="H8" i="73"/>
  <c r="V8" i="73" s="1"/>
  <c r="G8" i="73"/>
  <c r="D8" i="73"/>
  <c r="C8" i="73"/>
  <c r="AG7" i="73"/>
  <c r="U7" i="73"/>
  <c r="T7" i="73"/>
  <c r="H7" i="73"/>
  <c r="V7" i="73" s="1"/>
  <c r="G7" i="73"/>
  <c r="D7" i="73"/>
  <c r="C7" i="73"/>
  <c r="U6" i="73"/>
  <c r="T6" i="73"/>
  <c r="H6" i="73"/>
  <c r="V6" i="73" s="1"/>
  <c r="G6" i="73"/>
  <c r="D6" i="73"/>
  <c r="C6" i="73"/>
  <c r="AK5" i="73"/>
  <c r="AJ5" i="73"/>
  <c r="AB7" i="73" s="1"/>
  <c r="AI5" i="73"/>
  <c r="AB63" i="73" s="1"/>
  <c r="AG3" i="73"/>
  <c r="C2" i="73" a="1"/>
  <c r="C2" i="73" s="1"/>
  <c r="B2" i="73" a="1"/>
  <c r="B2" i="73" s="1"/>
  <c r="C1" i="73"/>
  <c r="B1" i="73"/>
  <c r="AD27" i="4"/>
  <c r="AD26" i="4"/>
  <c r="AC30" i="4"/>
  <c r="AC29" i="4"/>
  <c r="AC27" i="4"/>
  <c r="R27" i="4"/>
  <c r="S27" i="4" s="1"/>
  <c r="S47" i="4"/>
  <c r="S42" i="4"/>
  <c r="Y55" i="4"/>
  <c r="AC63" i="4"/>
  <c r="AB63" i="4"/>
  <c r="AA63" i="4"/>
  <c r="Z63" i="4"/>
  <c r="Y63" i="4"/>
  <c r="AD61" i="4"/>
  <c r="AC61" i="4"/>
  <c r="AB61" i="4"/>
  <c r="AA61" i="4"/>
  <c r="Z61" i="4"/>
  <c r="Y61" i="4"/>
  <c r="AC59" i="4"/>
  <c r="AB59" i="4"/>
  <c r="AA59" i="4"/>
  <c r="Z59" i="4"/>
  <c r="Y59" i="4"/>
  <c r="AD57" i="4"/>
  <c r="AG17" i="4" s="1"/>
  <c r="AC57" i="4"/>
  <c r="AB57" i="4"/>
  <c r="AA57" i="4"/>
  <c r="Z57" i="4"/>
  <c r="Y57" i="4"/>
  <c r="AD55" i="4"/>
  <c r="AC55" i="4"/>
  <c r="AB55" i="4"/>
  <c r="AA55" i="4"/>
  <c r="Z55" i="4"/>
  <c r="R63" i="4"/>
  <c r="AD63" i="4" s="1"/>
  <c r="R61" i="4"/>
  <c r="R59" i="4"/>
  <c r="AD59" i="4" s="1"/>
  <c r="R57" i="4"/>
  <c r="R55" i="4"/>
  <c r="AD46" i="4"/>
  <c r="R47" i="4"/>
  <c r="R42" i="4"/>
  <c r="R37" i="4"/>
  <c r="AD36" i="4" s="1"/>
  <c r="R32" i="4"/>
  <c r="S32" i="4" s="1"/>
  <c r="AC42" i="4"/>
  <c r="Z37" i="4"/>
  <c r="AB27" i="4"/>
  <c r="AC50" i="4"/>
  <c r="AB50" i="4"/>
  <c r="AA50" i="4"/>
  <c r="Z50" i="4"/>
  <c r="Y50" i="4"/>
  <c r="AC49" i="4"/>
  <c r="AB49" i="4"/>
  <c r="AA49" i="4"/>
  <c r="Z49" i="4"/>
  <c r="Y49" i="4"/>
  <c r="AC45" i="4"/>
  <c r="AB45" i="4"/>
  <c r="AA45" i="4"/>
  <c r="Z45" i="4"/>
  <c r="Y45" i="4"/>
  <c r="AC44" i="4"/>
  <c r="AB44" i="4"/>
  <c r="AA44" i="4"/>
  <c r="Z44" i="4"/>
  <c r="Y44" i="4"/>
  <c r="AC40" i="4"/>
  <c r="AB40" i="4"/>
  <c r="AA40" i="4"/>
  <c r="Z40" i="4"/>
  <c r="Y40" i="4"/>
  <c r="AC39" i="4"/>
  <c r="AB39" i="4"/>
  <c r="AA39" i="4"/>
  <c r="Z39" i="4"/>
  <c r="Y39" i="4"/>
  <c r="AC35" i="4"/>
  <c r="AB35" i="4"/>
  <c r="AA35" i="4"/>
  <c r="Z35" i="4"/>
  <c r="Y35" i="4"/>
  <c r="AC34" i="4"/>
  <c r="AB34" i="4"/>
  <c r="AA34" i="4"/>
  <c r="Z34" i="4"/>
  <c r="Y34" i="4"/>
  <c r="AB30" i="4"/>
  <c r="AA30" i="4"/>
  <c r="Z30" i="4"/>
  <c r="Y30" i="4"/>
  <c r="AB29" i="4"/>
  <c r="AA29" i="4"/>
  <c r="Z29" i="4"/>
  <c r="Y29" i="4"/>
  <c r="AK5" i="4"/>
  <c r="AG7" i="4"/>
  <c r="AG3" i="4"/>
  <c r="R13" i="4"/>
  <c r="AD13" i="4" s="1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O5" i="75" a="1"/>
  <c r="AN5" i="75" a="1"/>
  <c r="AM5" i="75" a="1"/>
  <c r="AP5" i="75" a="1"/>
  <c r="AL5" i="75" a="1"/>
  <c r="AO5" i="74" a="1"/>
  <c r="AN5" i="74" a="1"/>
  <c r="AM5" i="74" a="1"/>
  <c r="AP5" i="74" a="1"/>
  <c r="AL5" i="74" a="1"/>
  <c r="AO5" i="73" a="1"/>
  <c r="AN5" i="73" a="1"/>
  <c r="AM5" i="73" a="1"/>
  <c r="AP5" i="73" a="1"/>
  <c r="AL5" i="73" a="1"/>
  <c r="AP5" i="4" a="1"/>
  <c r="AO5" i="4" a="1"/>
  <c r="AN5" i="4" a="1"/>
  <c r="AM5" i="4" a="1"/>
  <c r="AL5" i="4" a="1"/>
  <c r="AD26" i="74" l="1"/>
  <c r="AD32" i="74"/>
  <c r="AD37" i="74"/>
  <c r="AC46" i="75"/>
  <c r="Y7" i="75"/>
  <c r="Z7" i="75"/>
  <c r="AC7" i="75"/>
  <c r="AA7" i="75"/>
  <c r="AG9" i="75"/>
  <c r="AC31" i="75"/>
  <c r="AC41" i="75"/>
  <c r="AA46" i="75"/>
  <c r="Z46" i="75"/>
  <c r="AG5" i="75"/>
  <c r="AA26" i="75"/>
  <c r="AC36" i="75"/>
  <c r="Z36" i="75"/>
  <c r="Y46" i="75"/>
  <c r="AA36" i="75"/>
  <c r="AC26" i="75"/>
  <c r="AA31" i="75"/>
  <c r="Z41" i="75"/>
  <c r="AB46" i="75"/>
  <c r="AA41" i="75"/>
  <c r="Z26" i="75"/>
  <c r="Z31" i="75"/>
  <c r="AG4" i="75"/>
  <c r="AG6" i="75"/>
  <c r="AB31" i="75"/>
  <c r="AB41" i="75"/>
  <c r="Y36" i="75"/>
  <c r="Y26" i="75"/>
  <c r="AB36" i="75"/>
  <c r="AB26" i="75"/>
  <c r="Y31" i="75"/>
  <c r="Y41" i="75"/>
  <c r="AL5" i="75"/>
  <c r="AP5" i="75"/>
  <c r="AM5" i="75"/>
  <c r="AN5" i="75"/>
  <c r="AO5" i="75"/>
  <c r="AD37" i="75"/>
  <c r="AG17" i="75"/>
  <c r="AD47" i="75"/>
  <c r="AD32" i="75"/>
  <c r="AD42" i="75"/>
  <c r="AA13" i="75"/>
  <c r="AB14" i="75"/>
  <c r="AC15" i="75"/>
  <c r="AD16" i="75"/>
  <c r="Z19" i="75"/>
  <c r="AB20" i="75"/>
  <c r="AD21" i="75"/>
  <c r="AD26" i="75"/>
  <c r="AD31" i="75"/>
  <c r="AD36" i="75"/>
  <c r="AD41" i="75"/>
  <c r="AD46" i="75"/>
  <c r="Y55" i="75"/>
  <c r="AB57" i="75"/>
  <c r="Z61" i="75"/>
  <c r="AC63" i="75"/>
  <c r="AB13" i="75"/>
  <c r="AC14" i="75"/>
  <c r="Y18" i="75"/>
  <c r="AA19" i="75"/>
  <c r="AC20" i="75"/>
  <c r="Y22" i="75"/>
  <c r="Z55" i="75"/>
  <c r="AC57" i="75"/>
  <c r="AA61" i="75"/>
  <c r="AC13" i="75"/>
  <c r="AD14" i="75"/>
  <c r="Y17" i="75"/>
  <c r="Z18" i="75"/>
  <c r="AB19" i="75"/>
  <c r="Z22" i="75"/>
  <c r="Y27" i="75"/>
  <c r="Y32" i="75"/>
  <c r="Y37" i="75"/>
  <c r="Y42" i="75"/>
  <c r="Y47" i="75"/>
  <c r="AA55" i="75"/>
  <c r="Y59" i="75"/>
  <c r="AB61" i="75"/>
  <c r="AD13" i="75"/>
  <c r="Y16" i="75"/>
  <c r="Z17" i="75"/>
  <c r="AA18" i="75"/>
  <c r="AC19" i="75"/>
  <c r="Y21" i="75"/>
  <c r="AA22" i="75"/>
  <c r="Z27" i="75"/>
  <c r="Z32" i="75"/>
  <c r="Z37" i="75"/>
  <c r="Z42" i="75"/>
  <c r="Z47" i="75"/>
  <c r="AB55" i="75"/>
  <c r="Z59" i="75"/>
  <c r="AC61" i="75"/>
  <c r="Y15" i="75"/>
  <c r="Z16" i="75"/>
  <c r="AA17" i="75"/>
  <c r="AB18" i="75"/>
  <c r="AD19" i="75"/>
  <c r="Z21" i="75"/>
  <c r="AB22" i="75"/>
  <c r="AA27" i="75"/>
  <c r="AA32" i="75"/>
  <c r="AA37" i="75"/>
  <c r="AA42" i="75"/>
  <c r="AA47" i="75"/>
  <c r="AC55" i="75"/>
  <c r="AA59" i="75"/>
  <c r="AD61" i="75"/>
  <c r="Y63" i="75"/>
  <c r="Y14" i="75"/>
  <c r="Z15" i="75"/>
  <c r="AA16" i="75"/>
  <c r="AB17" i="75"/>
  <c r="AC18" i="75"/>
  <c r="Y20" i="75"/>
  <c r="AA21" i="75"/>
  <c r="AC22" i="75"/>
  <c r="AB27" i="75"/>
  <c r="AB32" i="75"/>
  <c r="AB37" i="75"/>
  <c r="AB42" i="75"/>
  <c r="AB47" i="75"/>
  <c r="Y57" i="75"/>
  <c r="AB59" i="75"/>
  <c r="Z63" i="75"/>
  <c r="Y13" i="75"/>
  <c r="Z14" i="75"/>
  <c r="AA15" i="75"/>
  <c r="AB16" i="75"/>
  <c r="AC17" i="75"/>
  <c r="Z20" i="75"/>
  <c r="AB21" i="75"/>
  <c r="AC27" i="75"/>
  <c r="AC32" i="75"/>
  <c r="AC37" i="75"/>
  <c r="AC42" i="75"/>
  <c r="AC47" i="75"/>
  <c r="Z57" i="75"/>
  <c r="AC59" i="75"/>
  <c r="AA63" i="75"/>
  <c r="Z13" i="75"/>
  <c r="AA14" i="75"/>
  <c r="AB15" i="75"/>
  <c r="AC16" i="75"/>
  <c r="AD17" i="75"/>
  <c r="Y19" i="75"/>
  <c r="AA20" i="75"/>
  <c r="AC21" i="75"/>
  <c r="AA57" i="75"/>
  <c r="Y61" i="75"/>
  <c r="Y7" i="74"/>
  <c r="Y16" i="74"/>
  <c r="Z17" i="74"/>
  <c r="Y18" i="74"/>
  <c r="AB13" i="74"/>
  <c r="AC14" i="74"/>
  <c r="AA18" i="74"/>
  <c r="AA19" i="74"/>
  <c r="AC19" i="74"/>
  <c r="AC20" i="74"/>
  <c r="Y21" i="74"/>
  <c r="Y22" i="74"/>
  <c r="AA22" i="74"/>
  <c r="Z27" i="74"/>
  <c r="AG9" i="74"/>
  <c r="AA41" i="74"/>
  <c r="Z46" i="74"/>
  <c r="AA36" i="74"/>
  <c r="AC36" i="74"/>
  <c r="AC41" i="74"/>
  <c r="AG5" i="74"/>
  <c r="AB46" i="74"/>
  <c r="AB36" i="74"/>
  <c r="AC31" i="74"/>
  <c r="AB26" i="74"/>
  <c r="AA26" i="74"/>
  <c r="Y31" i="74"/>
  <c r="AA46" i="74"/>
  <c r="Z31" i="74"/>
  <c r="AC26" i="74"/>
  <c r="AC46" i="74"/>
  <c r="AG2" i="74"/>
  <c r="Y26" i="74"/>
  <c r="Z26" i="74"/>
  <c r="AB31" i="74"/>
  <c r="AB41" i="74"/>
  <c r="Y41" i="74"/>
  <c r="Y46" i="74"/>
  <c r="Y36" i="74"/>
  <c r="AA31" i="74"/>
  <c r="AG4" i="74"/>
  <c r="AG6" i="74"/>
  <c r="Z41" i="74"/>
  <c r="Z36" i="74"/>
  <c r="AL5" i="74"/>
  <c r="AP5" i="74"/>
  <c r="AM5" i="74"/>
  <c r="AN5" i="74"/>
  <c r="AO5" i="74"/>
  <c r="AD27" i="74"/>
  <c r="AD47" i="74"/>
  <c r="AD42" i="74"/>
  <c r="AA13" i="74"/>
  <c r="AB14" i="74"/>
  <c r="AC15" i="74"/>
  <c r="AD16" i="74"/>
  <c r="Z19" i="74"/>
  <c r="AB20" i="74"/>
  <c r="AD21" i="74"/>
  <c r="AD41" i="74"/>
  <c r="AD46" i="74"/>
  <c r="Y55" i="74"/>
  <c r="AB57" i="74"/>
  <c r="Z61" i="74"/>
  <c r="AC63" i="74"/>
  <c r="AD15" i="74"/>
  <c r="Z55" i="74"/>
  <c r="AC57" i="74"/>
  <c r="AA61" i="74"/>
  <c r="AD63" i="74"/>
  <c r="AC13" i="74"/>
  <c r="AD14" i="74"/>
  <c r="Y17" i="74"/>
  <c r="Z18" i="74"/>
  <c r="AB19" i="74"/>
  <c r="Z22" i="74"/>
  <c r="Y27" i="74"/>
  <c r="Y32" i="74"/>
  <c r="Y37" i="74"/>
  <c r="Y42" i="74"/>
  <c r="Y47" i="74"/>
  <c r="AA55" i="74"/>
  <c r="Y59" i="74"/>
  <c r="AB61" i="74"/>
  <c r="AD13" i="74"/>
  <c r="AG11" i="74" s="1"/>
  <c r="Z32" i="74"/>
  <c r="Z37" i="74"/>
  <c r="Z42" i="74"/>
  <c r="Z47" i="74"/>
  <c r="AB55" i="74"/>
  <c r="Z59" i="74"/>
  <c r="AC61" i="74"/>
  <c r="Z7" i="74"/>
  <c r="Y15" i="74"/>
  <c r="Z16" i="74"/>
  <c r="AA17" i="74"/>
  <c r="AB18" i="74"/>
  <c r="Z21" i="74"/>
  <c r="AB22" i="74"/>
  <c r="AA27" i="74"/>
  <c r="AA32" i="74"/>
  <c r="AA37" i="74"/>
  <c r="AA42" i="74"/>
  <c r="AA47" i="74"/>
  <c r="AC55" i="74"/>
  <c r="AA59" i="74"/>
  <c r="Y63" i="74"/>
  <c r="AA7" i="74"/>
  <c r="Y14" i="74"/>
  <c r="Z15" i="74"/>
  <c r="AA16" i="74"/>
  <c r="AB17" i="74"/>
  <c r="AC18" i="74"/>
  <c r="Y20" i="74"/>
  <c r="AA21" i="74"/>
  <c r="AC22" i="74"/>
  <c r="AB27" i="74"/>
  <c r="AB32" i="74"/>
  <c r="AB37" i="74"/>
  <c r="AB42" i="74"/>
  <c r="AB47" i="74"/>
  <c r="AD55" i="74"/>
  <c r="AG17" i="74" s="1"/>
  <c r="Y57" i="74"/>
  <c r="AB59" i="74"/>
  <c r="Z63" i="74"/>
  <c r="AB7" i="74"/>
  <c r="Y13" i="74"/>
  <c r="Z14" i="74"/>
  <c r="AA15" i="74"/>
  <c r="AB16" i="74"/>
  <c r="AC17" i="74"/>
  <c r="Z20" i="74"/>
  <c r="AB21" i="74"/>
  <c r="AC27" i="74"/>
  <c r="AC32" i="74"/>
  <c r="AC37" i="74"/>
  <c r="AC42" i="74"/>
  <c r="AC47" i="74"/>
  <c r="Z57" i="74"/>
  <c r="AC59" i="74"/>
  <c r="AA63" i="74"/>
  <c r="Z13" i="74"/>
  <c r="AA14" i="74"/>
  <c r="AB15" i="74"/>
  <c r="AC16" i="74"/>
  <c r="Y19" i="74"/>
  <c r="AA20" i="74"/>
  <c r="AC21" i="74"/>
  <c r="AA57" i="74"/>
  <c r="Y61" i="74"/>
  <c r="Y19" i="73"/>
  <c r="Z20" i="73"/>
  <c r="AC16" i="73"/>
  <c r="Y17" i="73"/>
  <c r="AC13" i="73"/>
  <c r="Z14" i="73"/>
  <c r="Y13" i="73"/>
  <c r="AC17" i="73"/>
  <c r="AA20" i="73"/>
  <c r="AB21" i="73"/>
  <c r="Z13" i="73"/>
  <c r="AC21" i="73"/>
  <c r="AC27" i="73"/>
  <c r="AB13" i="73"/>
  <c r="AC7" i="73"/>
  <c r="AA14" i="73"/>
  <c r="AC14" i="73"/>
  <c r="AA15" i="73"/>
  <c r="AB15" i="73"/>
  <c r="AB16" i="73"/>
  <c r="AD57" i="73"/>
  <c r="AD17" i="73"/>
  <c r="AD19" i="73"/>
  <c r="AD20" i="73"/>
  <c r="AD21" i="73"/>
  <c r="AG9" i="73"/>
  <c r="AB26" i="73"/>
  <c r="AB41" i="73"/>
  <c r="AG5" i="73"/>
  <c r="AA26" i="73"/>
  <c r="AA46" i="73"/>
  <c r="AA36" i="73"/>
  <c r="AB46" i="73"/>
  <c r="AB31" i="73"/>
  <c r="AC46" i="73"/>
  <c r="Z41" i="73"/>
  <c r="Z46" i="73"/>
  <c r="AG2" i="73"/>
  <c r="AA31" i="73"/>
  <c r="Z36" i="73"/>
  <c r="Y46" i="73"/>
  <c r="AC26" i="73"/>
  <c r="AC31" i="73"/>
  <c r="Z26" i="73"/>
  <c r="Z31" i="73"/>
  <c r="AA41" i="73"/>
  <c r="Y26" i="73"/>
  <c r="AC41" i="73"/>
  <c r="AB36" i="73"/>
  <c r="AC36" i="73"/>
  <c r="Y36" i="73"/>
  <c r="Y31" i="73"/>
  <c r="Y41" i="73"/>
  <c r="AG4" i="73"/>
  <c r="AL5" i="73"/>
  <c r="AP5" i="73"/>
  <c r="AM5" i="73"/>
  <c r="AN5" i="73"/>
  <c r="AO5" i="73"/>
  <c r="AG6" i="73"/>
  <c r="AA13" i="73"/>
  <c r="AB14" i="73"/>
  <c r="AC15" i="73"/>
  <c r="AD16" i="73"/>
  <c r="Z19" i="73"/>
  <c r="AB20" i="73"/>
  <c r="Y55" i="73"/>
  <c r="AB57" i="73"/>
  <c r="Z61" i="73"/>
  <c r="AC63" i="73"/>
  <c r="AD15" i="73"/>
  <c r="Y18" i="73"/>
  <c r="AA19" i="73"/>
  <c r="AC20" i="73"/>
  <c r="Y22" i="73"/>
  <c r="Z55" i="73"/>
  <c r="AC57" i="73"/>
  <c r="AA61" i="73"/>
  <c r="AD63" i="73"/>
  <c r="AD14" i="73"/>
  <c r="Z18" i="73"/>
  <c r="AB19" i="73"/>
  <c r="Z22" i="73"/>
  <c r="Y27" i="73"/>
  <c r="Y32" i="73"/>
  <c r="Y37" i="73"/>
  <c r="Y42" i="73"/>
  <c r="Y47" i="73"/>
  <c r="AA55" i="73"/>
  <c r="Y59" i="73"/>
  <c r="AB61" i="73"/>
  <c r="Y7" i="73"/>
  <c r="AD13" i="73"/>
  <c r="Y16" i="73"/>
  <c r="Z17" i="73"/>
  <c r="AA18" i="73"/>
  <c r="AC19" i="73"/>
  <c r="Y21" i="73"/>
  <c r="AA22" i="73"/>
  <c r="Z27" i="73"/>
  <c r="Z32" i="73"/>
  <c r="Z37" i="73"/>
  <c r="Z42" i="73"/>
  <c r="Z47" i="73"/>
  <c r="AB55" i="73"/>
  <c r="Z59" i="73"/>
  <c r="AC61" i="73"/>
  <c r="Z7" i="73"/>
  <c r="Y15" i="73"/>
  <c r="Z16" i="73"/>
  <c r="AA17" i="73"/>
  <c r="AB18" i="73"/>
  <c r="Z21" i="73"/>
  <c r="AB22" i="73"/>
  <c r="AA27" i="73"/>
  <c r="AA32" i="73"/>
  <c r="AA37" i="73"/>
  <c r="AA42" i="73"/>
  <c r="AA47" i="73"/>
  <c r="AC55" i="73"/>
  <c r="AA59" i="73"/>
  <c r="AD61" i="73"/>
  <c r="Y63" i="73"/>
  <c r="AA7" i="73"/>
  <c r="Y14" i="73"/>
  <c r="Z15" i="73"/>
  <c r="AA16" i="73"/>
  <c r="AB17" i="73"/>
  <c r="AC18" i="73"/>
  <c r="Y20" i="73"/>
  <c r="AA21" i="73"/>
  <c r="AC22" i="73"/>
  <c r="AB27" i="73"/>
  <c r="AB32" i="73"/>
  <c r="AB37" i="73"/>
  <c r="AB42" i="73"/>
  <c r="AB47" i="73"/>
  <c r="AD55" i="73"/>
  <c r="Y57" i="73"/>
  <c r="AB59" i="73"/>
  <c r="Z63" i="73"/>
  <c r="AD18" i="73"/>
  <c r="AD22" i="73"/>
  <c r="AC32" i="73"/>
  <c r="AC37" i="73"/>
  <c r="AC42" i="73"/>
  <c r="AC47" i="73"/>
  <c r="Z57" i="73"/>
  <c r="AC59" i="73"/>
  <c r="AA63" i="73"/>
  <c r="AD42" i="73"/>
  <c r="AG15" i="73" s="1"/>
  <c r="AA57" i="73"/>
  <c r="Y61" i="73"/>
  <c r="AC26" i="4"/>
  <c r="AD41" i="4"/>
  <c r="AG16" i="4"/>
  <c r="Y27" i="4"/>
  <c r="AB32" i="4"/>
  <c r="Z42" i="4"/>
  <c r="AC47" i="4"/>
  <c r="Z27" i="4"/>
  <c r="AC32" i="4"/>
  <c r="AA42" i="4"/>
  <c r="AA27" i="4"/>
  <c r="Y37" i="4"/>
  <c r="AB42" i="4"/>
  <c r="S37" i="4"/>
  <c r="AD42" i="4" s="1"/>
  <c r="AD17" i="4"/>
  <c r="AA37" i="4"/>
  <c r="Y47" i="4"/>
  <c r="Y32" i="4"/>
  <c r="AB37" i="4"/>
  <c r="Z47" i="4"/>
  <c r="Z32" i="4"/>
  <c r="AC37" i="4"/>
  <c r="AA47" i="4"/>
  <c r="AD31" i="4"/>
  <c r="AA32" i="4"/>
  <c r="Y42" i="4"/>
  <c r="AB47" i="4"/>
  <c r="Y46" i="4"/>
  <c r="AD15" i="4"/>
  <c r="AD22" i="4"/>
  <c r="AD16" i="4"/>
  <c r="AD19" i="4"/>
  <c r="Y41" i="4"/>
  <c r="AD20" i="4"/>
  <c r="Z46" i="4"/>
  <c r="AC31" i="4"/>
  <c r="AB36" i="4"/>
  <c r="Z41" i="4"/>
  <c r="AB41" i="4"/>
  <c r="AC36" i="4"/>
  <c r="AA41" i="4"/>
  <c r="AA46" i="4"/>
  <c r="AB46" i="4"/>
  <c r="AC46" i="4"/>
  <c r="AC41" i="4"/>
  <c r="Y36" i="4"/>
  <c r="Z36" i="4"/>
  <c r="AA36" i="4"/>
  <c r="Y31" i="4"/>
  <c r="AB26" i="4"/>
  <c r="Z31" i="4"/>
  <c r="AA31" i="4"/>
  <c r="AB31" i="4"/>
  <c r="Z26" i="4"/>
  <c r="AA26" i="4"/>
  <c r="Y26" i="4"/>
  <c r="AP5" i="4"/>
  <c r="AO5" i="4"/>
  <c r="AN5" i="4"/>
  <c r="AM5" i="4"/>
  <c r="AL5" i="4"/>
  <c r="AD18" i="4"/>
  <c r="AD21" i="4"/>
  <c r="AD14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AC8" i="4"/>
  <c r="Y8" i="4"/>
  <c r="AB8" i="4"/>
  <c r="AA8" i="4"/>
  <c r="Z8" i="4"/>
  <c r="AL6" i="75" a="1"/>
  <c r="AP6" i="75" a="1"/>
  <c r="AM6" i="75" a="1"/>
  <c r="AN6" i="75" a="1"/>
  <c r="AO6" i="75" a="1"/>
  <c r="AL6" i="74" a="1"/>
  <c r="AP6" i="74" a="1"/>
  <c r="AM6" i="74" a="1"/>
  <c r="AN6" i="74" a="1"/>
  <c r="AO6" i="74" a="1"/>
  <c r="AL6" i="73" a="1"/>
  <c r="AP6" i="73" a="1"/>
  <c r="AM6" i="73" a="1"/>
  <c r="AN6" i="73" a="1"/>
  <c r="AO6" i="73" a="1"/>
  <c r="AM6" i="4" a="1"/>
  <c r="AN6" i="4" a="1"/>
  <c r="AO6" i="4" a="1"/>
  <c r="AP6" i="4" a="1"/>
  <c r="AL6" i="4" a="1"/>
  <c r="AG15" i="75" l="1"/>
  <c r="AG15" i="74"/>
  <c r="AG8" i="75"/>
  <c r="AG12" i="75"/>
  <c r="AO6" i="75"/>
  <c r="AC43" i="75" s="1"/>
  <c r="AN6" i="75"/>
  <c r="AA38" i="75" s="1"/>
  <c r="AM6" i="75"/>
  <c r="Y33" i="75" s="1"/>
  <c r="AP6" i="75"/>
  <c r="AA48" i="75" s="1"/>
  <c r="AL6" i="75"/>
  <c r="AB28" i="75" s="1"/>
  <c r="AG11" i="75"/>
  <c r="AG14" i="75"/>
  <c r="AG10" i="75"/>
  <c r="Y43" i="75"/>
  <c r="AG16" i="75"/>
  <c r="AG8" i="74"/>
  <c r="AG12" i="74"/>
  <c r="AO6" i="74"/>
  <c r="Y43" i="74" s="1"/>
  <c r="AN6" i="74"/>
  <c r="AB38" i="74" s="1"/>
  <c r="AM6" i="74"/>
  <c r="Z33" i="74" s="1"/>
  <c r="AP6" i="74"/>
  <c r="Z48" i="74" s="1"/>
  <c r="AL6" i="74"/>
  <c r="AB28" i="74" s="1"/>
  <c r="AG10" i="74"/>
  <c r="AG16" i="74"/>
  <c r="AG14" i="74"/>
  <c r="AG12" i="73"/>
  <c r="AG10" i="73"/>
  <c r="AO6" i="73"/>
  <c r="AA43" i="73" s="1"/>
  <c r="AN6" i="73"/>
  <c r="AA38" i="73" s="1"/>
  <c r="AM6" i="73"/>
  <c r="Y33" i="73" s="1"/>
  <c r="AP6" i="73"/>
  <c r="AB48" i="73" s="1"/>
  <c r="AL6" i="73"/>
  <c r="AA28" i="73" s="1"/>
  <c r="AG17" i="73"/>
  <c r="AG11" i="73"/>
  <c r="AG8" i="73"/>
  <c r="AG16" i="73"/>
  <c r="AD32" i="4"/>
  <c r="AD37" i="4"/>
  <c r="AD47" i="4"/>
  <c r="AG14" i="4"/>
  <c r="AG12" i="4"/>
  <c r="AM6" i="4"/>
  <c r="Y33" i="4" s="1"/>
  <c r="AN6" i="4"/>
  <c r="Y38" i="4" s="1"/>
  <c r="AO6" i="4"/>
  <c r="Y43" i="4" s="1"/>
  <c r="AP6" i="4"/>
  <c r="Y48" i="4" s="1"/>
  <c r="AL6" i="4"/>
  <c r="AA28" i="4" s="1"/>
  <c r="AG11" i="4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AB33" i="75" l="1"/>
  <c r="Y48" i="75"/>
  <c r="Z33" i="75"/>
  <c r="AC33" i="75"/>
  <c r="Z43" i="75"/>
  <c r="AB48" i="75"/>
  <c r="AC48" i="75"/>
  <c r="Z38" i="75"/>
  <c r="Y38" i="75"/>
  <c r="AA33" i="75"/>
  <c r="AA43" i="75"/>
  <c r="AB43" i="75"/>
  <c r="AA28" i="75"/>
  <c r="Z48" i="75"/>
  <c r="AC28" i="75"/>
  <c r="Y28" i="75"/>
  <c r="AB38" i="75"/>
  <c r="AC38" i="75"/>
  <c r="Z28" i="75"/>
  <c r="AC38" i="74"/>
  <c r="Z43" i="74"/>
  <c r="AA43" i="74"/>
  <c r="AB43" i="74"/>
  <c r="AC43" i="74"/>
  <c r="AA33" i="74"/>
  <c r="Z28" i="74"/>
  <c r="Y28" i="74"/>
  <c r="AC48" i="74"/>
  <c r="AC33" i="74"/>
  <c r="AA48" i="74"/>
  <c r="AB48" i="74"/>
  <c r="Y48" i="74"/>
  <c r="AA28" i="74"/>
  <c r="AC28" i="74"/>
  <c r="AB33" i="74"/>
  <c r="Y33" i="74"/>
  <c r="Z38" i="74"/>
  <c r="AA38" i="74"/>
  <c r="Y38" i="74"/>
  <c r="AC33" i="73"/>
  <c r="AA33" i="73"/>
  <c r="AA48" i="73"/>
  <c r="AC48" i="73"/>
  <c r="Z28" i="73"/>
  <c r="Y48" i="73"/>
  <c r="Z48" i="73"/>
  <c r="AB38" i="73"/>
  <c r="AC38" i="73"/>
  <c r="AB28" i="73"/>
  <c r="Y38" i="73"/>
  <c r="Y28" i="73"/>
  <c r="AB43" i="73"/>
  <c r="Z38" i="73"/>
  <c r="AC28" i="73"/>
  <c r="AC43" i="73"/>
  <c r="Y43" i="73"/>
  <c r="Z33" i="73"/>
  <c r="AB33" i="73"/>
  <c r="Z43" i="73"/>
  <c r="AC28" i="4"/>
  <c r="AG15" i="4"/>
  <c r="Z48" i="4"/>
  <c r="AA48" i="4"/>
  <c r="AB48" i="4"/>
  <c r="AC48" i="4"/>
  <c r="Z43" i="4"/>
  <c r="AA43" i="4"/>
  <c r="AB43" i="4"/>
  <c r="AC43" i="4"/>
  <c r="Z38" i="4"/>
  <c r="AA38" i="4"/>
  <c r="AB38" i="4"/>
  <c r="AC38" i="4"/>
  <c r="Z33" i="4"/>
  <c r="AA33" i="4"/>
  <c r="AB33" i="4"/>
  <c r="AC33" i="4"/>
  <c r="Y28" i="4"/>
  <c r="Z28" i="4"/>
  <c r="AB28" i="4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G13" i="75" l="1"/>
  <c r="D1" i="75" s="1"/>
  <c r="F4" i="1" s="1"/>
  <c r="AG13" i="74"/>
  <c r="D1" i="74" s="1"/>
  <c r="F3" i="1" s="1"/>
  <c r="AG13" i="73"/>
  <c r="D1" i="73" s="1"/>
  <c r="F2" i="1" s="1"/>
  <c r="AG13" i="4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T6" i="4"/>
  <c r="F1" i="1" l="1"/>
  <c r="AG6" i="4"/>
  <c r="AG5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<sst xmlns="http://schemas.openxmlformats.org/spreadsheetml/2006/main" count="683" uniqueCount="205">
  <si>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</si>
  <si>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</si>
  <si>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</si>
  <si>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</si>
  <si>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</si>
  <si>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</si>
  <si>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</si>
  <si>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</si>
  <si>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</si>
  <si>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</si>
  <si>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</si>
  <si>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</si>
  <si>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</si>
  <si>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</si>
  <si>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</si>
  <si>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</si>
  <si>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</si>
  <si>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</si>
  <si>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</si>
  <si>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</si>
  <si>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</si>
  <si>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</si>
  <si>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</si>
  <si>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</si>
  <si>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</si>
  <si>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</si>
  <si>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</si>
  <si>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</si>
  <si>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</si>
  <si>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</si>
  <si>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</si>
  <si>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</si>
  <si>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</si>
  <si>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</si>
  <si>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</si>
  <si>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</si>
  <si>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</si>
  <si>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</si>
  <si>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</si>
  <si>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</si>
  <si>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</si>
  <si>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</si>
  <si>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</si>
  <si>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</si>
  <si>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</si>
  <si>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</si>
  <si>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</si>
  <si>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得意先</t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</si>
  <si>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</si>
  <si>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</si>
  <si>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</si>
  <si>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</si>
  <si>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</si>
  <si>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</si>
  <si>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</si>
  <si>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</si>
  <si>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</si>
  <si>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</si>
  <si>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</si>
  <si>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</si>
  <si>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</si>
  <si>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</si>
  <si>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</si>
  <si>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</si>
  <si>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</si>
  <si>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</si>
  <si>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</si>
  <si>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</si>
  <si>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</si>
  <si>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</si>
  <si>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</si>
  <si>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</si>
  <si>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</si>
  <si>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</si>
  <si>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</si>
  <si>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</si>
  <si>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</si>
  <si>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</si>
  <si>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</si>
  <si>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</si>
  <si>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</si>
  <si>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</si>
  <si>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</si>
  <si>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</si>
  <si>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</si>
  <si>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</si>
  <si>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</si>
  <si>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</si>
  <si>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</si>
  <si>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</si>
  <si>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</si>
  <si>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</si>
  <si>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</si>
  <si>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</si>
  <si>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</si>
  <si>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</si>
  <si>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</si>
  <si>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</si>
  <si>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</si>
  <si>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</si>
  <si>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</si>
  <si>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</si>
  <si>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</si>
  <si>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</si>
  <si>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</si>
  <si>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</si>
  <si>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</si>
  <si>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</si>
  <si>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</si>
  <si>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</si>
  <si>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</si>
  <si>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</si>
  <si>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</si>
  <si>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</si>
  <si>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</si>
  <si>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</si>
  <si>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</si>
  <si>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</si>
  <si>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</si>
  <si>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</si>
  <si>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</si>
  <si>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</si>
  <si>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</si>
  <si>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</si>
  <si>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</si>
  <si>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</si>
  <si>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</si>
  <si>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</si>
  <si>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</si>
  <si>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</si>
  <si>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</si>
  <si>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</si>
  <si>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</si>
  <si>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</si>
  <si>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</si>
  <si>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</si>
  <si>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</si>
  <si>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</si>
  <si>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</si>
  <si>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</si>
  <si>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</si>
  <si>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</si>
  <si>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</si>
  <si>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</si>
  <si>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</si>
  <si>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</si>
  <si>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</si>
  <si>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</si>
  <si>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</si>
  <si>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</si>
  <si>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</si>
  <si>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</si>
  <si>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</si>
  <si>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</si>
  <si>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</si>
  <si>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</si>
  <si>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</si>
  <si>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</si>
  <si>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マスタT</t>
    <phoneticPr fontId="3"/>
  </si>
  <si>
    <t>-</t>
  </si>
  <si>
    <t>(LENGTH(received_order_no) = 10)</t>
  </si>
  <si>
    <t>(LENGTH(user_id) = 4)</t>
  </si>
  <si>
    <t>(LENGTH(customer_id) = 3)</t>
  </si>
  <si>
    <t>(LENGTH(emploee_no) = 4)</t>
  </si>
  <si>
    <t>(LENGTH(order_pic) = 4)</t>
  </si>
  <si>
    <t>(LENGTH(product_pic) = 4)</t>
  </si>
  <si>
    <t>受注</t>
  </si>
  <si>
    <t>customers</t>
  </si>
  <si>
    <t>○</t>
    <phoneticPr fontId="2"/>
  </si>
  <si>
    <t>AAA</t>
  </si>
  <si>
    <t>current_timestamp</t>
  </si>
  <si>
    <t>得意先ID</t>
    <phoneticPr fontId="2"/>
  </si>
  <si>
    <t>orders</t>
  </si>
  <si>
    <t>-</t>
    <phoneticPr fontId="2"/>
  </si>
  <si>
    <t>受注No</t>
    <phoneticPr fontId="2"/>
  </si>
  <si>
    <t>受注明細</t>
  </si>
  <si>
    <t>order_details</t>
  </si>
  <si>
    <t>Foreign Key</t>
    <phoneticPr fontId="2"/>
  </si>
  <si>
    <t>Primary Key</t>
    <phoneticPr fontId="2"/>
  </si>
  <si>
    <t>得意先</t>
    <phoneticPr fontId="2"/>
  </si>
  <si>
    <t>N/A</t>
    <phoneticPr fontId="2"/>
  </si>
  <si>
    <t>FK1</t>
    <phoneticPr fontId="2"/>
  </si>
  <si>
    <t>FK2</t>
  </si>
  <si>
    <t>FK3</t>
  </si>
  <si>
    <t>FK4</t>
  </si>
  <si>
    <t>FK5</t>
  </si>
  <si>
    <t>FIELD</t>
    <phoneticPr fontId="2"/>
  </si>
  <si>
    <t>FIELD(PK)</t>
    <phoneticPr fontId="2"/>
  </si>
  <si>
    <t>FK-OPTION</t>
    <phoneticPr fontId="2"/>
  </si>
  <si>
    <t>CASCADE</t>
  </si>
  <si>
    <t>SET NULL</t>
  </si>
  <si>
    <t>SET DEFAULT</t>
  </si>
  <si>
    <t>FK-ERROR</t>
    <phoneticPr fontId="2"/>
  </si>
  <si>
    <t>元項目不一致+数不一致</t>
    <rPh sb="0" eb="1">
      <t>モト</t>
    </rPh>
    <rPh sb="1" eb="3">
      <t>コウモク</t>
    </rPh>
    <rPh sb="3" eb="6">
      <t>フイッチ</t>
    </rPh>
    <phoneticPr fontId="2"/>
  </si>
  <si>
    <t>FK</t>
    <phoneticPr fontId="2"/>
  </si>
  <si>
    <t>FK項目なし</t>
    <rPh sb="2" eb="4">
      <t>コウモク</t>
    </rPh>
    <phoneticPr fontId="2"/>
  </si>
  <si>
    <t>INDEX-ERROR</t>
    <phoneticPr fontId="2"/>
  </si>
  <si>
    <t>REF TABLE</t>
    <phoneticPr fontId="2"/>
  </si>
  <si>
    <t>DELETE OPTION</t>
    <phoneticPr fontId="2"/>
  </si>
  <si>
    <t>UPDATE OPTION</t>
    <phoneticPr fontId="2"/>
  </si>
  <si>
    <t>THIS FIELD</t>
    <phoneticPr fontId="2"/>
  </si>
  <si>
    <t>REF FIELD</t>
    <phoneticPr fontId="2"/>
  </si>
  <si>
    <t>※UNIQUEINDEXの場合は番号の下に[1]を、DESCの場合は項目の下に[-1]を設定する。</t>
    <rPh sb="13" eb="15">
      <t>バアイ</t>
    </rPh>
    <rPh sb="16" eb="18">
      <t>バンゴウ</t>
    </rPh>
    <rPh sb="19" eb="20">
      <t>シタ</t>
    </rPh>
    <rPh sb="31" eb="33">
      <t>バアイ</t>
    </rPh>
    <rPh sb="34" eb="36">
      <t>コウモク</t>
    </rPh>
    <rPh sb="37" eb="38">
      <t>シタ</t>
    </rPh>
    <rPh sb="44" eb="46">
      <t>セッテイ</t>
    </rPh>
    <phoneticPr fontId="2"/>
  </si>
  <si>
    <t>※指定する場合は[1]を入力してください。</t>
    <rPh sb="1" eb="3">
      <t>シテイ</t>
    </rPh>
    <rPh sb="5" eb="7">
      <t>バアイ</t>
    </rPh>
    <rPh sb="12" eb="14">
      <t>ニュウリョク</t>
    </rPh>
    <phoneticPr fontId="2"/>
  </si>
  <si>
    <t>※UNIQUE時は番号の下に[1]を、DESCの場合は項目の下に[-1]を入力して下さい。</t>
    <rPh sb="7" eb="8">
      <t>ジ</t>
    </rPh>
    <rPh sb="9" eb="11">
      <t>バンゴウ</t>
    </rPh>
    <rPh sb="12" eb="13">
      <t>シタ</t>
    </rPh>
    <rPh sb="24" eb="26">
      <t>バアイ</t>
    </rPh>
    <rPh sb="27" eb="29">
      <t>コウモク</t>
    </rPh>
    <rPh sb="30" eb="31">
      <t>シタ</t>
    </rPh>
    <rPh sb="37" eb="39">
      <t>ニュウリョク</t>
    </rPh>
    <rPh sb="41" eb="42">
      <t>クダ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</si>
</sst>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;;"/>
    <numFmt numFmtId="181" formatCode="&quot;★エラーあり★&quot;;;&quot;OK&quot;;"/>
    <numFmt numFmtId="182" formatCode="&quot;NG&quot;;;&quot;OK&quot;;"/>
    <numFmt numFmtId="183" formatCode="&quot;エラー有無&quot;;;&quot;エラー有無&quot;;"/>
    <numFmt numFmtId="184" formatCode="&quot;(No: &quot;0&quot;)&quot;;;;"/>
    <numFmt numFmtId="192" formatCode="&quot;UNIQUE&quot;;;;"/>
    <numFmt numFmtId="193" formatCode=";&quot;DESC&quot;;;"/>
  </numFmts>
  <fonts count="24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  <font>
      <sz val="9"/>
      <color theme="1"/>
      <name val="Segoe UI"/>
      <family val="2"/>
    </font>
    <font>
      <sz val="7"/>
      <color theme="8"/>
      <name val="Yu Gothic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8168889431442"/>
        <bgColor indexed="64"/>
      </patternFill>
    </fill>
  </fills>
  <borders count="58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  <border>
      <left/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/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4" tint="0.39994506668294322"/>
      </right>
      <top style="thin">
        <color theme="3"/>
      </top>
      <bottom style="thin">
        <color theme="3"/>
      </bottom>
      <diagonal/>
    </border>
    <border>
      <left style="thin">
        <color theme="4" tint="0.39994506668294322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ck">
        <color theme="1" tint="0.499984740745262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0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0"/>
      </bottom>
      <diagonal/>
    </border>
    <border>
      <left style="thin">
        <color theme="3"/>
      </left>
      <right style="thin">
        <color theme="3"/>
      </right>
      <top style="thin">
        <color theme="0"/>
      </top>
      <bottom style="thin">
        <color theme="3"/>
      </bottom>
      <diagonal/>
    </border>
    <border>
      <left style="thin">
        <color theme="3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0" tint="-0.14996795556505021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0" tint="-0.14996795556505021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117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0" fontId="16" fillId="2" borderId="8" xfId="0" applyNumberFormat="1" applyFont="1" applyFill="1" applyBorder="1"/>
    <xf numFmtId="180" fontId="16" fillId="2" borderId="9" xfId="0" applyNumberFormat="1" applyFont="1" applyFill="1" applyBorder="1"/>
    <xf numFmtId="180" fontId="16" fillId="2" borderId="10" xfId="0" applyNumberFormat="1" applyFont="1" applyFill="1" applyBorder="1"/>
    <xf numFmtId="180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1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3" fontId="4" fillId="3" borderId="4" xfId="0" applyNumberFormat="1" applyFont="1" applyFill="1" applyBorder="1" applyAlignment="1">
      <alignment horizontal="center" vertical="center" wrapText="1"/>
    </xf>
    <xf numFmtId="184" fontId="15" fillId="0" borderId="0" xfId="0" applyNumberFormat="1" applyFont="1" applyAlignment="1">
      <alignment horizontal="center"/>
    </xf>
    <xf numFmtId="0" fontId="5" fillId="0" borderId="42" xfId="0" applyFont="1" applyBorder="1"/>
    <xf numFmtId="0" fontId="5" fillId="0" borderId="43" xfId="0" applyFont="1" applyBorder="1"/>
    <xf numFmtId="0" fontId="7" fillId="0" borderId="45" xfId="0" applyFont="1" applyBorder="1"/>
    <xf numFmtId="0" fontId="7" fillId="0" borderId="46" xfId="0" applyFont="1" applyBorder="1"/>
    <xf numFmtId="0" fontId="7" fillId="9" borderId="0" xfId="0" applyFont="1" applyFill="1"/>
    <xf numFmtId="0" fontId="21" fillId="0" borderId="0" xfId="0" applyFont="1" applyAlignment="1">
      <alignment horizontal="center"/>
    </xf>
    <xf numFmtId="0" fontId="22" fillId="0" borderId="0" xfId="0" applyFont="1"/>
    <xf numFmtId="0" fontId="4" fillId="3" borderId="48" xfId="0" applyFont="1" applyFill="1" applyBorder="1" applyAlignment="1">
      <alignment horizontal="center" vertical="center" wrapText="1"/>
    </xf>
    <xf numFmtId="177" fontId="7" fillId="2" borderId="47" xfId="0" applyNumberFormat="1" applyFont="1" applyFill="1" applyBorder="1" applyAlignment="1">
      <alignment horizontal="center"/>
    </xf>
    <xf numFmtId="0" fontId="5" fillId="0" borderId="45" xfId="0" applyFont="1" applyBorder="1"/>
    <xf numFmtId="0" fontId="4" fillId="3" borderId="49" xfId="0" applyFont="1" applyFill="1" applyBorder="1" applyAlignment="1">
      <alignment horizontal="center" vertical="center" wrapText="1"/>
    </xf>
    <xf numFmtId="0" fontId="4" fillId="3" borderId="50" xfId="0" applyFont="1" applyFill="1" applyBorder="1" applyAlignment="1">
      <alignment horizontal="center" vertical="center" wrapText="1"/>
    </xf>
    <xf numFmtId="177" fontId="18" fillId="5" borderId="44" xfId="0" applyNumberFormat="1" applyFont="1" applyFill="1" applyBorder="1" applyAlignment="1">
      <alignment horizontal="center"/>
    </xf>
    <xf numFmtId="0" fontId="23" fillId="5" borderId="44" xfId="0" applyFont="1" applyFill="1" applyBorder="1" applyAlignment="1">
      <alignment horizontal="center" vertical="center" wrapText="1"/>
    </xf>
    <xf numFmtId="192" fontId="5" fillId="0" borderId="51" xfId="0" applyNumberFormat="1" applyFont="1" applyBorder="1" applyAlignment="1">
      <alignment horizontal="center"/>
    </xf>
    <xf numFmtId="0" fontId="5" fillId="0" borderId="52" xfId="0" applyFont="1" applyBorder="1"/>
    <xf numFmtId="0" fontId="5" fillId="0" borderId="53" xfId="0" applyFont="1" applyBorder="1"/>
    <xf numFmtId="0" fontId="5" fillId="0" borderId="54" xfId="0" applyFont="1" applyBorder="1"/>
    <xf numFmtId="193" fontId="5" fillId="0" borderId="55" xfId="0" applyNumberFormat="1" applyFont="1" applyBorder="1" applyAlignment="1">
      <alignment horizontal="center"/>
    </xf>
    <xf numFmtId="193" fontId="5" fillId="0" borderId="56" xfId="0" applyNumberFormat="1" applyFont="1" applyBorder="1" applyAlignment="1">
      <alignment horizontal="center"/>
    </xf>
    <xf numFmtId="193" fontId="5" fillId="0" borderId="57" xfId="0" applyNumberFormat="1" applyFont="1" applyBorder="1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169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263"/>
  <sheetViews>
    <sheetView showGridLines="0" workbookViewId="0">
      <pane ySplit="1" topLeftCell="A14" activePane="bottomLeft" state="frozen"/>
      <selection pane="bottomLeft" activeCell="G31" sqref="G31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40</v>
      </c>
      <c r="E1" s="3" t="s">
        <v>41</v>
      </c>
      <c r="F1" s="4" t="s">
        <v>2</v>
      </c>
      <c r="G1" s="5" t="s">
        <v>5</v>
      </c>
      <c r="H1" s="5" t="s">
        <v>52</v>
      </c>
    </row>
    <row r="2" spans="1:9" ht="18">
      <c r="A2" s="64" t="s">
        <v>27</v>
      </c>
      <c r="B2" s="64" t="s">
        <v>53</v>
      </c>
      <c r="C2" s="64" t="s">
        <v>54</v>
      </c>
      <c r="D2" s="64" t="s">
        <v>55</v>
      </c>
      <c r="E2" s="64" t="b">
        <v>0</v>
      </c>
      <c r="F2" s="64" t="s">
        <v>56</v>
      </c>
      <c r="G2" s="66">
        <v>0</v>
      </c>
      <c r="H2" s="64" t="s">
        <v>27</v>
      </c>
      <c r="I2"/>
    </row>
    <row r="3" spans="1:9" ht="18">
      <c r="A3" s="64" t="s">
        <v>4</v>
      </c>
      <c r="B3" s="64" t="s">
        <v>57</v>
      </c>
      <c r="C3" s="64" t="s">
        <v>58</v>
      </c>
      <c r="D3" s="64" t="s">
        <v>59</v>
      </c>
      <c r="E3" s="64" t="b">
        <v>0</v>
      </c>
      <c r="F3" s="64" t="s">
        <v>60</v>
      </c>
      <c r="G3" s="66">
        <v>0</v>
      </c>
      <c r="H3" s="64" t="s">
        <v>4</v>
      </c>
      <c r="I3"/>
    </row>
    <row r="4" spans="1:9" ht="18">
      <c r="A4" s="64" t="s">
        <v>61</v>
      </c>
      <c r="B4" s="64" t="s">
        <v>62</v>
      </c>
      <c r="C4" s="64" t="s">
        <v>63</v>
      </c>
      <c r="D4" s="64" t="s">
        <v>64</v>
      </c>
      <c r="E4" s="64" t="b">
        <v>0</v>
      </c>
      <c r="F4" s="64" t="s">
        <v>65</v>
      </c>
      <c r="G4" s="66">
        <v>0</v>
      </c>
      <c r="H4" s="64" t="s">
        <v>61</v>
      </c>
      <c r="I4"/>
    </row>
    <row r="5" spans="1:9" ht="18">
      <c r="A5" s="64" t="s">
        <v>21</v>
      </c>
      <c r="B5" s="64" t="s">
        <v>66</v>
      </c>
      <c r="C5" s="64" t="s">
        <v>67</v>
      </c>
      <c r="D5" s="64"/>
      <c r="E5" s="64" t="b">
        <v>0</v>
      </c>
      <c r="F5" s="64" t="s">
        <v>21</v>
      </c>
      <c r="G5" s="66">
        <v>0</v>
      </c>
      <c r="H5" s="64" t="s">
        <v>21</v>
      </c>
      <c r="I5"/>
    </row>
    <row r="6" spans="1:9" ht="18">
      <c r="A6" s="64" t="s">
        <v>68</v>
      </c>
      <c r="B6" s="64" t="s">
        <v>69</v>
      </c>
      <c r="C6" s="64" t="s">
        <v>69</v>
      </c>
      <c r="D6" s="64"/>
      <c r="E6" s="64" t="b">
        <v>1</v>
      </c>
      <c r="F6" s="64" t="s">
        <v>70</v>
      </c>
      <c r="G6" s="66">
        <v>0</v>
      </c>
      <c r="H6" s="64" t="s">
        <v>68</v>
      </c>
      <c r="I6"/>
    </row>
    <row r="7" spans="1:9" ht="18">
      <c r="A7" s="64" t="s">
        <v>22</v>
      </c>
      <c r="B7" s="64" t="s">
        <v>71</v>
      </c>
      <c r="C7" s="64" t="s">
        <v>72</v>
      </c>
      <c r="D7" s="64" t="s">
        <v>73</v>
      </c>
      <c r="E7" s="64" t="b">
        <v>0</v>
      </c>
      <c r="F7" s="64" t="s">
        <v>22</v>
      </c>
      <c r="G7" s="66">
        <v>0</v>
      </c>
      <c r="H7" s="64" t="s">
        <v>22</v>
      </c>
      <c r="I7"/>
    </row>
    <row r="8" spans="1:9" ht="18">
      <c r="A8" s="64" t="s">
        <v>74</v>
      </c>
      <c r="B8" s="64" t="s">
        <v>75</v>
      </c>
      <c r="C8" s="64" t="s">
        <v>76</v>
      </c>
      <c r="D8" s="64"/>
      <c r="E8" s="64" t="b">
        <v>1</v>
      </c>
      <c r="F8" s="64" t="s">
        <v>77</v>
      </c>
      <c r="G8" s="66">
        <v>0</v>
      </c>
      <c r="H8" s="64" t="s">
        <v>74</v>
      </c>
      <c r="I8"/>
    </row>
    <row r="9" spans="1:9" ht="18">
      <c r="A9" s="64" t="s">
        <v>78</v>
      </c>
      <c r="B9" s="64" t="s">
        <v>79</v>
      </c>
      <c r="C9" s="64" t="s">
        <v>79</v>
      </c>
      <c r="D9" s="64"/>
      <c r="E9" s="64" t="b">
        <v>1</v>
      </c>
      <c r="F9" s="64" t="s">
        <v>78</v>
      </c>
      <c r="G9" s="66">
        <v>0</v>
      </c>
      <c r="H9" s="64" t="s">
        <v>78</v>
      </c>
      <c r="I9"/>
    </row>
    <row r="10" spans="1:9" ht="18">
      <c r="A10" s="64" t="s">
        <v>28</v>
      </c>
      <c r="B10" s="64" t="s">
        <v>80</v>
      </c>
      <c r="C10" s="64" t="s">
        <v>67</v>
      </c>
      <c r="D10" s="64"/>
      <c r="E10" s="64" t="b">
        <v>0</v>
      </c>
      <c r="F10" s="64" t="s">
        <v>28</v>
      </c>
      <c r="G10" s="66">
        <v>0</v>
      </c>
      <c r="H10" s="64" t="s">
        <v>28</v>
      </c>
      <c r="I10"/>
    </row>
    <row r="11" spans="1:9" ht="18">
      <c r="A11" s="64" t="s">
        <v>29</v>
      </c>
      <c r="B11" s="64" t="s">
        <v>81</v>
      </c>
      <c r="C11" s="64" t="s">
        <v>58</v>
      </c>
      <c r="D11" s="64" t="s">
        <v>82</v>
      </c>
      <c r="E11" s="64" t="b">
        <v>0</v>
      </c>
      <c r="F11" s="64" t="s">
        <v>29</v>
      </c>
      <c r="G11" s="66">
        <v>0</v>
      </c>
      <c r="H11" s="64" t="s">
        <v>29</v>
      </c>
      <c r="I11"/>
    </row>
    <row r="12" spans="1:9" ht="18">
      <c r="A12" s="64" t="s">
        <v>30</v>
      </c>
      <c r="B12" s="64" t="s">
        <v>83</v>
      </c>
      <c r="C12" s="64" t="s">
        <v>54</v>
      </c>
      <c r="D12" s="64" t="s">
        <v>160</v>
      </c>
      <c r="E12" s="64" t="b">
        <v>0</v>
      </c>
      <c r="F12" s="64" t="s">
        <v>84</v>
      </c>
      <c r="G12" s="66">
        <v>0</v>
      </c>
      <c r="H12" s="64" t="s">
        <v>30</v>
      </c>
      <c r="I12"/>
    </row>
    <row r="13" spans="1:9" ht="18">
      <c r="A13" s="64" t="s">
        <v>85</v>
      </c>
      <c r="B13" s="64" t="s">
        <v>86</v>
      </c>
      <c r="C13" s="64" t="s">
        <v>87</v>
      </c>
      <c r="D13" s="64"/>
      <c r="E13" s="64" t="b">
        <v>0</v>
      </c>
      <c r="F13" s="64" t="s">
        <v>88</v>
      </c>
      <c r="G13" s="66">
        <v>0</v>
      </c>
      <c r="H13" s="64" t="s">
        <v>85</v>
      </c>
      <c r="I13"/>
    </row>
    <row r="14" spans="1:9" ht="18">
      <c r="A14" s="64" t="s">
        <v>31</v>
      </c>
      <c r="B14" s="64" t="s">
        <v>89</v>
      </c>
      <c r="C14" s="64" t="s">
        <v>90</v>
      </c>
      <c r="D14" s="64"/>
      <c r="E14" s="64" t="b">
        <v>0</v>
      </c>
      <c r="F14" s="64" t="s">
        <v>91</v>
      </c>
      <c r="G14" s="66">
        <v>0</v>
      </c>
      <c r="H14" s="64" t="s">
        <v>31</v>
      </c>
      <c r="I14"/>
    </row>
    <row r="15" spans="1:9" ht="18">
      <c r="A15" s="64" t="s">
        <v>92</v>
      </c>
      <c r="B15" s="64" t="s">
        <v>93</v>
      </c>
      <c r="C15" s="64" t="s">
        <v>94</v>
      </c>
      <c r="D15" s="64" t="s">
        <v>161</v>
      </c>
      <c r="E15" s="64" t="b">
        <v>0</v>
      </c>
      <c r="F15" s="64" t="s">
        <v>95</v>
      </c>
      <c r="G15" s="66">
        <v>0</v>
      </c>
      <c r="H15" s="64" t="s">
        <v>92</v>
      </c>
      <c r="I15"/>
    </row>
    <row r="16" spans="1:9" ht="18">
      <c r="A16" s="64" t="s">
        <v>96</v>
      </c>
      <c r="B16" s="64" t="s">
        <v>97</v>
      </c>
      <c r="C16" s="64" t="s">
        <v>98</v>
      </c>
      <c r="D16" s="64"/>
      <c r="E16" s="64" t="b">
        <v>0</v>
      </c>
      <c r="F16" s="64" t="s">
        <v>99</v>
      </c>
      <c r="G16" s="66">
        <v>0</v>
      </c>
      <c r="H16" s="64" t="s">
        <v>96</v>
      </c>
      <c r="I16"/>
    </row>
    <row r="17" spans="1:9" ht="18">
      <c r="A17" s="64" t="s">
        <v>32</v>
      </c>
      <c r="B17" s="64" t="s">
        <v>100</v>
      </c>
      <c r="C17" s="64" t="s">
        <v>101</v>
      </c>
      <c r="D17" s="64" t="s">
        <v>162</v>
      </c>
      <c r="E17" s="64" t="b">
        <v>0</v>
      </c>
      <c r="F17" s="64" t="s">
        <v>102</v>
      </c>
      <c r="G17" s="66">
        <v>0</v>
      </c>
      <c r="H17" s="64" t="s">
        <v>32</v>
      </c>
      <c r="I17"/>
    </row>
    <row r="18" spans="1:9" ht="18">
      <c r="A18" s="64" t="s">
        <v>47</v>
      </c>
      <c r="B18" s="64" t="s">
        <v>103</v>
      </c>
      <c r="C18" s="64" t="s">
        <v>98</v>
      </c>
      <c r="D18" s="64"/>
      <c r="E18" s="64" t="b">
        <v>0</v>
      </c>
      <c r="F18" s="64" t="s">
        <v>104</v>
      </c>
      <c r="G18" s="66">
        <v>0</v>
      </c>
      <c r="H18" s="64" t="s">
        <v>47</v>
      </c>
      <c r="I18"/>
    </row>
    <row r="19" spans="1:9" ht="18">
      <c r="A19" s="64" t="s">
        <v>105</v>
      </c>
      <c r="B19" s="64" t="s">
        <v>106</v>
      </c>
      <c r="C19" s="64" t="s">
        <v>76</v>
      </c>
      <c r="D19" s="64"/>
      <c r="E19" s="64" t="b">
        <v>1</v>
      </c>
      <c r="F19" s="64" t="s">
        <v>107</v>
      </c>
      <c r="G19" s="66">
        <v>0</v>
      </c>
      <c r="H19" s="64" t="s">
        <v>105</v>
      </c>
      <c r="I19"/>
    </row>
    <row r="20" spans="1:9" ht="18">
      <c r="A20" s="64" t="s">
        <v>108</v>
      </c>
      <c r="B20" s="64" t="s">
        <v>109</v>
      </c>
      <c r="C20" s="64" t="s">
        <v>63</v>
      </c>
      <c r="D20" s="64" t="s">
        <v>110</v>
      </c>
      <c r="E20" s="64" t="b">
        <v>0</v>
      </c>
      <c r="F20" s="64" t="s">
        <v>108</v>
      </c>
      <c r="G20" s="66">
        <v>0</v>
      </c>
      <c r="H20" s="64" t="s">
        <v>108</v>
      </c>
      <c r="I20"/>
    </row>
    <row r="21" spans="1:9" ht="18">
      <c r="A21" s="64" t="s">
        <v>111</v>
      </c>
      <c r="B21" s="64" t="s">
        <v>112</v>
      </c>
      <c r="C21" s="64" t="s">
        <v>76</v>
      </c>
      <c r="D21" s="64"/>
      <c r="E21" s="64" t="b">
        <v>1</v>
      </c>
      <c r="F21" s="64" t="s">
        <v>113</v>
      </c>
      <c r="G21" s="66">
        <v>0</v>
      </c>
      <c r="H21" s="64" t="s">
        <v>111</v>
      </c>
      <c r="I21"/>
    </row>
    <row r="22" spans="1:9" ht="18">
      <c r="A22" s="64" t="s">
        <v>114</v>
      </c>
      <c r="B22" s="64" t="s">
        <v>115</v>
      </c>
      <c r="C22" s="64" t="s">
        <v>116</v>
      </c>
      <c r="D22" s="64" t="s">
        <v>117</v>
      </c>
      <c r="E22" s="64" t="b">
        <v>0</v>
      </c>
      <c r="F22" s="64" t="s">
        <v>118</v>
      </c>
      <c r="G22" s="66">
        <v>0</v>
      </c>
      <c r="H22" s="64" t="s">
        <v>114</v>
      </c>
      <c r="I22"/>
    </row>
    <row r="23" spans="1:9" ht="18">
      <c r="A23" s="64" t="s">
        <v>119</v>
      </c>
      <c r="B23" s="64" t="s">
        <v>120</v>
      </c>
      <c r="C23" s="64" t="s">
        <v>76</v>
      </c>
      <c r="D23" s="64"/>
      <c r="E23" s="64" t="b">
        <v>1</v>
      </c>
      <c r="F23" s="64" t="s">
        <v>121</v>
      </c>
      <c r="G23" s="66">
        <v>0</v>
      </c>
      <c r="H23" s="64" t="s">
        <v>119</v>
      </c>
      <c r="I23"/>
    </row>
    <row r="24" spans="1:9" ht="18">
      <c r="A24" s="64" t="s">
        <v>51</v>
      </c>
      <c r="B24" s="64" t="s">
        <v>122</v>
      </c>
      <c r="C24" s="64" t="s">
        <v>122</v>
      </c>
      <c r="D24" s="64"/>
      <c r="E24" s="64" t="b">
        <v>1</v>
      </c>
      <c r="F24" s="64" t="s">
        <v>123</v>
      </c>
      <c r="G24" s="66">
        <v>0</v>
      </c>
      <c r="H24" s="64" t="s">
        <v>51</v>
      </c>
      <c r="I24"/>
    </row>
    <row r="25" spans="1:9" ht="18">
      <c r="A25" s="64" t="s">
        <v>124</v>
      </c>
      <c r="B25" s="64" t="s">
        <v>125</v>
      </c>
      <c r="C25" s="64" t="s">
        <v>126</v>
      </c>
      <c r="D25" s="64"/>
      <c r="E25" s="64" t="b">
        <v>0</v>
      </c>
      <c r="F25" s="64" t="s">
        <v>127</v>
      </c>
      <c r="G25" s="66">
        <v>0</v>
      </c>
      <c r="H25" s="64" t="s">
        <v>124</v>
      </c>
      <c r="I25"/>
    </row>
    <row r="26" spans="1:9" ht="18">
      <c r="A26" s="64" t="s">
        <v>128</v>
      </c>
      <c r="B26" s="64" t="s">
        <v>129</v>
      </c>
      <c r="C26" s="64" t="s">
        <v>94</v>
      </c>
      <c r="D26" s="64" t="s">
        <v>163</v>
      </c>
      <c r="E26" s="64" t="b">
        <v>0</v>
      </c>
      <c r="F26" s="64" t="s">
        <v>128</v>
      </c>
      <c r="G26" s="66">
        <v>0</v>
      </c>
      <c r="H26" s="64" t="s">
        <v>128</v>
      </c>
      <c r="I26"/>
    </row>
    <row r="27" spans="1:9" ht="18">
      <c r="A27" s="64" t="s">
        <v>130</v>
      </c>
      <c r="B27" s="64" t="s">
        <v>131</v>
      </c>
      <c r="C27" s="64" t="s">
        <v>132</v>
      </c>
      <c r="D27" s="64"/>
      <c r="E27" s="64" t="b">
        <v>0</v>
      </c>
      <c r="F27" s="64" t="s">
        <v>133</v>
      </c>
      <c r="G27" s="66">
        <v>0</v>
      </c>
      <c r="H27" s="64" t="s">
        <v>130</v>
      </c>
      <c r="I27"/>
    </row>
    <row r="28" spans="1:9" ht="18">
      <c r="A28" s="64" t="s">
        <v>134</v>
      </c>
      <c r="B28" s="64" t="s">
        <v>135</v>
      </c>
      <c r="C28" s="64" t="s">
        <v>58</v>
      </c>
      <c r="D28" s="64" t="s">
        <v>136</v>
      </c>
      <c r="E28" s="64" t="b">
        <v>0</v>
      </c>
      <c r="F28" s="64" t="s">
        <v>137</v>
      </c>
      <c r="G28" s="66">
        <v>1</v>
      </c>
      <c r="H28" s="64" t="s">
        <v>4</v>
      </c>
      <c r="I28"/>
    </row>
    <row r="29" spans="1:9" ht="18">
      <c r="A29" s="64" t="s">
        <v>138</v>
      </c>
      <c r="B29" s="64" t="s">
        <v>139</v>
      </c>
      <c r="C29" s="64" t="s">
        <v>94</v>
      </c>
      <c r="D29" s="64" t="s">
        <v>164</v>
      </c>
      <c r="E29" s="64" t="b">
        <v>0</v>
      </c>
      <c r="F29" s="64" t="s">
        <v>140</v>
      </c>
      <c r="G29" s="66">
        <v>1</v>
      </c>
      <c r="H29" s="64" t="s">
        <v>92</v>
      </c>
      <c r="I29"/>
    </row>
    <row r="30" spans="1:9" ht="18">
      <c r="A30" s="64" t="s">
        <v>141</v>
      </c>
      <c r="B30" s="64" t="s">
        <v>142</v>
      </c>
      <c r="C30" s="64" t="s">
        <v>94</v>
      </c>
      <c r="D30" s="64" t="s">
        <v>165</v>
      </c>
      <c r="E30" s="64" t="b">
        <v>0</v>
      </c>
      <c r="F30" s="64" t="s">
        <v>143</v>
      </c>
      <c r="G30" s="66">
        <v>1</v>
      </c>
      <c r="H30" s="64" t="s">
        <v>92</v>
      </c>
      <c r="I30"/>
    </row>
    <row r="31" spans="1:9" ht="18">
      <c r="A31" s="65" t="s">
        <v>144</v>
      </c>
      <c r="B31" s="65" t="s">
        <v>145</v>
      </c>
      <c r="C31" s="65" t="s">
        <v>79</v>
      </c>
      <c r="D31" s="65"/>
      <c r="E31" s="65" t="b">
        <v>1</v>
      </c>
      <c r="F31" s="65" t="s">
        <v>144</v>
      </c>
      <c r="G31" s="67">
        <v>1</v>
      </c>
      <c r="H31" s="65" t="s">
        <v>78</v>
      </c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  <row r="237" spans="1:9" ht="18">
      <c r="A237"/>
      <c r="B237"/>
      <c r="C237"/>
      <c r="D237"/>
      <c r="E237"/>
      <c r="F237"/>
      <c r="G237"/>
      <c r="H237"/>
      <c r="I237"/>
    </row>
    <row r="238" spans="1:9" ht="18">
      <c r="A238"/>
      <c r="B238"/>
      <c r="C238"/>
      <c r="D238"/>
      <c r="E238"/>
      <c r="F238"/>
      <c r="G238"/>
      <c r="H238"/>
      <c r="I238"/>
    </row>
    <row r="239" spans="1:9" ht="18">
      <c r="A239"/>
      <c r="B239"/>
      <c r="C239"/>
      <c r="D239"/>
      <c r="E239"/>
      <c r="F239"/>
      <c r="G239"/>
      <c r="H239"/>
      <c r="I239"/>
    </row>
    <row r="240" spans="1:9" ht="18">
      <c r="A240"/>
      <c r="B240"/>
      <c r="C240"/>
      <c r="D240"/>
      <c r="E240"/>
      <c r="F240"/>
      <c r="G240"/>
      <c r="H240"/>
      <c r="I240"/>
    </row>
    <row r="241" spans="1:9" ht="18">
      <c r="A241"/>
      <c r="B241"/>
      <c r="C241"/>
      <c r="D241"/>
      <c r="E241"/>
      <c r="F241"/>
      <c r="G241"/>
      <c r="H241"/>
      <c r="I241"/>
    </row>
    <row r="242" spans="1:9" ht="18">
      <c r="A242"/>
      <c r="B242"/>
      <c r="C242"/>
      <c r="D242"/>
      <c r="E242"/>
      <c r="F242"/>
      <c r="G242"/>
      <c r="H242"/>
      <c r="I242"/>
    </row>
    <row r="243" spans="1:9" ht="18">
      <c r="A243"/>
      <c r="B243"/>
      <c r="C243"/>
      <c r="D243"/>
      <c r="E243"/>
      <c r="F243"/>
      <c r="G243"/>
      <c r="H243"/>
      <c r="I243"/>
    </row>
    <row r="244" spans="1:9" ht="18">
      <c r="A244"/>
      <c r="B244"/>
      <c r="C244"/>
      <c r="D244"/>
      <c r="E244"/>
      <c r="F244"/>
      <c r="G244"/>
      <c r="H244"/>
      <c r="I244"/>
    </row>
    <row r="245" spans="1:9" ht="18">
      <c r="A245"/>
      <c r="B245"/>
      <c r="C245"/>
      <c r="D245"/>
      <c r="E245"/>
      <c r="F245"/>
      <c r="G245"/>
      <c r="H245"/>
      <c r="I245"/>
    </row>
    <row r="246" spans="1:9" ht="18">
      <c r="A246"/>
      <c r="B246"/>
      <c r="C246"/>
      <c r="D246"/>
      <c r="E246"/>
      <c r="F246"/>
      <c r="G246"/>
      <c r="H246"/>
      <c r="I246"/>
    </row>
    <row r="247" spans="1:9" ht="18">
      <c r="A247"/>
      <c r="B247"/>
      <c r="C247"/>
      <c r="D247"/>
      <c r="E247"/>
      <c r="F247"/>
      <c r="G247"/>
      <c r="H247"/>
      <c r="I247"/>
    </row>
    <row r="248" spans="1:9" ht="18">
      <c r="A248"/>
      <c r="B248"/>
      <c r="C248"/>
      <c r="D248"/>
      <c r="E248"/>
      <c r="F248"/>
      <c r="G248"/>
      <c r="H248"/>
      <c r="I248"/>
    </row>
    <row r="249" spans="1:9" ht="18">
      <c r="A249"/>
      <c r="B249"/>
      <c r="C249"/>
      <c r="D249"/>
      <c r="E249"/>
      <c r="F249"/>
      <c r="G249"/>
      <c r="H249"/>
      <c r="I249"/>
    </row>
    <row r="250" spans="1:9" ht="18">
      <c r="A250"/>
      <c r="B250"/>
      <c r="C250"/>
      <c r="D250"/>
      <c r="E250"/>
      <c r="F250"/>
      <c r="G250"/>
      <c r="H250"/>
      <c r="I250"/>
    </row>
    <row r="251" spans="1:9" ht="18">
      <c r="A251"/>
      <c r="B251"/>
      <c r="C251"/>
      <c r="D251"/>
      <c r="E251"/>
      <c r="F251"/>
      <c r="G251"/>
      <c r="H251"/>
      <c r="I251"/>
    </row>
    <row r="252" spans="1:9" ht="18">
      <c r="A252"/>
      <c r="B252"/>
      <c r="C252"/>
      <c r="D252"/>
      <c r="E252"/>
      <c r="F252"/>
      <c r="G252"/>
      <c r="H252"/>
      <c r="I252"/>
    </row>
    <row r="253" spans="1:9" ht="18">
      <c r="A253"/>
      <c r="B253"/>
      <c r="C253"/>
      <c r="D253"/>
      <c r="E253"/>
      <c r="F253"/>
      <c r="G253"/>
      <c r="H253"/>
      <c r="I253"/>
    </row>
    <row r="254" spans="1:9" ht="18">
      <c r="A254"/>
      <c r="B254"/>
      <c r="C254"/>
      <c r="D254"/>
      <c r="E254"/>
      <c r="F254"/>
      <c r="G254"/>
      <c r="H254"/>
      <c r="I254"/>
    </row>
    <row r="255" spans="1:9" ht="18">
      <c r="A255"/>
      <c r="B255"/>
      <c r="C255"/>
      <c r="D255"/>
      <c r="E255"/>
      <c r="F255"/>
      <c r="G255"/>
      <c r="H255"/>
      <c r="I255"/>
    </row>
    <row r="256" spans="1:9" ht="18">
      <c r="A256"/>
      <c r="B256"/>
      <c r="C256"/>
      <c r="D256"/>
      <c r="E256"/>
      <c r="F256"/>
      <c r="G256"/>
      <c r="H256"/>
      <c r="I256"/>
    </row>
    <row r="257" spans="1:9" ht="18">
      <c r="A257"/>
      <c r="B257"/>
      <c r="C257"/>
      <c r="D257"/>
      <c r="E257"/>
      <c r="F257"/>
      <c r="G257"/>
      <c r="H257"/>
      <c r="I257"/>
    </row>
    <row r="258" spans="1:9" ht="18">
      <c r="A258"/>
      <c r="B258"/>
      <c r="C258"/>
      <c r="D258"/>
      <c r="E258"/>
      <c r="F258"/>
      <c r="G258"/>
      <c r="H258"/>
      <c r="I258"/>
    </row>
    <row r="259" spans="1:9" ht="18">
      <c r="A259"/>
      <c r="B259"/>
      <c r="C259"/>
      <c r="D259"/>
      <c r="E259"/>
      <c r="F259"/>
      <c r="G259"/>
      <c r="H259"/>
      <c r="I259"/>
    </row>
    <row r="260" spans="1:9" ht="18">
      <c r="A260"/>
      <c r="B260"/>
      <c r="C260"/>
      <c r="D260"/>
      <c r="E260"/>
      <c r="F260"/>
      <c r="G260"/>
      <c r="H260"/>
      <c r="I260"/>
    </row>
    <row r="261" spans="1:9" ht="18">
      <c r="A261"/>
      <c r="B261"/>
      <c r="C261"/>
      <c r="D261"/>
      <c r="E261"/>
      <c r="F261"/>
      <c r="G261"/>
      <c r="H261"/>
      <c r="I261"/>
    </row>
    <row r="262" spans="1:9" ht="18">
      <c r="A262"/>
      <c r="B262"/>
      <c r="C262"/>
      <c r="D262"/>
      <c r="E262"/>
      <c r="F262"/>
      <c r="G262"/>
      <c r="H262"/>
      <c r="I262"/>
    </row>
    <row r="263" spans="1:9" ht="18">
      <c r="A263"/>
      <c r="B263"/>
      <c r="C263"/>
      <c r="D263"/>
      <c r="E263"/>
      <c r="F263"/>
      <c r="G263"/>
      <c r="H263"/>
      <c r="I263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workbookViewId="0">
      <pane ySplit="1" topLeftCell="A2" activePane="bottomLeft" state="frozen"/>
      <selection pane="bottomLeft" activeCell="C10" sqref="C10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12</v>
      </c>
      <c r="B1" s="4"/>
      <c r="C1" s="4" t="s">
        <v>39</v>
      </c>
      <c r="D1" s="4" t="s">
        <v>34</v>
      </c>
      <c r="E1" s="32" t="s">
        <v>38</v>
      </c>
      <c r="F1" s="94">
        <f ca="1">SUM($F$2:$F$101)</f>
        <v>0</v>
      </c>
      <c r="H1" s="27" t="s">
        <v>37</v>
      </c>
      <c r="I1" s="27" t="s">
        <v>35</v>
      </c>
      <c r="J1" s="27" t="s">
        <v>36</v>
      </c>
    </row>
    <row r="2" spans="1:10">
      <c r="A2" s="21">
        <f>ROW()-1</f>
        <v>1</v>
      </c>
      <c r="B2" s="29">
        <f ca="1">IF(AND(I2,NOT(J2),NOT(H2)),1,0)</f>
        <v>0</v>
      </c>
      <c r="C2" s="33" t="s">
        <v>47</v>
      </c>
      <c r="D2" s="22" t="s">
        <v>47</v>
      </c>
      <c r="E2" s="22" t="s">
        <v>167</v>
      </c>
      <c r="F2" s="91">
        <f ca="1">得意先!ERRORS</f>
        <v>0</v>
      </c>
      <c r="G2" s="54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166</v>
      </c>
      <c r="D3" s="24" t="s">
        <v>166</v>
      </c>
      <c r="E3" s="24" t="s">
        <v>172</v>
      </c>
      <c r="F3" s="92">
        <f ca="1">受注!ERRORS</f>
        <v>0</v>
      </c>
      <c r="G3" s="54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 t="s">
        <v>175</v>
      </c>
      <c r="D4" s="24" t="s">
        <v>175</v>
      </c>
      <c r="E4" s="24" t="s">
        <v>176</v>
      </c>
      <c r="F4" s="92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92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23"/>
      <c r="D6" s="24"/>
      <c r="E6" s="24"/>
      <c r="F6" s="92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23"/>
      <c r="D7" s="24"/>
      <c r="E7" s="24"/>
      <c r="F7" s="92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23"/>
      <c r="D8" s="24"/>
      <c r="E8" s="24"/>
      <c r="F8" s="92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23"/>
      <c r="D9" s="24"/>
      <c r="E9" s="24"/>
      <c r="F9" s="92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23"/>
      <c r="D10" s="24"/>
      <c r="E10" s="24"/>
      <c r="F10" s="92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23"/>
      <c r="D11" s="24"/>
      <c r="E11" s="24"/>
      <c r="F11" s="92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23"/>
      <c r="D12" s="24"/>
      <c r="E12" s="24"/>
      <c r="F12" s="92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23"/>
      <c r="D13" s="24"/>
      <c r="E13" s="24"/>
      <c r="F13" s="92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23"/>
      <c r="D14" s="24"/>
      <c r="E14" s="24"/>
      <c r="F14" s="92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23"/>
      <c r="D15" s="24"/>
      <c r="E15" s="24"/>
      <c r="F15" s="92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23"/>
      <c r="D16" s="24"/>
      <c r="E16" s="24"/>
      <c r="F16" s="92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92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92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92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92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92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92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92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92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92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92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92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92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92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92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92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92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92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92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92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92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92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92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92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92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92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92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92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92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92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92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92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92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92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92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92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92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92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92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92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92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92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92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92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92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92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92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92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92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92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92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92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92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92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92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92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92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92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92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92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92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92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92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92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92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92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92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92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92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92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92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92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92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92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92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92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92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92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92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92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92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92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92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92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92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93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168" priority="4" operator="equal">
      <formula>1</formula>
    </cfRule>
  </conditionalFormatting>
  <conditionalFormatting sqref="D2:E101">
    <cfRule type="expression" dxfId="167" priority="3">
      <formula>$J2</formula>
    </cfRule>
  </conditionalFormatting>
  <conditionalFormatting sqref="F2:F101">
    <cfRule type="cellIs" dxfId="166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8EE7D0EC-D506-4153-B3FA-C94EF529F13D}"/>
    <hyperlink ref="C3" location="'受注'!A1" display="受注" xr:uid="{E99F9835-1321-4BB0-A992-6F070C5F29D2}"/>
    <hyperlink ref="C4" location="'受注明細'!A1" display="受注明細" xr:uid="{64B3B6FC-5963-4A65-91FF-A04B944C3919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P105"/>
  <sheetViews>
    <sheetView showGridLines="0" tabSelected="1" topLeftCell="C1" workbookViewId="0">
      <pane ySplit="5" topLeftCell="A49" activePane="bottomLeft" state="frozen"/>
      <selection pane="bottomLeft" activeCell="L53" sqref="L53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2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2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5"/>
      <c r="E2" s="89" t="s">
        <v>158</v>
      </c>
      <c r="F2" s="90" t="s">
        <v>159</v>
      </c>
      <c r="G2" s="40"/>
      <c r="AF2" s="7" t="s">
        <v>17</v>
      </c>
      <c r="AG2" s="7" t="b">
        <f ca="1">OR(ISERROR(TABLE_JP),ISERROR(TABLE_EN))</f>
        <v>1</v>
      </c>
    </row>
    <row r="3" spans="1:42">
      <c r="AE3" s="7" t="s">
        <v>8</v>
      </c>
      <c r="AF3" s="7" t="s">
        <v>25</v>
      </c>
      <c r="AG3" s="7" t="b">
        <f>AI6="N/A"</f>
        <v>1</v>
      </c>
      <c r="AI3" s="7" t="s">
        <v>180</v>
      </c>
    </row>
    <row r="4" spans="1:42" ht="20">
      <c r="A4" s="10" t="s">
        <v>45</v>
      </c>
      <c r="E4" s="63" t="s">
        <v>203</v>
      </c>
      <c r="K4" s="10" t="s">
        <v>46</v>
      </c>
      <c r="T4" s="69" t="s">
        <v>150</v>
      </c>
      <c r="AF4" s="7" t="s">
        <v>19</v>
      </c>
      <c r="AG4" s="7" t="b">
        <f ca="1">OR(T6:T105)</f>
        <v>0</v>
      </c>
      <c r="AI4" s="101" t="s">
        <v>186</v>
      </c>
      <c r="AJ4" s="101" t="s">
        <v>187</v>
      </c>
      <c r="AK4" s="101" t="s">
        <v>8</v>
      </c>
      <c r="AL4" s="101" t="s">
        <v>181</v>
      </c>
      <c r="AM4" s="101" t="s">
        <v>182</v>
      </c>
      <c r="AN4" s="101" t="s">
        <v>183</v>
      </c>
      <c r="AO4" s="101" t="s">
        <v>184</v>
      </c>
      <c r="AP4" s="101" t="s">
        <v>185</v>
      </c>
    </row>
    <row r="5" spans="1:42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I5" s="59">
        <f>COUNTA(AI6:AI105)</f>
        <v>1</v>
      </c>
      <c r="AJ5" s="70">
        <f>COUNTA(AJ6:AJ105)</f>
        <v>1</v>
      </c>
      <c r="AK5" s="100">
        <f>COUNTA(AK6:AK105)</f>
        <v>1</v>
      </c>
      <c r="AL5" s="87" cm="1">
        <f t="array" aca="1" ref="AL5" ca="1">IFERROR(INDIRECT($L$26&amp;"!R5C35",FALSE),1)</f>
        <v>1</v>
      </c>
      <c r="AM5" s="87" cm="1">
        <f t="array" aca="1" ref="AM5" ca="1">IFERROR(INDIRECT($L$31&amp;"!R5C35",FALSE),1)</f>
        <v>1</v>
      </c>
      <c r="AN5" s="87" cm="1">
        <f t="array" aca="1" ref="AN5" ca="1">IFERROR(INDIRECT($L$36&amp;"!R5C35",FALSE),1)</f>
        <v>1</v>
      </c>
      <c r="AO5" s="87" cm="1">
        <f t="array" aca="1" ref="AO5" ca="1">IFERROR(INDIRECT($L$41&amp;"!R5C35",FALSE),1)</f>
        <v>1</v>
      </c>
      <c r="AP5" s="87" cm="1">
        <f t="array" aca="1" ref="AP5" ca="1">IFERROR(INDIRECT($L$46&amp;"!R5C35",FALSE),1)</f>
        <v>1</v>
      </c>
    </row>
    <row r="6" spans="1:42" ht="15" customHeight="1">
      <c r="A6" s="47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50"/>
      <c r="F6" s="44"/>
      <c r="G6" s="37" t="str">
        <f ca="1">IFERROR(VLOOKUP(B6,項目!DATA_AREA,4,FALSE),"")</f>
        <v/>
      </c>
      <c r="H6" s="11" t="str">
        <f ca="1">IFERROR(VLOOKUP(B6,項目!DATA_AREA,5,FALSE),"")</f>
        <v/>
      </c>
      <c r="K6" s="53" t="s">
        <v>178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151</v>
      </c>
      <c r="AF6" s="7" t="s">
        <v>24</v>
      </c>
      <c r="AG6" s="7" t="b">
        <f ca="1">OR(V6:V105)</f>
        <v>0</v>
      </c>
      <c r="AI6" s="59" t="s">
        <v>33</v>
      </c>
      <c r="AJ6" s="70" t="s">
        <v>33</v>
      </c>
      <c r="AK6" s="100" t="s">
        <v>180</v>
      </c>
      <c r="AL6" s="87" t="str" cm="1">
        <f t="array" aca="1" ref="AL6" ca="1">IFERROR(OFFSET(INDIRECT($L$26&amp;"!R6C35",FALSE),,,AL5,),"N/A")</f>
        <v>N/A</v>
      </c>
      <c r="AM6" s="87" t="str" cm="1">
        <f t="array" aca="1" ref="AM6" ca="1">IFERROR(OFFSET(INDIRECT($L$31&amp;"!R6C35",FALSE),,,AM5,),"N/A")</f>
        <v>N/A</v>
      </c>
      <c r="AN6" s="87" t="str" cm="1">
        <f t="array" aca="1" ref="AN6" ca="1">IFERROR(OFFSET(INDIRECT($L$36&amp;"!R6C35",FALSE),,,AN5,),"N/A")</f>
        <v>N/A</v>
      </c>
      <c r="AO6" s="87" t="str" cm="1">
        <f t="array" aca="1" ref="AO6" ca="1">IFERROR(OFFSET(INDIRECT($L$41&amp;"!R6C35",FALSE),,,AO5,),"N/A")</f>
        <v>N/A</v>
      </c>
      <c r="AP6" s="87" t="str" cm="1">
        <f t="array" aca="1" ref="AP6" ca="1">IFERROR(OFFSET(INDIRECT($L$46&amp;"!R6C35",FALSE),,,AP5,),"N/A")</f>
        <v>N/A</v>
      </c>
    </row>
    <row r="7" spans="1:42">
      <c r="A7" s="48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51"/>
      <c r="F7" s="45"/>
      <c r="G7" s="38" t="str">
        <f ca="1">IFERROR(VLOOKUP(B7,項目!DATA_AREA,4,FALSE),"")</f>
        <v/>
      </c>
      <c r="H7" s="12" t="str">
        <f ca="1">IFERROR(VLOOKUP(B7,項目!DATA_AREA,5,FALSE),"")</f>
        <v/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1</v>
      </c>
      <c r="AI7" s="59"/>
      <c r="AJ7" s="70"/>
      <c r="AK7" s="100"/>
      <c r="AL7" s="87"/>
      <c r="AM7" s="87"/>
      <c r="AN7" s="87"/>
      <c r="AO7" s="87"/>
      <c r="AP7" s="87"/>
    </row>
    <row r="8" spans="1:42">
      <c r="A8" s="48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51"/>
      <c r="F8" s="45"/>
      <c r="G8" s="38" t="str">
        <f ca="1">IFERROR(VLOOKUP(B8,項目!DATA_AREA,4,FALSE),"")</f>
        <v/>
      </c>
      <c r="H8" s="12" t="str">
        <f ca="1">IFERROR(VLOOKUP(B8,項目!DATA_AREA,5,FALSE),"")</f>
        <v/>
      </c>
      <c r="K8" s="71" t="s">
        <v>14</v>
      </c>
      <c r="L8" s="72"/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/>
      <c r="AJ8" s="70"/>
      <c r="AK8" s="100"/>
      <c r="AL8" s="87"/>
      <c r="AM8" s="87"/>
      <c r="AN8" s="87"/>
      <c r="AO8" s="87"/>
      <c r="AP8" s="87"/>
    </row>
    <row r="9" spans="1:42">
      <c r="A9" s="48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51"/>
      <c r="F9" s="45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/>
      <c r="AJ9" s="70"/>
      <c r="AK9" s="100"/>
      <c r="AL9" s="87"/>
      <c r="AM9" s="87"/>
      <c r="AN9" s="87"/>
      <c r="AO9" s="87"/>
      <c r="AP9" s="87"/>
    </row>
    <row r="10" spans="1:42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49</v>
      </c>
      <c r="AF10" s="7" t="s">
        <v>154</v>
      </c>
      <c r="AG10" s="7" t="b">
        <f ca="1">OR($Y$13:$AC$22)</f>
        <v>0</v>
      </c>
      <c r="AI10" s="59"/>
      <c r="AJ10" s="70"/>
      <c r="AK10" s="100"/>
      <c r="AL10" s="87"/>
      <c r="AM10" s="87"/>
      <c r="AN10" s="87"/>
      <c r="AO10" s="87"/>
      <c r="AP10" s="87"/>
    </row>
    <row r="11" spans="1:42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63" t="s">
        <v>50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153</v>
      </c>
      <c r="AG11" s="7" t="b">
        <f>OR($AD$13:$AD$22)</f>
        <v>0</v>
      </c>
      <c r="AI11" s="59"/>
      <c r="AJ11" s="70"/>
      <c r="AK11" s="100"/>
      <c r="AL11" s="87"/>
      <c r="AM11" s="87"/>
      <c r="AN11" s="87"/>
      <c r="AO11" s="87"/>
      <c r="AP11" s="87"/>
    </row>
    <row r="12" spans="1:42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I12" s="59"/>
      <c r="AJ12" s="70"/>
      <c r="AK12" s="100"/>
      <c r="AL12" s="87"/>
      <c r="AM12" s="87"/>
      <c r="AN12" s="87"/>
      <c r="AO12" s="87"/>
      <c r="AP12" s="87"/>
    </row>
    <row r="13" spans="1:42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155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I13" s="59"/>
      <c r="AJ13" s="70"/>
      <c r="AK13" s="100"/>
      <c r="AL13" s="87"/>
      <c r="AM13" s="87"/>
      <c r="AN13" s="87"/>
      <c r="AO13" s="87"/>
      <c r="AP13" s="87"/>
    </row>
    <row r="14" spans="1:42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9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156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F14" s="7" t="s">
        <v>195</v>
      </c>
      <c r="AG14" s="7" t="b">
        <f>OR($AD$26,$AD$31,$AD$36,$AD$41,$AD$46)</f>
        <v>0</v>
      </c>
      <c r="AI14" s="59"/>
      <c r="AJ14" s="70"/>
      <c r="AK14" s="100"/>
      <c r="AL14" s="87"/>
      <c r="AM14" s="87"/>
      <c r="AN14" s="87"/>
      <c r="AO14" s="87"/>
      <c r="AP14" s="87"/>
    </row>
    <row r="15" spans="1:42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9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F15" s="7" t="s">
        <v>153</v>
      </c>
      <c r="AG15" s="7" t="b">
        <f>OR($AD$27,$AD$32,$AD$37,$AD$42,$AD$47)</f>
        <v>0</v>
      </c>
      <c r="AI15" s="59"/>
      <c r="AJ15" s="70"/>
      <c r="AK15" s="100"/>
      <c r="AL15" s="87"/>
      <c r="AM15" s="87"/>
      <c r="AN15" s="87"/>
      <c r="AO15" s="87"/>
      <c r="AP15" s="87"/>
    </row>
    <row r="16" spans="1:42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9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E16" s="7" t="s">
        <v>13</v>
      </c>
      <c r="AF16" s="7" t="s">
        <v>154</v>
      </c>
      <c r="AG16" s="7" t="b">
        <f ca="1">OR($Y$55:$AC$64)</f>
        <v>0</v>
      </c>
      <c r="AI16" s="59"/>
      <c r="AJ16" s="70"/>
      <c r="AK16" s="100"/>
      <c r="AL16" s="87"/>
      <c r="AM16" s="87"/>
      <c r="AN16" s="87"/>
      <c r="AO16" s="87"/>
      <c r="AP16" s="87"/>
    </row>
    <row r="17" spans="1:42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9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F17" s="7" t="s">
        <v>153</v>
      </c>
      <c r="AG17" s="7" t="b">
        <f>OR($AD$55:$AD$64)</f>
        <v>0</v>
      </c>
      <c r="AI17" s="59"/>
      <c r="AJ17" s="70"/>
      <c r="AK17" s="100"/>
      <c r="AL17" s="87"/>
      <c r="AM17" s="87"/>
      <c r="AN17" s="87"/>
      <c r="AO17" s="87"/>
      <c r="AP17" s="87"/>
    </row>
    <row r="18" spans="1:42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9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I18" s="59"/>
      <c r="AJ18" s="70"/>
      <c r="AK18" s="100"/>
      <c r="AL18" s="87"/>
      <c r="AM18" s="87"/>
      <c r="AN18" s="87"/>
      <c r="AO18" s="87"/>
      <c r="AP18" s="87"/>
    </row>
    <row r="19" spans="1:42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9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70"/>
      <c r="AK19" s="100"/>
      <c r="AL19" s="87"/>
      <c r="AM19" s="87"/>
      <c r="AN19" s="87"/>
      <c r="AO19" s="87"/>
      <c r="AP19" s="87"/>
    </row>
    <row r="20" spans="1:42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9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70"/>
      <c r="AK20" s="100"/>
      <c r="AL20" s="87"/>
      <c r="AM20" s="87"/>
      <c r="AN20" s="87"/>
      <c r="AO20" s="87"/>
      <c r="AP20" s="87"/>
    </row>
    <row r="21" spans="1:42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9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70"/>
      <c r="AK21" s="100"/>
      <c r="AL21" s="87"/>
      <c r="AM21" s="87"/>
      <c r="AN21" s="87"/>
      <c r="AO21" s="87"/>
      <c r="AP21" s="87"/>
    </row>
    <row r="22" spans="1:42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9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70"/>
      <c r="AK22" s="100"/>
      <c r="AL22" s="87"/>
      <c r="AM22" s="87"/>
      <c r="AN22" s="87"/>
      <c r="AO22" s="87"/>
      <c r="AP22" s="87"/>
    </row>
    <row r="23" spans="1:42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  <c r="AK23" s="100"/>
      <c r="AL23" s="87"/>
      <c r="AM23" s="87"/>
      <c r="AN23" s="87"/>
      <c r="AO23" s="87"/>
      <c r="AP23" s="87"/>
    </row>
    <row r="24" spans="1:42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X24" s="69" t="s">
        <v>192</v>
      </c>
      <c r="AI24" s="59"/>
      <c r="AJ24" s="70"/>
      <c r="AK24" s="100"/>
      <c r="AL24" s="87"/>
      <c r="AM24" s="87"/>
      <c r="AN24" s="87"/>
      <c r="AO24" s="87"/>
      <c r="AP24" s="87"/>
    </row>
    <row r="25" spans="1:42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X25" s="7" t="s">
        <v>193</v>
      </c>
      <c r="AD25" s="7" t="s">
        <v>195</v>
      </c>
      <c r="AI25" s="59"/>
      <c r="AJ25" s="70"/>
      <c r="AK25" s="100"/>
      <c r="AL25" s="87"/>
      <c r="AM25" s="87"/>
      <c r="AN25" s="87"/>
      <c r="AO25" s="87"/>
      <c r="AP25" s="87"/>
    </row>
    <row r="26" spans="1:42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8" t="s">
        <v>197</v>
      </c>
      <c r="L26" s="105"/>
      <c r="M26" s="109" t="s">
        <v>198</v>
      </c>
      <c r="N26" s="98"/>
      <c r="O26" s="109" t="s">
        <v>199</v>
      </c>
      <c r="P26" s="98"/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9"/>
      <c r="AJ26" s="70"/>
      <c r="AK26" s="100"/>
      <c r="AL26" s="87"/>
      <c r="AM26" s="87"/>
      <c r="AN26" s="87"/>
      <c r="AO26" s="87"/>
      <c r="AP26" s="87"/>
    </row>
    <row r="27" spans="1:42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104">
        <v>1</v>
      </c>
      <c r="L27" s="103">
        <v>1</v>
      </c>
      <c r="M27" s="57">
        <v>2</v>
      </c>
      <c r="N27" s="57">
        <v>3</v>
      </c>
      <c r="O27" s="57">
        <v>4</v>
      </c>
      <c r="P27" s="58">
        <v>5</v>
      </c>
      <c r="R27" s="87" t="str">
        <f>_xlfn.CONCAT(L28:P28)</f>
        <v/>
      </c>
      <c r="S27" s="70" t="str">
        <f>_xlfn.CONCAT(L26,R27)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9"/>
      <c r="AJ27" s="70"/>
      <c r="AK27" s="100"/>
      <c r="AL27" s="87"/>
      <c r="AM27" s="87"/>
      <c r="AN27" s="87"/>
      <c r="AO27" s="87"/>
      <c r="AP27" s="87"/>
    </row>
    <row r="28" spans="1:42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6" t="s">
        <v>200</v>
      </c>
      <c r="L28" s="96"/>
      <c r="M28" s="77"/>
      <c r="N28" s="77"/>
      <c r="O28" s="77"/>
      <c r="P28" s="78"/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I28" s="59"/>
      <c r="AJ28" s="70"/>
      <c r="AK28" s="100"/>
      <c r="AL28" s="87"/>
      <c r="AM28" s="87"/>
      <c r="AN28" s="87"/>
      <c r="AO28" s="87"/>
      <c r="AP28" s="87"/>
    </row>
    <row r="29" spans="1:42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7" t="s">
        <v>201</v>
      </c>
      <c r="L29" s="97"/>
      <c r="M29" s="85"/>
      <c r="N29" s="85"/>
      <c r="O29" s="85"/>
      <c r="P29" s="86"/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Y29" s="87" t="str">
        <f ca="1">IFERROR(VLOOKUP(L28,項目!DATA_AREA,8,FALSE),"N/A")</f>
        <v>N/A</v>
      </c>
      <c r="Z29" s="87" t="str">
        <f ca="1">IFERROR(VLOOKUP(M28,項目!DATA_AREA,8,FALSE),"N/A")</f>
        <v>N/A</v>
      </c>
      <c r="AA29" s="87" t="str">
        <f ca="1">IFERROR(VLOOKUP(N28,項目!DATA_AREA,8,FALSE),"N/A")</f>
        <v>N/A</v>
      </c>
      <c r="AB29" s="87" t="str">
        <f ca="1">IFERROR(VLOOKUP(O28,項目!DATA_AREA,8,FALSE),"N/A")</f>
        <v>N/A</v>
      </c>
      <c r="AC29" s="87" t="str">
        <f ca="1">IFERROR(VLOOKUP(P28,項目!DATA_AREA,8,FALSE),"N/A")</f>
        <v>N/A</v>
      </c>
      <c r="AI29" s="59"/>
      <c r="AJ29" s="70"/>
      <c r="AK29" s="100"/>
      <c r="AL29" s="87"/>
      <c r="AM29" s="87"/>
      <c r="AN29" s="87"/>
      <c r="AO29" s="87"/>
      <c r="AP29" s="87"/>
    </row>
    <row r="30" spans="1:42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Y30" s="87" t="str">
        <f ca="1">IFERROR(VLOOKUP(L29,項目!DATA_AREA,8,FALSE),"N/A")</f>
        <v>N/A</v>
      </c>
      <c r="Z30" s="87" t="str">
        <f ca="1">IFERROR(VLOOKUP(M29,項目!DATA_AREA,8,FALSE),"N/A")</f>
        <v>N/A</v>
      </c>
      <c r="AA30" s="87" t="str">
        <f ca="1">IFERROR(VLOOKUP(N29,項目!DATA_AREA,8,FALSE),"N/A")</f>
        <v>N/A</v>
      </c>
      <c r="AB30" s="87" t="str">
        <f ca="1">IFERROR(VLOOKUP(O29,項目!DATA_AREA,8,FALSE),"N/A")</f>
        <v>N/A</v>
      </c>
      <c r="AC30" s="87" t="str">
        <f ca="1">IFERROR(VLOOKUP(P29,項目!DATA_AREA,8,FALSE),"N/A")</f>
        <v>N/A</v>
      </c>
      <c r="AI30" s="59"/>
      <c r="AJ30" s="70"/>
      <c r="AK30" s="100"/>
      <c r="AL30" s="87"/>
      <c r="AM30" s="87"/>
      <c r="AN30" s="87"/>
      <c r="AO30" s="87"/>
      <c r="AP30" s="87"/>
    </row>
    <row r="31" spans="1:42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8" t="s">
        <v>197</v>
      </c>
      <c r="L31" s="105"/>
      <c r="M31" s="109" t="s">
        <v>198</v>
      </c>
      <c r="N31" s="98"/>
      <c r="O31" s="109" t="s">
        <v>199</v>
      </c>
      <c r="P31" s="98"/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9"/>
      <c r="AJ31" s="70"/>
      <c r="AK31" s="100"/>
      <c r="AL31" s="87"/>
      <c r="AM31" s="87"/>
      <c r="AN31" s="87"/>
      <c r="AO31" s="87"/>
      <c r="AP31" s="87"/>
    </row>
    <row r="32" spans="1:42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104">
        <v>2</v>
      </c>
      <c r="L32" s="103">
        <v>1</v>
      </c>
      <c r="M32" s="57">
        <v>2</v>
      </c>
      <c r="N32" s="57">
        <v>3</v>
      </c>
      <c r="O32" s="57">
        <v>4</v>
      </c>
      <c r="P32" s="58">
        <v>5</v>
      </c>
      <c r="R32" s="87" t="str">
        <f>_xlfn.CONCAT(L33:P33)</f>
        <v/>
      </c>
      <c r="S32" s="70" t="str">
        <f>_xlfn.CONCAT(L31,R32)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9"/>
      <c r="AJ32" s="70"/>
      <c r="AK32" s="100"/>
      <c r="AL32" s="87"/>
      <c r="AM32" s="87"/>
      <c r="AN32" s="87"/>
      <c r="AO32" s="87"/>
      <c r="AP32" s="87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6" t="s">
        <v>200</v>
      </c>
      <c r="L33" s="96"/>
      <c r="M33" s="77"/>
      <c r="N33" s="77"/>
      <c r="O33" s="77"/>
      <c r="P33" s="78"/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I33" s="59"/>
      <c r="AJ33" s="70"/>
      <c r="AK33" s="100"/>
      <c r="AL33" s="87"/>
      <c r="AM33" s="87"/>
      <c r="AN33" s="87"/>
      <c r="AO33" s="87"/>
      <c r="AP33" s="87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7" t="s">
        <v>201</v>
      </c>
      <c r="L34" s="97"/>
      <c r="M34" s="85"/>
      <c r="N34" s="85"/>
      <c r="O34" s="85"/>
      <c r="P34" s="86"/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Y34" s="87" t="str">
        <f ca="1">IFERROR(VLOOKUP(L33,項目!DATA_AREA,8,FALSE),"N/A")</f>
        <v>N/A</v>
      </c>
      <c r="Z34" s="87" t="str">
        <f ca="1">IFERROR(VLOOKUP(M33,項目!DATA_AREA,8,FALSE),"N/A")</f>
        <v>N/A</v>
      </c>
      <c r="AA34" s="87" t="str">
        <f ca="1">IFERROR(VLOOKUP(N33,項目!DATA_AREA,8,FALSE),"N/A")</f>
        <v>N/A</v>
      </c>
      <c r="AB34" s="87" t="str">
        <f ca="1">IFERROR(VLOOKUP(O33,項目!DATA_AREA,8,FALSE),"N/A")</f>
        <v>N/A</v>
      </c>
      <c r="AC34" s="87" t="str">
        <f ca="1">IFERROR(VLOOKUP(P33,項目!DATA_AREA,8,FALSE),"N/A")</f>
        <v>N/A</v>
      </c>
      <c r="AI34" s="59"/>
      <c r="AJ34" s="70"/>
      <c r="AK34" s="100"/>
      <c r="AL34" s="87"/>
      <c r="AM34" s="87"/>
      <c r="AN34" s="87"/>
      <c r="AO34" s="87"/>
      <c r="AP34" s="87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Y35" s="87" t="str">
        <f ca="1">IFERROR(VLOOKUP(L34,項目!DATA_AREA,8,FALSE),"N/A")</f>
        <v>N/A</v>
      </c>
      <c r="Z35" s="87" t="str">
        <f ca="1">IFERROR(VLOOKUP(M34,項目!DATA_AREA,8,FALSE),"N/A")</f>
        <v>N/A</v>
      </c>
      <c r="AA35" s="87" t="str">
        <f ca="1">IFERROR(VLOOKUP(N34,項目!DATA_AREA,8,FALSE),"N/A")</f>
        <v>N/A</v>
      </c>
      <c r="AB35" s="87" t="str">
        <f ca="1">IFERROR(VLOOKUP(O34,項目!DATA_AREA,8,FALSE),"N/A")</f>
        <v>N/A</v>
      </c>
      <c r="AC35" s="87" t="str">
        <f ca="1">IFERROR(VLOOKUP(P34,項目!DATA_AREA,8,FALSE),"N/A")</f>
        <v>N/A</v>
      </c>
      <c r="AI35" s="59"/>
      <c r="AJ35" s="70"/>
      <c r="AK35" s="100"/>
      <c r="AL35" s="87"/>
      <c r="AM35" s="87"/>
      <c r="AN35" s="87"/>
      <c r="AO35" s="87"/>
      <c r="AP35" s="87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8" t="s">
        <v>197</v>
      </c>
      <c r="L36" s="105"/>
      <c r="M36" s="109" t="s">
        <v>198</v>
      </c>
      <c r="N36" s="98"/>
      <c r="O36" s="109" t="s">
        <v>199</v>
      </c>
      <c r="P36" s="98"/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9"/>
      <c r="AJ36" s="70"/>
      <c r="AK36" s="100"/>
      <c r="AL36" s="87"/>
      <c r="AM36" s="87"/>
      <c r="AN36" s="87"/>
      <c r="AO36" s="87"/>
      <c r="AP36" s="87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104">
        <v>3</v>
      </c>
      <c r="L37" s="103">
        <v>1</v>
      </c>
      <c r="M37" s="57">
        <v>2</v>
      </c>
      <c r="N37" s="57">
        <v>3</v>
      </c>
      <c r="O37" s="57">
        <v>4</v>
      </c>
      <c r="P37" s="58">
        <v>5</v>
      </c>
      <c r="R37" s="87" t="str">
        <f>_xlfn.CONCAT(L38:P38)</f>
        <v/>
      </c>
      <c r="S37" s="70" t="str">
        <f>_xlfn.CONCAT(L36,R37)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9"/>
      <c r="AJ37" s="70"/>
      <c r="AK37" s="100"/>
      <c r="AL37" s="87"/>
      <c r="AM37" s="87"/>
      <c r="AN37" s="87"/>
      <c r="AO37" s="87"/>
      <c r="AP37" s="87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6" t="s">
        <v>200</v>
      </c>
      <c r="L38" s="96"/>
      <c r="M38" s="77"/>
      <c r="N38" s="77"/>
      <c r="O38" s="77"/>
      <c r="P38" s="78"/>
      <c r="T38" s="19" t="b">
        <f t="shared" ref="T38:T69" ca="1" si="11">AND(B38&lt;&gt;"",ISNA(MATCH(B38,項目リスト,0)))</f>
        <v>0</v>
      </c>
      <c r="U38" s="19" t="b">
        <f t="shared" ref="U38:U69" si="12">COUNTIF(FIELD_NAME,B38)&gt;1</f>
        <v>0</v>
      </c>
      <c r="V38" s="19" t="b">
        <f t="shared" ca="1" si="3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I38" s="59"/>
      <c r="AJ38" s="70"/>
      <c r="AK38" s="100"/>
      <c r="AL38" s="87"/>
      <c r="AM38" s="87"/>
      <c r="AN38" s="87"/>
      <c r="AO38" s="87"/>
      <c r="AP38" s="87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7" t="s">
        <v>201</v>
      </c>
      <c r="L39" s="97"/>
      <c r="M39" s="85"/>
      <c r="N39" s="85"/>
      <c r="O39" s="85"/>
      <c r="P39" s="86"/>
      <c r="T39" s="19" t="b">
        <f t="shared" ca="1" si="11"/>
        <v>0</v>
      </c>
      <c r="U39" s="19" t="b">
        <f t="shared" si="12"/>
        <v>0</v>
      </c>
      <c r="V39" s="19" t="b">
        <f t="shared" ca="1" si="3"/>
        <v>0</v>
      </c>
      <c r="Y39" s="87" t="str">
        <f ca="1">IFERROR(VLOOKUP(L38,項目!DATA_AREA,8,FALSE),"N/A")</f>
        <v>N/A</v>
      </c>
      <c r="Z39" s="87" t="str">
        <f ca="1">IFERROR(VLOOKUP(M38,項目!DATA_AREA,8,FALSE),"N/A")</f>
        <v>N/A</v>
      </c>
      <c r="AA39" s="87" t="str">
        <f ca="1">IFERROR(VLOOKUP(N38,項目!DATA_AREA,8,FALSE),"N/A")</f>
        <v>N/A</v>
      </c>
      <c r="AB39" s="87" t="str">
        <f ca="1">IFERROR(VLOOKUP(O38,項目!DATA_AREA,8,FALSE),"N/A")</f>
        <v>N/A</v>
      </c>
      <c r="AC39" s="87" t="str">
        <f ca="1">IFERROR(VLOOKUP(P38,項目!DATA_AREA,8,FALSE),"N/A")</f>
        <v>N/A</v>
      </c>
      <c r="AI39" s="59"/>
      <c r="AJ39" s="70"/>
      <c r="AK39" s="100"/>
      <c r="AL39" s="87"/>
      <c r="AM39" s="87"/>
      <c r="AN39" s="87"/>
      <c r="AO39" s="87"/>
      <c r="AP39" s="87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11"/>
        <v>0</v>
      </c>
      <c r="U40" s="19" t="b">
        <f t="shared" si="12"/>
        <v>0</v>
      </c>
      <c r="V40" s="19" t="b">
        <f t="shared" ca="1" si="3"/>
        <v>0</v>
      </c>
      <c r="Y40" s="87" t="str">
        <f ca="1">IFERROR(VLOOKUP(L39,項目!DATA_AREA,8,FALSE),"N/A")</f>
        <v>N/A</v>
      </c>
      <c r="Z40" s="87" t="str">
        <f ca="1">IFERROR(VLOOKUP(M39,項目!DATA_AREA,8,FALSE),"N/A")</f>
        <v>N/A</v>
      </c>
      <c r="AA40" s="87" t="str">
        <f ca="1">IFERROR(VLOOKUP(N39,項目!DATA_AREA,8,FALSE),"N/A")</f>
        <v>N/A</v>
      </c>
      <c r="AB40" s="87" t="str">
        <f ca="1">IFERROR(VLOOKUP(O39,項目!DATA_AREA,8,FALSE),"N/A")</f>
        <v>N/A</v>
      </c>
      <c r="AC40" s="87" t="str">
        <f ca="1">IFERROR(VLOOKUP(P39,項目!DATA_AREA,8,FALSE),"N/A")</f>
        <v>N/A</v>
      </c>
      <c r="AI40" s="59"/>
      <c r="AJ40" s="70"/>
      <c r="AK40" s="100"/>
      <c r="AL40" s="87"/>
      <c r="AM40" s="87"/>
      <c r="AN40" s="87"/>
      <c r="AO40" s="87"/>
      <c r="AP40" s="87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8" t="s">
        <v>197</v>
      </c>
      <c r="L41" s="105"/>
      <c r="M41" s="109" t="s">
        <v>198</v>
      </c>
      <c r="N41" s="98"/>
      <c r="O41" s="109" t="s">
        <v>199</v>
      </c>
      <c r="P41" s="98"/>
      <c r="T41" s="19" t="b">
        <f t="shared" ca="1" si="11"/>
        <v>0</v>
      </c>
      <c r="U41" s="19" t="b">
        <f t="shared" si="12"/>
        <v>0</v>
      </c>
      <c r="V41" s="19" t="b">
        <f t="shared" ca="1" si="3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9"/>
      <c r="AJ41" s="70"/>
      <c r="AK41" s="100"/>
      <c r="AL41" s="87"/>
      <c r="AM41" s="87"/>
      <c r="AN41" s="87"/>
      <c r="AO41" s="87"/>
      <c r="AP41" s="87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104">
        <v>4</v>
      </c>
      <c r="L42" s="103">
        <v>1</v>
      </c>
      <c r="M42" s="57">
        <v>2</v>
      </c>
      <c r="N42" s="57">
        <v>3</v>
      </c>
      <c r="O42" s="57">
        <v>4</v>
      </c>
      <c r="P42" s="58">
        <v>5</v>
      </c>
      <c r="R42" s="87" t="str">
        <f>_xlfn.CONCAT(L43:P43)</f>
        <v/>
      </c>
      <c r="S42" s="70" t="str">
        <f>_xlfn.CONCAT(L41,R42)</f>
        <v/>
      </c>
      <c r="T42" s="19" t="b">
        <f t="shared" ca="1" si="11"/>
        <v>0</v>
      </c>
      <c r="U42" s="19" t="b">
        <f t="shared" si="12"/>
        <v>0</v>
      </c>
      <c r="V42" s="19" t="b">
        <f t="shared" ca="1" si="3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9"/>
      <c r="AJ42" s="70"/>
      <c r="AK42" s="100"/>
      <c r="AL42" s="87"/>
      <c r="AM42" s="87"/>
      <c r="AN42" s="87"/>
      <c r="AO42" s="87"/>
      <c r="AP42" s="87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6" t="s">
        <v>200</v>
      </c>
      <c r="L43" s="96"/>
      <c r="M43" s="77"/>
      <c r="N43" s="77"/>
      <c r="O43" s="77"/>
      <c r="P43" s="78"/>
      <c r="T43" s="19" t="b">
        <f t="shared" ca="1" si="11"/>
        <v>0</v>
      </c>
      <c r="U43" s="19" t="b">
        <f t="shared" si="12"/>
        <v>0</v>
      </c>
      <c r="V43" s="19" t="b">
        <f t="shared" ca="1" si="3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I43" s="59"/>
      <c r="AJ43" s="70"/>
      <c r="AK43" s="100"/>
      <c r="AL43" s="87"/>
      <c r="AM43" s="87"/>
      <c r="AN43" s="87"/>
      <c r="AO43" s="87"/>
      <c r="AP43" s="87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7" t="s">
        <v>201</v>
      </c>
      <c r="L44" s="97"/>
      <c r="M44" s="85"/>
      <c r="N44" s="85"/>
      <c r="O44" s="85"/>
      <c r="P44" s="86"/>
      <c r="T44" s="19" t="b">
        <f t="shared" ca="1" si="11"/>
        <v>0</v>
      </c>
      <c r="U44" s="19" t="b">
        <f t="shared" si="12"/>
        <v>0</v>
      </c>
      <c r="V44" s="19" t="b">
        <f t="shared" ca="1" si="3"/>
        <v>0</v>
      </c>
      <c r="Y44" s="87" t="str">
        <f ca="1">IFERROR(VLOOKUP(L43,項目!DATA_AREA,8,FALSE),"N/A")</f>
        <v>N/A</v>
      </c>
      <c r="Z44" s="87" t="str">
        <f ca="1">IFERROR(VLOOKUP(M43,項目!DATA_AREA,8,FALSE),"N/A")</f>
        <v>N/A</v>
      </c>
      <c r="AA44" s="87" t="str">
        <f ca="1">IFERROR(VLOOKUP(N43,項目!DATA_AREA,8,FALSE),"N/A")</f>
        <v>N/A</v>
      </c>
      <c r="AB44" s="87" t="str">
        <f ca="1">IFERROR(VLOOKUP(O43,項目!DATA_AREA,8,FALSE),"N/A")</f>
        <v>N/A</v>
      </c>
      <c r="AC44" s="87" t="str">
        <f ca="1">IFERROR(VLOOKUP(P43,項目!DATA_AREA,8,FALSE),"N/A")</f>
        <v>N/A</v>
      </c>
      <c r="AI44" s="59"/>
      <c r="AJ44" s="70"/>
      <c r="AK44" s="100"/>
      <c r="AL44" s="87"/>
      <c r="AM44" s="87"/>
      <c r="AN44" s="87"/>
      <c r="AO44" s="87"/>
      <c r="AP44" s="87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11"/>
        <v>0</v>
      </c>
      <c r="U45" s="19" t="b">
        <f t="shared" si="12"/>
        <v>0</v>
      </c>
      <c r="V45" s="19" t="b">
        <f t="shared" ca="1" si="3"/>
        <v>0</v>
      </c>
      <c r="Y45" s="87" t="str">
        <f ca="1">IFERROR(VLOOKUP(L44,項目!DATA_AREA,8,FALSE),"N/A")</f>
        <v>N/A</v>
      </c>
      <c r="Z45" s="87" t="str">
        <f ca="1">IFERROR(VLOOKUP(M44,項目!DATA_AREA,8,FALSE),"N/A")</f>
        <v>N/A</v>
      </c>
      <c r="AA45" s="87" t="str">
        <f ca="1">IFERROR(VLOOKUP(N44,項目!DATA_AREA,8,FALSE),"N/A")</f>
        <v>N/A</v>
      </c>
      <c r="AB45" s="87" t="str">
        <f ca="1">IFERROR(VLOOKUP(O44,項目!DATA_AREA,8,FALSE),"N/A")</f>
        <v>N/A</v>
      </c>
      <c r="AC45" s="87" t="str">
        <f ca="1">IFERROR(VLOOKUP(P44,項目!DATA_AREA,8,FALSE),"N/A")</f>
        <v>N/A</v>
      </c>
      <c r="AI45" s="59"/>
      <c r="AJ45" s="70"/>
      <c r="AK45" s="100"/>
      <c r="AL45" s="87"/>
      <c r="AM45" s="87"/>
      <c r="AN45" s="87"/>
      <c r="AO45" s="87"/>
      <c r="AP45" s="87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8" t="s">
        <v>197</v>
      </c>
      <c r="L46" s="105"/>
      <c r="M46" s="109" t="s">
        <v>198</v>
      </c>
      <c r="N46" s="98"/>
      <c r="O46" s="109" t="s">
        <v>199</v>
      </c>
      <c r="P46" s="98"/>
      <c r="T46" s="19" t="b">
        <f t="shared" ca="1" si="11"/>
        <v>0</v>
      </c>
      <c r="U46" s="19" t="b">
        <f t="shared" si="12"/>
        <v>0</v>
      </c>
      <c r="V46" s="19" t="b">
        <f t="shared" ca="1" si="3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9"/>
      <c r="AJ46" s="70"/>
      <c r="AK46" s="100"/>
      <c r="AL46" s="87"/>
      <c r="AM46" s="87"/>
      <c r="AN46" s="87"/>
      <c r="AO46" s="87"/>
      <c r="AP46" s="87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104">
        <v>5</v>
      </c>
      <c r="L47" s="103">
        <v>1</v>
      </c>
      <c r="M47" s="57">
        <v>2</v>
      </c>
      <c r="N47" s="57">
        <v>3</v>
      </c>
      <c r="O47" s="57">
        <v>4</v>
      </c>
      <c r="P47" s="58">
        <v>5</v>
      </c>
      <c r="R47" s="87" t="str">
        <f>_xlfn.CONCAT(L48:P48)</f>
        <v/>
      </c>
      <c r="S47" s="70" t="str">
        <f>_xlfn.CONCAT(L46,R47)</f>
        <v/>
      </c>
      <c r="T47" s="19" t="b">
        <f t="shared" ca="1" si="11"/>
        <v>0</v>
      </c>
      <c r="U47" s="19" t="b">
        <f t="shared" si="12"/>
        <v>0</v>
      </c>
      <c r="V47" s="19" t="b">
        <f t="shared" ca="1" si="3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9"/>
      <c r="AJ47" s="70"/>
      <c r="AK47" s="100"/>
      <c r="AL47" s="87"/>
      <c r="AM47" s="87"/>
      <c r="AN47" s="87"/>
      <c r="AO47" s="87"/>
      <c r="AP47" s="87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6" t="s">
        <v>200</v>
      </c>
      <c r="L48" s="96"/>
      <c r="M48" s="77"/>
      <c r="N48" s="77"/>
      <c r="O48" s="77"/>
      <c r="P48" s="78"/>
      <c r="T48" s="19" t="b">
        <f t="shared" ca="1" si="11"/>
        <v>0</v>
      </c>
      <c r="U48" s="19" t="b">
        <f t="shared" si="12"/>
        <v>0</v>
      </c>
      <c r="V48" s="19" t="b">
        <f t="shared" ca="1" si="3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I48" s="59"/>
      <c r="AJ48" s="70"/>
      <c r="AK48" s="100"/>
      <c r="AL48" s="87"/>
      <c r="AM48" s="87"/>
      <c r="AN48" s="87"/>
      <c r="AO48" s="87"/>
      <c r="AP48" s="87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7" t="s">
        <v>201</v>
      </c>
      <c r="L49" s="97"/>
      <c r="M49" s="85"/>
      <c r="N49" s="85"/>
      <c r="O49" s="85"/>
      <c r="P49" s="86"/>
      <c r="T49" s="19" t="b">
        <f t="shared" ca="1" si="11"/>
        <v>0</v>
      </c>
      <c r="U49" s="19" t="b">
        <f t="shared" si="12"/>
        <v>0</v>
      </c>
      <c r="V49" s="19" t="b">
        <f t="shared" ca="1" si="3"/>
        <v>0</v>
      </c>
      <c r="Y49" s="87" t="str">
        <f ca="1">IFERROR(VLOOKUP(L48,項目!DATA_AREA,8,FALSE),"N/A")</f>
        <v>N/A</v>
      </c>
      <c r="Z49" s="87" t="str">
        <f ca="1">IFERROR(VLOOKUP(M48,項目!DATA_AREA,8,FALSE),"N/A")</f>
        <v>N/A</v>
      </c>
      <c r="AA49" s="87" t="str">
        <f ca="1">IFERROR(VLOOKUP(N48,項目!DATA_AREA,8,FALSE),"N/A")</f>
        <v>N/A</v>
      </c>
      <c r="AB49" s="87" t="str">
        <f ca="1">IFERROR(VLOOKUP(O48,項目!DATA_AREA,8,FALSE),"N/A")</f>
        <v>N/A</v>
      </c>
      <c r="AC49" s="87" t="str">
        <f ca="1">IFERROR(VLOOKUP(P48,項目!DATA_AREA,8,FALSE),"N/A")</f>
        <v>N/A</v>
      </c>
      <c r="AI49" s="59"/>
      <c r="AJ49" s="70"/>
      <c r="AK49" s="100"/>
      <c r="AL49" s="87"/>
      <c r="AM49" s="87"/>
      <c r="AN49" s="87"/>
      <c r="AO49" s="87"/>
      <c r="AP49" s="87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11"/>
        <v>0</v>
      </c>
      <c r="U50" s="19" t="b">
        <f t="shared" si="12"/>
        <v>0</v>
      </c>
      <c r="V50" s="19" t="b">
        <f t="shared" ca="1" si="3"/>
        <v>0</v>
      </c>
      <c r="Y50" s="87" t="str">
        <f ca="1">IFERROR(VLOOKUP(L49,項目!DATA_AREA,8,FALSE),"N/A")</f>
        <v>N/A</v>
      </c>
      <c r="Z50" s="87" t="str">
        <f ca="1">IFERROR(VLOOKUP(M49,項目!DATA_AREA,8,FALSE),"N/A")</f>
        <v>N/A</v>
      </c>
      <c r="AA50" s="87" t="str">
        <f ca="1">IFERROR(VLOOKUP(N49,項目!DATA_AREA,8,FALSE),"N/A")</f>
        <v>N/A</v>
      </c>
      <c r="AB50" s="87" t="str">
        <f ca="1">IFERROR(VLOOKUP(O49,項目!DATA_AREA,8,FALSE),"N/A")</f>
        <v>N/A</v>
      </c>
      <c r="AC50" s="87" t="str">
        <f ca="1">IFERROR(VLOOKUP(P49,項目!DATA_AREA,8,FALSE),"N/A")</f>
        <v>N/A</v>
      </c>
      <c r="AI50" s="59"/>
      <c r="AJ50" s="70"/>
      <c r="AK50" s="100"/>
      <c r="AL50" s="87"/>
      <c r="AM50" s="87"/>
      <c r="AN50" s="87"/>
      <c r="AO50" s="87"/>
      <c r="AP50" s="87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9"/>
      <c r="L51" s="99"/>
      <c r="M51" s="99"/>
      <c r="N51" s="99"/>
      <c r="O51" s="99"/>
      <c r="P51" s="99"/>
      <c r="T51" s="19" t="b">
        <f t="shared" ca="1" si="11"/>
        <v>0</v>
      </c>
      <c r="U51" s="19" t="b">
        <f t="shared" si="12"/>
        <v>0</v>
      </c>
      <c r="V51" s="19" t="b">
        <f t="shared" ca="1" si="3"/>
        <v>0</v>
      </c>
      <c r="AI51" s="59"/>
      <c r="AJ51" s="70"/>
      <c r="AK51" s="100"/>
      <c r="AL51" s="87"/>
      <c r="AM51" s="87"/>
      <c r="AN51" s="87"/>
      <c r="AO51" s="87"/>
      <c r="AP51" s="87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11"/>
        <v>0</v>
      </c>
      <c r="U52" s="19" t="b">
        <f t="shared" si="12"/>
        <v>0</v>
      </c>
      <c r="V52" s="19" t="b">
        <f t="shared" ca="1" si="3"/>
        <v>0</v>
      </c>
      <c r="AI52" s="59"/>
      <c r="AJ52" s="70"/>
      <c r="AK52" s="100"/>
      <c r="AL52" s="87"/>
      <c r="AM52" s="87"/>
      <c r="AN52" s="87"/>
      <c r="AO52" s="87"/>
      <c r="AP52" s="87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204</v>
      </c>
      <c r="T53" s="19" t="b">
        <f t="shared" ca="1" si="11"/>
        <v>0</v>
      </c>
      <c r="U53" s="19" t="b">
        <f t="shared" si="12"/>
        <v>0</v>
      </c>
      <c r="V53" s="19" t="b">
        <f t="shared" ca="1" si="3"/>
        <v>0</v>
      </c>
      <c r="AI53" s="59"/>
      <c r="AJ53" s="70"/>
      <c r="AK53" s="100"/>
      <c r="AL53" s="87"/>
      <c r="AM53" s="87"/>
      <c r="AN53" s="87"/>
      <c r="AO53" s="87"/>
      <c r="AP53" s="87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11"/>
        <v>0</v>
      </c>
      <c r="U54" s="19" t="b">
        <f t="shared" si="12"/>
        <v>0</v>
      </c>
      <c r="V54" s="19" t="b">
        <f t="shared" ca="1" si="3"/>
        <v>0</v>
      </c>
      <c r="X54" s="69" t="s">
        <v>196</v>
      </c>
      <c r="AD54" s="7" t="s">
        <v>153</v>
      </c>
      <c r="AI54" s="59"/>
      <c r="AJ54" s="70"/>
      <c r="AK54" s="100"/>
      <c r="AL54" s="87"/>
      <c r="AM54" s="87"/>
      <c r="AN54" s="87"/>
      <c r="AO54" s="87"/>
      <c r="AP54" s="87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111"/>
      <c r="M55" s="112"/>
      <c r="N55" s="112"/>
      <c r="O55" s="112"/>
      <c r="P55" s="113"/>
      <c r="R55" s="87" t="str">
        <f t="shared" ref="R55:R64" si="13">_xlfn.CONCAT(L55:P55)</f>
        <v/>
      </c>
      <c r="T55" s="19" t="b">
        <f t="shared" ca="1" si="11"/>
        <v>0</v>
      </c>
      <c r="U55" s="19" t="b">
        <f t="shared" si="12"/>
        <v>0</v>
      </c>
      <c r="V55" s="19" t="b">
        <f t="shared" ca="1" si="3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4" ca="1" si="14">OR(AND(M55&lt;&gt;"",ISNA(MATCH(M55,FIELDリスト,0))),COUNTIF($L55:$P55,M55)&gt;1)</f>
        <v>0</v>
      </c>
      <c r="AA55" s="19" t="b">
        <f t="shared" ref="AA55:AA64" ca="1" si="15">OR(AND(N55&lt;&gt;"",ISNA(MATCH(N55,FIELDリスト,0))),COUNTIF($L55:$P55,N55)&gt;1)</f>
        <v>0</v>
      </c>
      <c r="AB55" s="19" t="b">
        <f t="shared" ref="AB55:AB64" ca="1" si="16">OR(AND(O55&lt;&gt;"",ISNA(MATCH(O55,FIELDリスト,0))),COUNTIF($L55:$P55,O55)&gt;1)</f>
        <v>0</v>
      </c>
      <c r="AC55" s="19" t="b">
        <f t="shared" ref="AC55:AC64" ca="1" si="17">OR(AND(P55&lt;&gt;"",ISNA(MATCH(P55,FIELDリスト,0))),COUNTIF($L55:$P55,P55)&gt;1)</f>
        <v>0</v>
      </c>
      <c r="AD55" s="19" t="b">
        <f>AND(R55&lt;&gt;"",COUNTIF(R$13:R$22,R55)&gt;1)</f>
        <v>0</v>
      </c>
      <c r="AI55" s="59"/>
      <c r="AJ55" s="70"/>
      <c r="AK55" s="100"/>
      <c r="AL55" s="87"/>
      <c r="AM55" s="87"/>
      <c r="AN55" s="87"/>
      <c r="AO55" s="87"/>
      <c r="AP55" s="87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10"/>
      <c r="L56" s="114"/>
      <c r="M56" s="115"/>
      <c r="N56" s="115"/>
      <c r="O56" s="115"/>
      <c r="P56" s="116"/>
      <c r="T56" s="19" t="b">
        <f t="shared" ca="1" si="11"/>
        <v>0</v>
      </c>
      <c r="U56" s="19" t="b">
        <f t="shared" si="12"/>
        <v>0</v>
      </c>
      <c r="V56" s="19" t="b">
        <f t="shared" ca="1" si="3"/>
        <v>0</v>
      </c>
      <c r="X56" s="7" t="s">
        <v>156</v>
      </c>
      <c r="AI56" s="59"/>
      <c r="AJ56" s="70"/>
      <c r="AK56" s="100"/>
      <c r="AL56" s="87"/>
      <c r="AM56" s="87"/>
      <c r="AN56" s="87"/>
      <c r="AO56" s="87"/>
      <c r="AP56" s="87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5">
        <v>2</v>
      </c>
      <c r="L57" s="111"/>
      <c r="M57" s="112"/>
      <c r="N57" s="112"/>
      <c r="O57" s="112"/>
      <c r="P57" s="113"/>
      <c r="R57" s="87" t="str">
        <f t="shared" si="13"/>
        <v/>
      </c>
      <c r="T57" s="19" t="b">
        <f t="shared" ca="1" si="11"/>
        <v>0</v>
      </c>
      <c r="U57" s="19" t="b">
        <f t="shared" si="12"/>
        <v>0</v>
      </c>
      <c r="V57" s="19" t="b">
        <f t="shared" ca="1" si="3"/>
        <v>0</v>
      </c>
      <c r="Y57" s="19" t="b">
        <f t="shared" ref="Y55:Y64" ca="1" si="18">OR(AND(L57&lt;&gt;"",ISNA(MATCH(L57,FIELDリスト,0))),COUNTIF($L57:$P57,L57)&gt;1)</f>
        <v>0</v>
      </c>
      <c r="Z57" s="19" t="b">
        <f t="shared" ca="1" si="14"/>
        <v>0</v>
      </c>
      <c r="AA57" s="19" t="b">
        <f t="shared" ca="1" si="15"/>
        <v>0</v>
      </c>
      <c r="AB57" s="19" t="b">
        <f t="shared" ca="1" si="16"/>
        <v>0</v>
      </c>
      <c r="AC57" s="19" t="b">
        <f t="shared" ca="1" si="17"/>
        <v>0</v>
      </c>
      <c r="AD57" s="19" t="b">
        <f t="shared" ref="AD56:AD64" si="19">AND(R57&lt;&gt;"",COUNTIF(R$13:R$22,R57)&gt;1)</f>
        <v>0</v>
      </c>
      <c r="AI57" s="59"/>
      <c r="AJ57" s="70"/>
      <c r="AK57" s="100"/>
      <c r="AL57" s="87"/>
      <c r="AM57" s="87"/>
      <c r="AN57" s="87"/>
      <c r="AO57" s="87"/>
      <c r="AP57" s="87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10"/>
      <c r="L58" s="114"/>
      <c r="M58" s="115"/>
      <c r="N58" s="115"/>
      <c r="O58" s="115"/>
      <c r="P58" s="116"/>
      <c r="T58" s="19" t="b">
        <f t="shared" ca="1" si="11"/>
        <v>0</v>
      </c>
      <c r="U58" s="19" t="b">
        <f t="shared" si="12"/>
        <v>0</v>
      </c>
      <c r="V58" s="19" t="b">
        <f t="shared" ca="1" si="3"/>
        <v>0</v>
      </c>
      <c r="AI58" s="59"/>
      <c r="AJ58" s="70"/>
      <c r="AK58" s="100"/>
      <c r="AL58" s="87"/>
      <c r="AM58" s="87"/>
      <c r="AN58" s="87"/>
      <c r="AO58" s="87"/>
      <c r="AP58" s="87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5">
        <v>3</v>
      </c>
      <c r="L59" s="111"/>
      <c r="M59" s="112"/>
      <c r="N59" s="112"/>
      <c r="O59" s="112"/>
      <c r="P59" s="113"/>
      <c r="R59" s="87" t="str">
        <f t="shared" si="13"/>
        <v/>
      </c>
      <c r="T59" s="19" t="b">
        <f t="shared" ca="1" si="11"/>
        <v>0</v>
      </c>
      <c r="U59" s="19" t="b">
        <f t="shared" si="12"/>
        <v>0</v>
      </c>
      <c r="V59" s="19" t="b">
        <f t="shared" ca="1" si="3"/>
        <v>0</v>
      </c>
      <c r="Y59" s="19" t="b">
        <f t="shared" ca="1" si="18"/>
        <v>0</v>
      </c>
      <c r="Z59" s="19" t="b">
        <f t="shared" ca="1" si="14"/>
        <v>0</v>
      </c>
      <c r="AA59" s="19" t="b">
        <f t="shared" ca="1" si="15"/>
        <v>0</v>
      </c>
      <c r="AB59" s="19" t="b">
        <f t="shared" ca="1" si="16"/>
        <v>0</v>
      </c>
      <c r="AC59" s="19" t="b">
        <f t="shared" ca="1" si="17"/>
        <v>0</v>
      </c>
      <c r="AD59" s="19" t="b">
        <f t="shared" si="19"/>
        <v>0</v>
      </c>
      <c r="AI59" s="59"/>
      <c r="AJ59" s="70"/>
      <c r="AK59" s="100"/>
      <c r="AL59" s="87"/>
      <c r="AM59" s="87"/>
      <c r="AN59" s="87"/>
      <c r="AO59" s="87"/>
      <c r="AP59" s="87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10"/>
      <c r="L60" s="114"/>
      <c r="M60" s="115"/>
      <c r="N60" s="115"/>
      <c r="O60" s="115"/>
      <c r="P60" s="116"/>
      <c r="T60" s="19" t="b">
        <f t="shared" ca="1" si="11"/>
        <v>0</v>
      </c>
      <c r="U60" s="19" t="b">
        <f t="shared" si="12"/>
        <v>0</v>
      </c>
      <c r="V60" s="19" t="b">
        <f t="shared" ca="1" si="3"/>
        <v>0</v>
      </c>
      <c r="AI60" s="59"/>
      <c r="AJ60" s="70"/>
      <c r="AK60" s="100"/>
      <c r="AL60" s="87"/>
      <c r="AM60" s="87"/>
      <c r="AN60" s="87"/>
      <c r="AO60" s="87"/>
      <c r="AP60" s="87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5">
        <v>4</v>
      </c>
      <c r="L61" s="111"/>
      <c r="M61" s="112"/>
      <c r="N61" s="112"/>
      <c r="O61" s="112"/>
      <c r="P61" s="113"/>
      <c r="R61" s="87" t="str">
        <f t="shared" si="13"/>
        <v/>
      </c>
      <c r="T61" s="19" t="b">
        <f t="shared" ca="1" si="11"/>
        <v>0</v>
      </c>
      <c r="U61" s="19" t="b">
        <f t="shared" si="12"/>
        <v>0</v>
      </c>
      <c r="V61" s="19" t="b">
        <f t="shared" ca="1" si="3"/>
        <v>0</v>
      </c>
      <c r="Y61" s="19" t="b">
        <f t="shared" ca="1" si="18"/>
        <v>0</v>
      </c>
      <c r="Z61" s="19" t="b">
        <f t="shared" ca="1" si="14"/>
        <v>0</v>
      </c>
      <c r="AA61" s="19" t="b">
        <f t="shared" ca="1" si="15"/>
        <v>0</v>
      </c>
      <c r="AB61" s="19" t="b">
        <f t="shared" ca="1" si="16"/>
        <v>0</v>
      </c>
      <c r="AC61" s="19" t="b">
        <f t="shared" ca="1" si="17"/>
        <v>0</v>
      </c>
      <c r="AD61" s="19" t="b">
        <f t="shared" si="19"/>
        <v>0</v>
      </c>
      <c r="AI61" s="59"/>
      <c r="AJ61" s="70"/>
      <c r="AK61" s="100"/>
      <c r="AL61" s="87"/>
      <c r="AM61" s="87"/>
      <c r="AN61" s="87"/>
      <c r="AO61" s="87"/>
      <c r="AP61" s="87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10"/>
      <c r="L62" s="114"/>
      <c r="M62" s="115"/>
      <c r="N62" s="115"/>
      <c r="O62" s="115"/>
      <c r="P62" s="116"/>
      <c r="T62" s="19" t="b">
        <f t="shared" ca="1" si="11"/>
        <v>0</v>
      </c>
      <c r="U62" s="19" t="b">
        <f t="shared" si="12"/>
        <v>0</v>
      </c>
      <c r="V62" s="19" t="b">
        <f t="shared" ca="1" si="3"/>
        <v>0</v>
      </c>
      <c r="AI62" s="59"/>
      <c r="AJ62" s="70"/>
      <c r="AK62" s="100"/>
      <c r="AL62" s="87"/>
      <c r="AM62" s="87"/>
      <c r="AN62" s="87"/>
      <c r="AO62" s="87"/>
      <c r="AP62" s="87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5">
        <v>5</v>
      </c>
      <c r="L63" s="111"/>
      <c r="M63" s="112"/>
      <c r="N63" s="112"/>
      <c r="O63" s="112"/>
      <c r="P63" s="113"/>
      <c r="R63" s="87" t="str">
        <f t="shared" si="13"/>
        <v/>
      </c>
      <c r="T63" s="19" t="b">
        <f t="shared" ca="1" si="11"/>
        <v>0</v>
      </c>
      <c r="U63" s="19" t="b">
        <f t="shared" si="12"/>
        <v>0</v>
      </c>
      <c r="V63" s="19" t="b">
        <f t="shared" ca="1" si="3"/>
        <v>0</v>
      </c>
      <c r="Y63" s="19" t="b">
        <f t="shared" ca="1" si="18"/>
        <v>0</v>
      </c>
      <c r="Z63" s="19" t="b">
        <f t="shared" ca="1" si="14"/>
        <v>0</v>
      </c>
      <c r="AA63" s="19" t="b">
        <f t="shared" ca="1" si="15"/>
        <v>0</v>
      </c>
      <c r="AB63" s="19" t="b">
        <f t="shared" ca="1" si="16"/>
        <v>0</v>
      </c>
      <c r="AC63" s="19" t="b">
        <f t="shared" ca="1" si="17"/>
        <v>0</v>
      </c>
      <c r="AD63" s="19" t="b">
        <f>AND(R63&lt;&gt;"",COUNTIF(R$13:R$22,R63)&gt;1)</f>
        <v>0</v>
      </c>
      <c r="AI63" s="59"/>
      <c r="AJ63" s="70"/>
      <c r="AK63" s="100"/>
      <c r="AL63" s="87"/>
      <c r="AM63" s="87"/>
      <c r="AN63" s="87"/>
      <c r="AO63" s="87"/>
      <c r="AP63" s="87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10"/>
      <c r="L64" s="114"/>
      <c r="M64" s="115"/>
      <c r="N64" s="115"/>
      <c r="O64" s="115"/>
      <c r="P64" s="116"/>
      <c r="T64" s="19" t="b">
        <f t="shared" ca="1" si="11"/>
        <v>0</v>
      </c>
      <c r="U64" s="19" t="b">
        <f t="shared" si="12"/>
        <v>0</v>
      </c>
      <c r="V64" s="19" t="b">
        <f t="shared" ca="1" si="3"/>
        <v>0</v>
      </c>
      <c r="AI64" s="59"/>
      <c r="AJ64" s="70"/>
      <c r="AK64" s="100"/>
      <c r="AL64" s="87"/>
      <c r="AM64" s="87"/>
      <c r="AN64" s="87"/>
      <c r="AO64" s="87"/>
      <c r="AP64" s="87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11"/>
        <v>0</v>
      </c>
      <c r="U65" s="19" t="b">
        <f t="shared" si="12"/>
        <v>0</v>
      </c>
      <c r="V65" s="19" t="b">
        <f t="shared" ca="1" si="3"/>
        <v>0</v>
      </c>
      <c r="AI65" s="59"/>
      <c r="AJ65" s="70"/>
      <c r="AK65" s="100"/>
      <c r="AL65" s="87"/>
      <c r="AM65" s="87"/>
      <c r="AN65" s="87"/>
      <c r="AO65" s="87"/>
      <c r="AP65" s="87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11"/>
        <v>0</v>
      </c>
      <c r="U66" s="19" t="b">
        <f t="shared" si="12"/>
        <v>0</v>
      </c>
      <c r="V66" s="19" t="b">
        <f t="shared" ca="1" si="3"/>
        <v>0</v>
      </c>
      <c r="AI66" s="59"/>
      <c r="AJ66" s="70"/>
      <c r="AK66" s="100"/>
      <c r="AL66" s="87"/>
      <c r="AM66" s="87"/>
      <c r="AN66" s="87"/>
      <c r="AO66" s="87"/>
      <c r="AP66" s="87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11"/>
        <v>0</v>
      </c>
      <c r="U67" s="19" t="b">
        <f t="shared" si="12"/>
        <v>0</v>
      </c>
      <c r="V67" s="19" t="b">
        <f t="shared" ca="1" si="3"/>
        <v>0</v>
      </c>
      <c r="AI67" s="59"/>
      <c r="AJ67" s="70"/>
      <c r="AK67" s="100"/>
      <c r="AL67" s="87"/>
      <c r="AM67" s="87"/>
      <c r="AN67" s="87"/>
      <c r="AO67" s="87"/>
      <c r="AP67" s="87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11"/>
        <v>0</v>
      </c>
      <c r="U68" s="19" t="b">
        <f t="shared" si="12"/>
        <v>0</v>
      </c>
      <c r="V68" s="19" t="b">
        <f t="shared" ca="1" si="3"/>
        <v>0</v>
      </c>
      <c r="AI68" s="59"/>
      <c r="AJ68" s="70"/>
      <c r="AK68" s="100"/>
      <c r="AL68" s="87"/>
      <c r="AM68" s="87"/>
      <c r="AN68" s="87"/>
      <c r="AO68" s="87"/>
      <c r="AP68" s="87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11"/>
        <v>0</v>
      </c>
      <c r="U69" s="19" t="b">
        <f t="shared" si="12"/>
        <v>0</v>
      </c>
      <c r="V69" s="19" t="b">
        <f t="shared" ca="1" si="3"/>
        <v>0</v>
      </c>
      <c r="AI69" s="59"/>
      <c r="AJ69" s="70"/>
      <c r="AK69" s="100"/>
      <c r="AL69" s="87"/>
      <c r="AM69" s="87"/>
      <c r="AN69" s="87"/>
      <c r="AO69" s="87"/>
      <c r="AP69" s="87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0">AND(B70&lt;&gt;"",ISNA(MATCH(B70,項目リスト,0)))</f>
        <v>0</v>
      </c>
      <c r="U70" s="19" t="b">
        <f t="shared" ref="U70:U105" si="21">COUNTIF(FIELD_NAME,B70)&gt;1</f>
        <v>0</v>
      </c>
      <c r="V70" s="19" t="b">
        <f t="shared" ca="1" si="3"/>
        <v>0</v>
      </c>
      <c r="AI70" s="59"/>
      <c r="AJ70" s="70"/>
      <c r="AK70" s="100"/>
      <c r="AL70" s="87"/>
      <c r="AM70" s="87"/>
      <c r="AN70" s="87"/>
      <c r="AO70" s="87"/>
      <c r="AP70" s="87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0"/>
        <v>0</v>
      </c>
      <c r="U71" s="19" t="b">
        <f t="shared" si="21"/>
        <v>0</v>
      </c>
      <c r="V71" s="19" t="b">
        <f t="shared" ca="1" si="3"/>
        <v>0</v>
      </c>
      <c r="AI71" s="59"/>
      <c r="AJ71" s="70"/>
      <c r="AK71" s="100"/>
      <c r="AL71" s="87"/>
      <c r="AM71" s="87"/>
      <c r="AN71" s="87"/>
      <c r="AO71" s="87"/>
      <c r="AP71" s="87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0"/>
        <v>0</v>
      </c>
      <c r="U72" s="19" t="b">
        <f t="shared" si="21"/>
        <v>0</v>
      </c>
      <c r="V72" s="19" t="b">
        <f t="shared" ca="1" si="3"/>
        <v>0</v>
      </c>
      <c r="AI72" s="59"/>
      <c r="AJ72" s="70"/>
      <c r="AK72" s="100"/>
      <c r="AL72" s="87"/>
      <c r="AM72" s="87"/>
      <c r="AN72" s="87"/>
      <c r="AO72" s="87"/>
      <c r="AP72" s="87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0"/>
        <v>0</v>
      </c>
      <c r="U73" s="19" t="b">
        <f t="shared" si="21"/>
        <v>0</v>
      </c>
      <c r="V73" s="19" t="b">
        <f t="shared" ref="V73:V105" ca="1" si="22">AND(E73="",H73&lt;&gt;"",H73)</f>
        <v>0</v>
      </c>
      <c r="AI73" s="59"/>
      <c r="AJ73" s="70"/>
      <c r="AK73" s="100"/>
      <c r="AL73" s="87"/>
      <c r="AM73" s="87"/>
      <c r="AN73" s="87"/>
      <c r="AO73" s="87"/>
      <c r="AP73" s="87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0"/>
        <v>0</v>
      </c>
      <c r="U74" s="19" t="b">
        <f t="shared" si="21"/>
        <v>0</v>
      </c>
      <c r="V74" s="19" t="b">
        <f t="shared" ca="1" si="22"/>
        <v>0</v>
      </c>
      <c r="AI74" s="59"/>
      <c r="AJ74" s="70"/>
      <c r="AK74" s="100"/>
      <c r="AL74" s="87"/>
      <c r="AM74" s="87"/>
      <c r="AN74" s="87"/>
      <c r="AO74" s="87"/>
      <c r="AP74" s="87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0"/>
        <v>0</v>
      </c>
      <c r="U75" s="19" t="b">
        <f t="shared" si="21"/>
        <v>0</v>
      </c>
      <c r="V75" s="19" t="b">
        <f t="shared" ca="1" si="22"/>
        <v>0</v>
      </c>
      <c r="AI75" s="59"/>
      <c r="AJ75" s="70"/>
      <c r="AK75" s="100"/>
      <c r="AL75" s="87"/>
      <c r="AM75" s="87"/>
      <c r="AN75" s="87"/>
      <c r="AO75" s="87"/>
      <c r="AP75" s="87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0"/>
        <v>0</v>
      </c>
      <c r="U76" s="19" t="b">
        <f t="shared" si="21"/>
        <v>0</v>
      </c>
      <c r="V76" s="19" t="b">
        <f t="shared" ca="1" si="22"/>
        <v>0</v>
      </c>
      <c r="AI76" s="59"/>
      <c r="AJ76" s="70"/>
      <c r="AK76" s="100"/>
      <c r="AL76" s="87"/>
      <c r="AM76" s="87"/>
      <c r="AN76" s="87"/>
      <c r="AO76" s="87"/>
      <c r="AP76" s="87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0"/>
        <v>0</v>
      </c>
      <c r="U77" s="19" t="b">
        <f t="shared" si="21"/>
        <v>0</v>
      </c>
      <c r="V77" s="19" t="b">
        <f t="shared" ca="1" si="22"/>
        <v>0</v>
      </c>
      <c r="AI77" s="59"/>
      <c r="AJ77" s="70"/>
      <c r="AK77" s="100"/>
      <c r="AL77" s="87"/>
      <c r="AM77" s="87"/>
      <c r="AN77" s="87"/>
      <c r="AO77" s="87"/>
      <c r="AP77" s="87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0"/>
        <v>0</v>
      </c>
      <c r="U78" s="19" t="b">
        <f t="shared" si="21"/>
        <v>0</v>
      </c>
      <c r="V78" s="19" t="b">
        <f t="shared" ca="1" si="22"/>
        <v>0</v>
      </c>
      <c r="AI78" s="59"/>
      <c r="AJ78" s="70"/>
      <c r="AK78" s="100"/>
      <c r="AL78" s="87"/>
      <c r="AM78" s="87"/>
      <c r="AN78" s="87"/>
      <c r="AO78" s="87"/>
      <c r="AP78" s="87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0"/>
        <v>0</v>
      </c>
      <c r="U79" s="19" t="b">
        <f t="shared" si="21"/>
        <v>0</v>
      </c>
      <c r="V79" s="19" t="b">
        <f t="shared" ca="1" si="22"/>
        <v>0</v>
      </c>
      <c r="AI79" s="59"/>
      <c r="AJ79" s="70"/>
      <c r="AK79" s="100"/>
      <c r="AL79" s="87"/>
      <c r="AM79" s="87"/>
      <c r="AN79" s="87"/>
      <c r="AO79" s="87"/>
      <c r="AP79" s="87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0"/>
        <v>0</v>
      </c>
      <c r="U80" s="19" t="b">
        <f t="shared" si="21"/>
        <v>0</v>
      </c>
      <c r="V80" s="19" t="b">
        <f t="shared" ca="1" si="22"/>
        <v>0</v>
      </c>
      <c r="AI80" s="59"/>
      <c r="AJ80" s="70"/>
      <c r="AK80" s="100"/>
      <c r="AL80" s="87"/>
      <c r="AM80" s="87"/>
      <c r="AN80" s="87"/>
      <c r="AO80" s="87"/>
      <c r="AP80" s="87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0"/>
        <v>0</v>
      </c>
      <c r="U81" s="19" t="b">
        <f t="shared" si="21"/>
        <v>0</v>
      </c>
      <c r="V81" s="19" t="b">
        <f t="shared" ca="1" si="22"/>
        <v>0</v>
      </c>
      <c r="AI81" s="59"/>
      <c r="AJ81" s="70"/>
      <c r="AK81" s="100"/>
      <c r="AL81" s="87"/>
      <c r="AM81" s="87"/>
      <c r="AN81" s="87"/>
      <c r="AO81" s="87"/>
      <c r="AP81" s="87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0"/>
        <v>0</v>
      </c>
      <c r="U82" s="19" t="b">
        <f t="shared" si="21"/>
        <v>0</v>
      </c>
      <c r="V82" s="19" t="b">
        <f t="shared" ca="1" si="22"/>
        <v>0</v>
      </c>
      <c r="AI82" s="59"/>
      <c r="AJ82" s="70"/>
      <c r="AK82" s="100"/>
      <c r="AL82" s="87"/>
      <c r="AM82" s="87"/>
      <c r="AN82" s="87"/>
      <c r="AO82" s="87"/>
      <c r="AP82" s="87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0"/>
        <v>0</v>
      </c>
      <c r="U83" s="19" t="b">
        <f t="shared" si="21"/>
        <v>0</v>
      </c>
      <c r="V83" s="19" t="b">
        <f t="shared" ca="1" si="22"/>
        <v>0</v>
      </c>
      <c r="AI83" s="59"/>
      <c r="AJ83" s="70"/>
      <c r="AK83" s="100"/>
      <c r="AL83" s="87"/>
      <c r="AM83" s="87"/>
      <c r="AN83" s="87"/>
      <c r="AO83" s="87"/>
      <c r="AP83" s="87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0"/>
        <v>0</v>
      </c>
      <c r="U84" s="19" t="b">
        <f t="shared" si="21"/>
        <v>0</v>
      </c>
      <c r="V84" s="19" t="b">
        <f t="shared" ca="1" si="22"/>
        <v>0</v>
      </c>
      <c r="AI84" s="59"/>
      <c r="AJ84" s="70"/>
      <c r="AK84" s="100"/>
      <c r="AL84" s="87"/>
      <c r="AM84" s="87"/>
      <c r="AN84" s="87"/>
      <c r="AO84" s="87"/>
      <c r="AP84" s="87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0"/>
        <v>0</v>
      </c>
      <c r="U85" s="19" t="b">
        <f t="shared" si="21"/>
        <v>0</v>
      </c>
      <c r="V85" s="19" t="b">
        <f t="shared" ca="1" si="22"/>
        <v>0</v>
      </c>
      <c r="AI85" s="59"/>
      <c r="AJ85" s="70"/>
      <c r="AK85" s="100"/>
      <c r="AL85" s="87"/>
      <c r="AM85" s="87"/>
      <c r="AN85" s="87"/>
      <c r="AO85" s="87"/>
      <c r="AP85" s="87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0"/>
        <v>0</v>
      </c>
      <c r="U86" s="19" t="b">
        <f t="shared" si="21"/>
        <v>0</v>
      </c>
      <c r="V86" s="19" t="b">
        <f t="shared" ca="1" si="22"/>
        <v>0</v>
      </c>
      <c r="AI86" s="59"/>
      <c r="AJ86" s="70"/>
      <c r="AK86" s="100"/>
      <c r="AL86" s="87"/>
      <c r="AM86" s="87"/>
      <c r="AN86" s="87"/>
      <c r="AO86" s="87"/>
      <c r="AP86" s="87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0"/>
        <v>0</v>
      </c>
      <c r="U87" s="19" t="b">
        <f t="shared" si="21"/>
        <v>0</v>
      </c>
      <c r="V87" s="19" t="b">
        <f t="shared" ca="1" si="22"/>
        <v>0</v>
      </c>
      <c r="AI87" s="59"/>
      <c r="AJ87" s="70"/>
      <c r="AK87" s="100"/>
      <c r="AL87" s="87"/>
      <c r="AM87" s="87"/>
      <c r="AN87" s="87"/>
      <c r="AO87" s="87"/>
      <c r="AP87" s="87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0"/>
        <v>0</v>
      </c>
      <c r="U88" s="19" t="b">
        <f t="shared" si="21"/>
        <v>0</v>
      </c>
      <c r="V88" s="19" t="b">
        <f t="shared" ca="1" si="22"/>
        <v>0</v>
      </c>
      <c r="AI88" s="59"/>
      <c r="AJ88" s="70"/>
      <c r="AK88" s="100"/>
      <c r="AL88" s="87"/>
      <c r="AM88" s="87"/>
      <c r="AN88" s="87"/>
      <c r="AO88" s="87"/>
      <c r="AP88" s="87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0"/>
        <v>0</v>
      </c>
      <c r="U89" s="19" t="b">
        <f t="shared" si="21"/>
        <v>0</v>
      </c>
      <c r="V89" s="19" t="b">
        <f t="shared" ca="1" si="22"/>
        <v>0</v>
      </c>
      <c r="AI89" s="59"/>
      <c r="AJ89" s="70"/>
      <c r="AK89" s="100"/>
      <c r="AL89" s="87"/>
      <c r="AM89" s="87"/>
      <c r="AN89" s="87"/>
      <c r="AO89" s="87"/>
      <c r="AP89" s="87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0"/>
        <v>0</v>
      </c>
      <c r="U90" s="19" t="b">
        <f t="shared" si="21"/>
        <v>0</v>
      </c>
      <c r="V90" s="19" t="b">
        <f t="shared" ca="1" si="22"/>
        <v>0</v>
      </c>
      <c r="AI90" s="59"/>
      <c r="AJ90" s="70"/>
      <c r="AK90" s="100"/>
      <c r="AL90" s="87"/>
      <c r="AM90" s="87"/>
      <c r="AN90" s="87"/>
      <c r="AO90" s="87"/>
      <c r="AP90" s="87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0"/>
        <v>0</v>
      </c>
      <c r="U91" s="19" t="b">
        <f t="shared" si="21"/>
        <v>0</v>
      </c>
      <c r="V91" s="19" t="b">
        <f t="shared" ca="1" si="22"/>
        <v>0</v>
      </c>
      <c r="AI91" s="59"/>
      <c r="AJ91" s="70"/>
      <c r="AK91" s="100"/>
      <c r="AL91" s="87"/>
      <c r="AM91" s="87"/>
      <c r="AN91" s="87"/>
      <c r="AO91" s="87"/>
      <c r="AP91" s="87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0"/>
        <v>0</v>
      </c>
      <c r="U92" s="19" t="b">
        <f t="shared" si="21"/>
        <v>0</v>
      </c>
      <c r="V92" s="19" t="b">
        <f t="shared" ca="1" si="22"/>
        <v>0</v>
      </c>
      <c r="AI92" s="59"/>
      <c r="AJ92" s="70"/>
      <c r="AK92" s="100"/>
      <c r="AL92" s="87"/>
      <c r="AM92" s="87"/>
      <c r="AN92" s="87"/>
      <c r="AO92" s="87"/>
      <c r="AP92" s="87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0"/>
        <v>0</v>
      </c>
      <c r="U93" s="19" t="b">
        <f t="shared" si="21"/>
        <v>0</v>
      </c>
      <c r="V93" s="19" t="b">
        <f t="shared" ca="1" si="22"/>
        <v>0</v>
      </c>
      <c r="AI93" s="59"/>
      <c r="AJ93" s="70"/>
      <c r="AK93" s="100"/>
      <c r="AL93" s="87"/>
      <c r="AM93" s="87"/>
      <c r="AN93" s="87"/>
      <c r="AO93" s="87"/>
      <c r="AP93" s="87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0"/>
        <v>0</v>
      </c>
      <c r="U94" s="19" t="b">
        <f t="shared" si="21"/>
        <v>0</v>
      </c>
      <c r="V94" s="19" t="b">
        <f t="shared" ca="1" si="22"/>
        <v>0</v>
      </c>
      <c r="AI94" s="59"/>
      <c r="AJ94" s="70"/>
      <c r="AK94" s="100"/>
      <c r="AL94" s="87"/>
      <c r="AM94" s="87"/>
      <c r="AN94" s="87"/>
      <c r="AO94" s="87"/>
      <c r="AP94" s="87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0"/>
        <v>0</v>
      </c>
      <c r="U95" s="19" t="b">
        <f t="shared" si="21"/>
        <v>0</v>
      </c>
      <c r="V95" s="19" t="b">
        <f t="shared" ca="1" si="22"/>
        <v>0</v>
      </c>
      <c r="AI95" s="59"/>
      <c r="AJ95" s="70"/>
      <c r="AK95" s="100"/>
      <c r="AL95" s="87"/>
      <c r="AM95" s="87"/>
      <c r="AN95" s="87"/>
      <c r="AO95" s="87"/>
      <c r="AP95" s="87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0"/>
        <v>0</v>
      </c>
      <c r="U96" s="19" t="b">
        <f t="shared" si="21"/>
        <v>0</v>
      </c>
      <c r="V96" s="19" t="b">
        <f t="shared" ca="1" si="22"/>
        <v>0</v>
      </c>
      <c r="AI96" s="59"/>
      <c r="AJ96" s="70"/>
      <c r="AK96" s="100"/>
      <c r="AL96" s="87"/>
      <c r="AM96" s="87"/>
      <c r="AN96" s="87"/>
      <c r="AO96" s="87"/>
      <c r="AP96" s="87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0"/>
        <v>0</v>
      </c>
      <c r="U97" s="19" t="b">
        <f t="shared" si="21"/>
        <v>0</v>
      </c>
      <c r="V97" s="19" t="b">
        <f t="shared" ca="1" si="22"/>
        <v>0</v>
      </c>
      <c r="AI97" s="59"/>
      <c r="AJ97" s="70"/>
      <c r="AK97" s="100"/>
      <c r="AL97" s="87"/>
      <c r="AM97" s="87"/>
      <c r="AN97" s="87"/>
      <c r="AO97" s="87"/>
      <c r="AP97" s="87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0"/>
        <v>0</v>
      </c>
      <c r="U98" s="19" t="b">
        <f t="shared" si="21"/>
        <v>0</v>
      </c>
      <c r="V98" s="19" t="b">
        <f t="shared" ca="1" si="22"/>
        <v>0</v>
      </c>
      <c r="AI98" s="59"/>
      <c r="AJ98" s="70"/>
      <c r="AK98" s="100"/>
      <c r="AL98" s="87"/>
      <c r="AM98" s="87"/>
      <c r="AN98" s="87"/>
      <c r="AO98" s="87"/>
      <c r="AP98" s="87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0"/>
        <v>0</v>
      </c>
      <c r="U99" s="19" t="b">
        <f t="shared" si="21"/>
        <v>0</v>
      </c>
      <c r="V99" s="19" t="b">
        <f t="shared" ca="1" si="22"/>
        <v>0</v>
      </c>
      <c r="AI99" s="59"/>
      <c r="AJ99" s="70"/>
      <c r="AK99" s="100"/>
      <c r="AL99" s="87"/>
      <c r="AM99" s="87"/>
      <c r="AN99" s="87"/>
      <c r="AO99" s="87"/>
      <c r="AP99" s="87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0"/>
        <v>0</v>
      </c>
      <c r="U100" s="19" t="b">
        <f t="shared" si="21"/>
        <v>0</v>
      </c>
      <c r="V100" s="19" t="b">
        <f t="shared" ca="1" si="22"/>
        <v>0</v>
      </c>
      <c r="AI100" s="59"/>
      <c r="AJ100" s="70"/>
      <c r="AK100" s="100"/>
      <c r="AL100" s="87"/>
      <c r="AM100" s="87"/>
      <c r="AN100" s="87"/>
      <c r="AO100" s="87"/>
      <c r="AP100" s="87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0"/>
        <v>0</v>
      </c>
      <c r="U101" s="19" t="b">
        <f t="shared" si="21"/>
        <v>0</v>
      </c>
      <c r="V101" s="19" t="b">
        <f t="shared" ca="1" si="22"/>
        <v>0</v>
      </c>
      <c r="AI101" s="59"/>
      <c r="AJ101" s="70"/>
      <c r="AK101" s="100"/>
      <c r="AL101" s="87"/>
      <c r="AM101" s="87"/>
      <c r="AN101" s="87"/>
      <c r="AO101" s="87"/>
      <c r="AP101" s="87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0"/>
        <v>0</v>
      </c>
      <c r="U102" s="19" t="b">
        <f t="shared" si="21"/>
        <v>0</v>
      </c>
      <c r="V102" s="19" t="b">
        <f t="shared" ca="1" si="22"/>
        <v>0</v>
      </c>
      <c r="AI102" s="59"/>
      <c r="AJ102" s="70"/>
      <c r="AK102" s="100"/>
      <c r="AL102" s="87"/>
      <c r="AM102" s="87"/>
      <c r="AN102" s="87"/>
      <c r="AO102" s="87"/>
      <c r="AP102" s="87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0"/>
        <v>0</v>
      </c>
      <c r="U103" s="19" t="b">
        <f t="shared" si="21"/>
        <v>0</v>
      </c>
      <c r="V103" s="19" t="b">
        <f t="shared" ca="1" si="22"/>
        <v>0</v>
      </c>
      <c r="AI103" s="59"/>
      <c r="AJ103" s="70"/>
      <c r="AK103" s="100"/>
      <c r="AL103" s="87"/>
      <c r="AM103" s="87"/>
      <c r="AN103" s="87"/>
      <c r="AO103" s="87"/>
      <c r="AP103" s="87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0"/>
        <v>0</v>
      </c>
      <c r="U104" s="19" t="b">
        <f t="shared" si="21"/>
        <v>0</v>
      </c>
      <c r="V104" s="19" t="b">
        <f t="shared" ca="1" si="22"/>
        <v>0</v>
      </c>
      <c r="AI104" s="59"/>
      <c r="AJ104" s="70"/>
      <c r="AK104" s="100"/>
      <c r="AL104" s="87"/>
      <c r="AM104" s="87"/>
      <c r="AN104" s="87"/>
      <c r="AO104" s="87"/>
      <c r="AP104" s="87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0"/>
        <v>0</v>
      </c>
      <c r="U105" s="19" t="b">
        <f t="shared" si="21"/>
        <v>0</v>
      </c>
      <c r="V105" s="19" t="b">
        <f t="shared" ca="1" si="22"/>
        <v>0</v>
      </c>
      <c r="AI105" s="59"/>
      <c r="AJ105" s="70"/>
      <c r="AK105" s="100"/>
      <c r="AL105" s="87"/>
      <c r="AM105" s="87"/>
      <c r="AN105" s="87"/>
      <c r="AO105" s="87"/>
      <c r="AP105" s="87"/>
    </row>
  </sheetData>
  <phoneticPr fontId="2"/>
  <conditionalFormatting sqref="B2:C2">
    <cfRule type="expression" dxfId="165" priority="146">
      <formula>ISERROR(B2)</formula>
    </cfRule>
  </conditionalFormatting>
  <conditionalFormatting sqref="B6:B105">
    <cfRule type="expression" dxfId="164" priority="143">
      <formula>COUNTIF(FIELD_NAME,B6)&gt;1</formula>
    </cfRule>
    <cfRule type="expression" dxfId="163" priority="144">
      <formula>AND($B6&lt;&gt;"",ISNA(MATCH($B6,項目リスト,0)))</formula>
    </cfRule>
  </conditionalFormatting>
  <conditionalFormatting sqref="B6">
    <cfRule type="expression" dxfId="162" priority="138">
      <formula>$AI$6="N/A"</formula>
    </cfRule>
  </conditionalFormatting>
  <conditionalFormatting sqref="D1">
    <cfRule type="cellIs" dxfId="161" priority="127" operator="greaterThan">
      <formula>0</formula>
    </cfRule>
  </conditionalFormatting>
  <conditionalFormatting sqref="L8:P8">
    <cfRule type="expression" dxfId="160" priority="158">
      <formula>Y8</formula>
    </cfRule>
    <cfRule type="expression" dxfId="159" priority="159">
      <formula>Y7</formula>
    </cfRule>
  </conditionalFormatting>
  <conditionalFormatting sqref="L13:P22">
    <cfRule type="expression" dxfId="158" priority="90">
      <formula>Y13</formula>
    </cfRule>
    <cfRule type="expression" dxfId="157" priority="91">
      <formula>$AD13</formula>
    </cfRule>
  </conditionalFormatting>
  <conditionalFormatting sqref="L8">
    <cfRule type="expression" dxfId="156" priority="157">
      <formula>$AG$7</formula>
    </cfRule>
  </conditionalFormatting>
  <conditionalFormatting sqref="L55:P64">
    <cfRule type="expression" dxfId="155" priority="23">
      <formula>Y55</formula>
    </cfRule>
    <cfRule type="expression" dxfId="154" priority="24">
      <formula>$AD55</formula>
    </cfRule>
  </conditionalFormatting>
  <conditionalFormatting sqref="L43:P44">
    <cfRule type="expression" dxfId="153" priority="14">
      <formula>Y42</formula>
    </cfRule>
  </conditionalFormatting>
  <conditionalFormatting sqref="L43:P43">
    <cfRule type="expression" dxfId="152" priority="12">
      <formula>$AD42</formula>
    </cfRule>
    <cfRule type="expression" dxfId="151" priority="161">
      <formula>Y41</formula>
    </cfRule>
  </conditionalFormatting>
  <conditionalFormatting sqref="L26">
    <cfRule type="expression" dxfId="150" priority="162">
      <formula>X28</formula>
    </cfRule>
    <cfRule type="expression" dxfId="149" priority="163">
      <formula>$AD27</formula>
    </cfRule>
  </conditionalFormatting>
  <conditionalFormatting sqref="L43">
    <cfRule type="expression" dxfId="148" priority="13">
      <formula>$AD41</formula>
    </cfRule>
  </conditionalFormatting>
  <conditionalFormatting sqref="L28:P29 L33:P34 L38:P39 L48:P49 L43:P44">
    <cfRule type="expression" dxfId="138" priority="164">
      <formula>Y27</formula>
    </cfRule>
  </conditionalFormatting>
  <conditionalFormatting sqref="L29:P29 L34:P34 L39:P39 L49:P49">
    <cfRule type="expression" dxfId="139" priority="167">
      <formula>$AD27</formula>
    </cfRule>
    <cfRule type="expression" dxfId="140" priority="168">
      <formula>Y26</formula>
    </cfRule>
  </conditionalFormatting>
  <conditionalFormatting sqref="L28 L33 L38 L48 L43">
    <cfRule type="expression" dxfId="147" priority="169">
      <formula>$AD26</formula>
    </cfRule>
  </conditionalFormatting>
  <conditionalFormatting sqref="L31 L36 L41 L46">
    <cfRule type="expression" dxfId="146" priority="170">
      <formula>X33</formula>
    </cfRule>
    <cfRule type="expression" dxfId="145" priority="171">
      <formula>$AD33</formula>
    </cfRule>
  </conditionalFormatting>
  <conditionalFormatting sqref="L44:P44">
    <cfRule type="expression" dxfId="144" priority="172">
      <formula>$AD42</formula>
    </cfRule>
    <cfRule type="expression" dxfId="143" priority="173">
      <formula>Y41</formula>
    </cfRule>
  </conditionalFormatting>
  <conditionalFormatting sqref="L28:P28 L33:P33 L38:P38 L43:P43 L48:P48">
    <cfRule type="expression" dxfId="142" priority="11">
      <formula>$AD27</formula>
    </cfRule>
    <cfRule type="expression" dxfId="141" priority="160">
      <formula>Y26</formula>
    </cfRule>
  </conditionalFormatting>
  <conditionalFormatting sqref="K56">
    <cfRule type="expression" dxfId="137" priority="9">
      <formula>X56</formula>
    </cfRule>
    <cfRule type="expression" dxfId="136" priority="10">
      <formula>$AD56</formula>
    </cfRule>
  </conditionalFormatting>
  <conditionalFormatting sqref="K58">
    <cfRule type="expression" dxfId="135" priority="7">
      <formula>X58</formula>
    </cfRule>
    <cfRule type="expression" dxfId="134" priority="8">
      <formula>$AD58</formula>
    </cfRule>
  </conditionalFormatting>
  <conditionalFormatting sqref="K60">
    <cfRule type="expression" dxfId="133" priority="5">
      <formula>X60</formula>
    </cfRule>
    <cfRule type="expression" dxfId="132" priority="6">
      <formula>$AD60</formula>
    </cfRule>
  </conditionalFormatting>
  <conditionalFormatting sqref="K62">
    <cfRule type="expression" dxfId="131" priority="3">
      <formula>X62</formula>
    </cfRule>
    <cfRule type="expression" dxfId="130" priority="4">
      <formula>$AD62</formula>
    </cfRule>
  </conditionalFormatting>
  <conditionalFormatting sqref="K64">
    <cfRule type="expression" dxfId="129" priority="1">
      <formula>X64</formula>
    </cfRule>
    <cfRule type="expression" dxfId="128" priority="2">
      <formula>$AD64</formula>
    </cfRule>
  </conditionalFormatting>
  <dataValidations count="16">
    <dataValidation imeMode="on" allowBlank="1" showInputMessage="1" showErrorMessage="1" sqref="K12 A5 A1:A2 E2 K7 F6:H105 K54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 L43:P43 L48:P48 L33:P33 L38:P38 L28:P28 L55:P55 L57:P57 L59:P59 L61:P61 L63:P63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  <dataValidation type="list" allowBlank="1" showInputMessage="1" showErrorMessage="1" sqref="L26 L31 L36 L41 L46" xr:uid="{AEAF8842-E34A-4D00-862A-658966EF398B}">
      <formula1>TABLEリスト</formula1>
    </dataValidation>
    <dataValidation type="list" allowBlank="1" showInputMessage="1" showErrorMessage="1" sqref="L29:P29" xr:uid="{AC9D560D-984E-48B0-890B-F98F9502D102}">
      <formula1>FK_FIELD_1</formula1>
    </dataValidation>
    <dataValidation type="list" allowBlank="1" showInputMessage="1" showErrorMessage="1" sqref="L34:P34" xr:uid="{A4A1CE34-2A1D-419F-8AC9-1F0D949466B0}">
      <formula1>FK_FIELD_2</formula1>
    </dataValidation>
    <dataValidation type="list" allowBlank="1" showInputMessage="1" showErrorMessage="1" sqref="L39:P39" xr:uid="{EE0CB158-2F28-4B39-B2AB-F94F72704E43}">
      <formula1>FK_FIELD_3</formula1>
    </dataValidation>
    <dataValidation type="list" allowBlank="1" showInputMessage="1" showErrorMessage="1" sqref="L44:P44" xr:uid="{8ADB48E4-592E-4150-9879-27E24359FFF0}">
      <formula1>FK_FIELD_4</formula1>
    </dataValidation>
    <dataValidation type="list" allowBlank="1" showInputMessage="1" showErrorMessage="1" sqref="L49:P49" xr:uid="{6A2DFBF2-E136-4BE1-8068-9B2922FCD72B}">
      <formula1>FK_FIELD_5</formula1>
    </dataValidation>
    <dataValidation type="list" allowBlank="1" showInputMessage="1" showErrorMessage="1" sqref="N26 P26 N31 P31 N36 P36 N41 P41 N46 P46" xr:uid="{A82DF3A0-9D85-44AE-AF00-1791FD13BA50}">
      <formula1>FK_OPTION</formula1>
    </dataValidation>
    <dataValidation type="whole" imeMode="off" operator="equal" allowBlank="1" showInputMessage="1" showErrorMessage="1" error="Unique indexの場合に1を入力" sqref="K56 K58 K60 K62 K64" xr:uid="{3FF22234-725F-4F41-8F7E-F03073F5CB65}">
      <formula1>1</formula1>
    </dataValidation>
    <dataValidation type="whole" imeMode="off" operator="equal" allowBlank="1" showInputMessage="1" showErrorMessage="1" error="DESC指定の場合に‐1を入力" sqref="L56:P56 L58:P58 L60:P60 L62:P62 L64:P64" xr:uid="{C6205513-5BFE-4D37-AE3A-8F464525E0E2}">
      <formula1>-1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EACE7-4122-4AAE-B5AC-73332167E39C}">
  <sheetPr codeName="template1">
    <tabColor rgb="FFFFFFFF"/>
  </sheetPr>
  <dimension ref="A1:AP105"/>
  <sheetViews>
    <sheetView showGridLines="0" topLeftCell="E1" workbookViewId="0">
      <pane ySplit="5" topLeftCell="A53" activePane="bottomLeft" state="frozen"/>
      <selection pane="bottomLeft" activeCell="K58" sqref="K58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2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2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95">
        <v>1</v>
      </c>
      <c r="E2" s="89" t="s">
        <v>158</v>
      </c>
      <c r="F2" s="90" t="s">
        <v>168</v>
      </c>
      <c r="G2" s="40"/>
      <c r="AF2" s="7" t="s">
        <v>17</v>
      </c>
      <c r="AG2" s="7" t="b">
        <f>OR(ISERROR(TABLE_JP),ISERROR(TABLE_EN))</f>
        <v>0</v>
      </c>
    </row>
    <row r="3" spans="1:42">
      <c r="AE3" s="7" t="s">
        <v>8</v>
      </c>
      <c r="AF3" s="7" t="s">
        <v>25</v>
      </c>
      <c r="AG3" s="7" t="b">
        <f>AI6="N/A"</f>
        <v>0</v>
      </c>
      <c r="AI3" s="7" t="s">
        <v>180</v>
      </c>
    </row>
    <row r="4" spans="1:42" ht="20">
      <c r="A4" s="10" t="s">
        <v>45</v>
      </c>
      <c r="K4" s="10" t="s">
        <v>46</v>
      </c>
      <c r="T4" s="69" t="s">
        <v>150</v>
      </c>
      <c r="AF4" s="7" t="s">
        <v>19</v>
      </c>
      <c r="AG4" s="7" t="b">
        <f ca="1">OR(T6:T105)</f>
        <v>0</v>
      </c>
      <c r="AI4" s="101" t="s">
        <v>186</v>
      </c>
      <c r="AJ4" s="101" t="s">
        <v>187</v>
      </c>
      <c r="AK4" s="101" t="s">
        <v>8</v>
      </c>
      <c r="AL4" s="101" t="s">
        <v>181</v>
      </c>
      <c r="AM4" s="101" t="s">
        <v>182</v>
      </c>
      <c r="AN4" s="101" t="s">
        <v>183</v>
      </c>
      <c r="AO4" s="101" t="s">
        <v>184</v>
      </c>
      <c r="AP4" s="101" t="s">
        <v>185</v>
      </c>
    </row>
    <row r="5" spans="1:42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I5" s="59">
        <f>COUNTA(AI6:AI105)</f>
        <v>5</v>
      </c>
      <c r="AJ5" s="70">
        <f>COUNTA(AJ6:AJ105)</f>
        <v>4</v>
      </c>
      <c r="AK5" s="100">
        <f>COUNTA(AK6:AK105)</f>
        <v>2</v>
      </c>
      <c r="AL5" s="87" cm="1">
        <f t="array" aca="1" ref="AL5" ca="1">IFERROR(INDIRECT($L$26&amp;"!R5C35",FALSE),1)</f>
        <v>1</v>
      </c>
      <c r="AM5" s="87" cm="1">
        <f t="array" aca="1" ref="AM5" ca="1">IFERROR(INDIRECT($L$31&amp;"!R5C35",FALSE),1)</f>
        <v>1</v>
      </c>
      <c r="AN5" s="87" cm="1">
        <f t="array" aca="1" ref="AN5" ca="1">IFERROR(INDIRECT($L$36&amp;"!R5C35",FALSE),1)</f>
        <v>1</v>
      </c>
      <c r="AO5" s="87" cm="1">
        <f t="array" aca="1" ref="AO5" ca="1">IFERROR(INDIRECT($L$41&amp;"!R5C35",FALSE),1)</f>
        <v>1</v>
      </c>
      <c r="AP5" s="87" cm="1">
        <f t="array" aca="1" ref="AP5" ca="1">IFERROR(INDIRECT($L$46&amp;"!R5C35",FALSE),1)</f>
        <v>1</v>
      </c>
    </row>
    <row r="6" spans="1:42" ht="15" customHeight="1">
      <c r="A6" s="47">
        <v>1</v>
      </c>
      <c r="B6" s="41" t="s">
        <v>32</v>
      </c>
      <c r="C6" s="34" t="str">
        <f ca="1">IFERROR(VLOOKUP(B6,項目!DATA_AREA,2,FALSE),"")</f>
        <v>customer_id</v>
      </c>
      <c r="D6" s="34" t="str">
        <f ca="1">IFERROR(VLOOKUP(B6,項目!DATA_AREA,3,FALSE),"")</f>
        <v>varchar(3)</v>
      </c>
      <c r="E6" s="50">
        <v>1</v>
      </c>
      <c r="F6" s="44"/>
      <c r="G6" s="37" t="str">
        <f ca="1">IFERROR(VLOOKUP(B6,項目!DATA_AREA,4,FALSE),"")</f>
        <v>(LENGTH(customer_id) = 3)</v>
      </c>
      <c r="H6" s="11" t="b">
        <f ca="1">IFERROR(VLOOKUP(B6,項目!DATA_AREA,5,FALSE),"")</f>
        <v>0</v>
      </c>
      <c r="K6" s="53" t="s">
        <v>178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151</v>
      </c>
      <c r="AF6" s="7" t="s">
        <v>24</v>
      </c>
      <c r="AG6" s="7" t="b">
        <f ca="1">OR(V6:V105)</f>
        <v>0</v>
      </c>
      <c r="AI6" s="59" t="s">
        <v>171</v>
      </c>
      <c r="AJ6" s="70" t="s">
        <v>171</v>
      </c>
      <c r="AK6" s="100" t="s">
        <v>146</v>
      </c>
      <c r="AL6" s="87" t="str" cm="1">
        <f t="array" aca="1" ref="AL6" ca="1">IFERROR(OFFSET(INDIRECT($L$26&amp;"!R6C35",FALSE),,,AL5,),"N/A")</f>
        <v>N/A</v>
      </c>
      <c r="AM6" s="87" t="str" cm="1">
        <f t="array" aca="1" ref="AM6" ca="1">IFERROR(OFFSET(INDIRECT($L$31&amp;"!R6C35",FALSE),,,AM5,),"N/A")</f>
        <v>N/A</v>
      </c>
      <c r="AN6" s="87" t="str" cm="1">
        <f t="array" aca="1" ref="AN6" ca="1">IFERROR(OFFSET(INDIRECT($L$36&amp;"!R6C35",FALSE),,,AN5,),"N/A")</f>
        <v>N/A</v>
      </c>
      <c r="AO6" s="87" t="str" cm="1">
        <f t="array" aca="1" ref="AO6" ca="1">IFERROR(OFFSET(INDIRECT($L$41&amp;"!R6C35",FALSE),,,AO5,),"N/A")</f>
        <v>N/A</v>
      </c>
      <c r="AP6" s="87" t="str" cm="1">
        <f t="array" aca="1" ref="AP6" ca="1">IFERROR(OFFSET(INDIRECT($L$46&amp;"!R6C35",FALSE),,,AP5,),"N/A")</f>
        <v>N/A</v>
      </c>
    </row>
    <row r="7" spans="1:42">
      <c r="A7" s="48">
        <v>2</v>
      </c>
      <c r="B7" s="42" t="s">
        <v>47</v>
      </c>
      <c r="C7" s="35" t="str">
        <f ca="1">IFERROR(VLOOKUP(B7,項目!DATA_AREA,2,FALSE),"")</f>
        <v>customer_name</v>
      </c>
      <c r="D7" s="35" t="str">
        <f ca="1">IFERROR(VLOOKUP(B7,項目!DATA_AREA,3,FALSE),"")</f>
        <v>varchar(100)</v>
      </c>
      <c r="E7" s="51">
        <v>1</v>
      </c>
      <c r="F7" s="45" t="s">
        <v>169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3">COUNTIF(FIELD_NAME,B7)&gt;1</f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I7" s="59" t="s">
        <v>47</v>
      </c>
      <c r="AJ7" s="70" t="s">
        <v>47</v>
      </c>
      <c r="AK7" s="100" t="s">
        <v>175</v>
      </c>
      <c r="AL7" s="87"/>
      <c r="AM7" s="87"/>
      <c r="AN7" s="87"/>
      <c r="AO7" s="87"/>
      <c r="AP7" s="87"/>
    </row>
    <row r="8" spans="1:42">
      <c r="A8" s="48">
        <v>3</v>
      </c>
      <c r="B8" s="42" t="s">
        <v>31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1" t="s">
        <v>14</v>
      </c>
      <c r="L8" s="72" t="s">
        <v>32</v>
      </c>
      <c r="M8" s="73"/>
      <c r="N8" s="73"/>
      <c r="O8" s="73"/>
      <c r="P8" s="74"/>
      <c r="T8" s="19" t="b">
        <f t="shared" ca="1" si="0"/>
        <v>0</v>
      </c>
      <c r="U8" s="19" t="b">
        <f t="shared" si="3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31</v>
      </c>
      <c r="AJ8" s="70" t="s">
        <v>51</v>
      </c>
      <c r="AK8" s="100"/>
      <c r="AL8" s="87"/>
      <c r="AM8" s="87"/>
      <c r="AN8" s="87"/>
      <c r="AO8" s="87"/>
      <c r="AP8" s="87"/>
    </row>
    <row r="9" spans="1:42">
      <c r="A9" s="48">
        <v>4</v>
      </c>
      <c r="B9" s="42" t="s">
        <v>51</v>
      </c>
      <c r="C9" s="35" t="str">
        <f ca="1">IFERROR(VLOOKUP(B9,項目!DATA_AREA,2,FALSE),"")</f>
        <v>customer_type</v>
      </c>
      <c r="D9" s="35" t="str">
        <f ca="1">IFERROR(VLOOKUP(B9,項目!DATA_AREA,3,FALSE),"")</f>
        <v>customer_type</v>
      </c>
      <c r="E9" s="51">
        <v>1</v>
      </c>
      <c r="F9" s="45"/>
      <c r="G9" s="38">
        <f ca="1">IFERROR(VLOOKUP(B9,項目!DATA_AREA,4,FALSE),"")</f>
        <v>0</v>
      </c>
      <c r="H9" s="12" t="b">
        <f ca="1">IFERROR(VLOOKUP(B9,項目!DATA_AREA,5,FALSE),"")</f>
        <v>1</v>
      </c>
      <c r="T9" s="19" t="b">
        <f t="shared" ca="1" si="0"/>
        <v>0</v>
      </c>
      <c r="U9" s="19" t="b">
        <f t="shared" si="3"/>
        <v>0</v>
      </c>
      <c r="V9" s="19" t="b">
        <f t="shared" ref="V9:V72" ca="1" si="4">AND(E9="",H9&lt;&gt;"",H9)</f>
        <v>0</v>
      </c>
      <c r="AF9" s="7" t="s">
        <v>23</v>
      </c>
      <c r="AG9" s="7" t="b">
        <f>OR(Y8:AC8)</f>
        <v>0</v>
      </c>
      <c r="AI9" s="59" t="s">
        <v>51</v>
      </c>
      <c r="AJ9" s="70" t="s">
        <v>21</v>
      </c>
      <c r="AK9" s="100"/>
      <c r="AL9" s="87"/>
      <c r="AM9" s="87"/>
      <c r="AN9" s="87"/>
      <c r="AO9" s="87"/>
      <c r="AP9" s="87"/>
    </row>
    <row r="10" spans="1:42">
      <c r="A10" s="48">
        <v>5</v>
      </c>
      <c r="B10" s="42" t="s">
        <v>21</v>
      </c>
      <c r="C10" s="35" t="str">
        <f ca="1">IFERROR(VLOOKUP(B10,項目!DATA_AREA,2,FALSE),"")</f>
        <v>registration_date</v>
      </c>
      <c r="D10" s="35" t="str">
        <f ca="1">IFERROR(VLOOKUP(B10,項目!DATA_AREA,3,FALSE),"")</f>
        <v>date</v>
      </c>
      <c r="E10" s="51">
        <v>1</v>
      </c>
      <c r="F10" s="45" t="s">
        <v>170</v>
      </c>
      <c r="G10" s="38">
        <f ca="1">IFERROR(VLOOKUP(B10,項目!DATA_AREA,4,FALSE),"")</f>
        <v>0</v>
      </c>
      <c r="H10" s="12" t="b">
        <f ca="1">IFERROR(VLOOKUP(B10,項目!DATA_AREA,5,FALSE),"")</f>
        <v>0</v>
      </c>
      <c r="T10" s="19" t="b">
        <f t="shared" ca="1" si="0"/>
        <v>0</v>
      </c>
      <c r="U10" s="19" t="b">
        <f t="shared" si="3"/>
        <v>0</v>
      </c>
      <c r="V10" s="19" t="b">
        <f t="shared" ca="1" si="4"/>
        <v>0</v>
      </c>
      <c r="AE10" s="7" t="s">
        <v>49</v>
      </c>
      <c r="AF10" s="7" t="s">
        <v>154</v>
      </c>
      <c r="AG10" s="7" t="b">
        <f ca="1">OR($Y$13:$AC$22)</f>
        <v>0</v>
      </c>
      <c r="AI10" s="59" t="s">
        <v>21</v>
      </c>
      <c r="AJ10" s="70"/>
      <c r="AK10" s="100"/>
      <c r="AL10" s="87"/>
      <c r="AM10" s="87"/>
      <c r="AN10" s="87"/>
      <c r="AO10" s="87"/>
      <c r="AP10" s="87"/>
    </row>
    <row r="11" spans="1:42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63" t="s">
        <v>50</v>
      </c>
      <c r="T11" s="19" t="b">
        <f t="shared" ca="1" si="0"/>
        <v>0</v>
      </c>
      <c r="U11" s="19" t="b">
        <f t="shared" si="3"/>
        <v>0</v>
      </c>
      <c r="V11" s="19" t="b">
        <f t="shared" ca="1" si="4"/>
        <v>0</v>
      </c>
      <c r="AF11" s="7" t="s">
        <v>153</v>
      </c>
      <c r="AG11" s="7" t="b">
        <f>OR($AD$13:$AD$22)</f>
        <v>0</v>
      </c>
      <c r="AI11" s="59"/>
      <c r="AJ11" s="70"/>
      <c r="AK11" s="100"/>
      <c r="AL11" s="87"/>
      <c r="AM11" s="87"/>
      <c r="AN11" s="87"/>
      <c r="AO11" s="87"/>
      <c r="AP11" s="87"/>
    </row>
    <row r="12" spans="1:42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3"/>
        <v>0</v>
      </c>
      <c r="V12" s="19" t="b">
        <f t="shared" ca="1" si="4"/>
        <v>0</v>
      </c>
      <c r="X12" s="69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I12" s="59"/>
      <c r="AJ12" s="70"/>
      <c r="AK12" s="100"/>
      <c r="AL12" s="87"/>
      <c r="AM12" s="87"/>
      <c r="AN12" s="87"/>
      <c r="AO12" s="87"/>
      <c r="AP12" s="87"/>
    </row>
    <row r="13" spans="1:42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 t="s">
        <v>47</v>
      </c>
      <c r="M13" s="77" t="s">
        <v>31</v>
      </c>
      <c r="N13" s="77"/>
      <c r="O13" s="77"/>
      <c r="P13" s="78"/>
      <c r="R13" s="87" t="str">
        <f>_xlfn.CONCAT(L13:P13)</f>
        <v>得意先担当者名</v>
      </c>
      <c r="T13" s="19" t="b">
        <f t="shared" ca="1" si="0"/>
        <v>0</v>
      </c>
      <c r="U13" s="19" t="b">
        <f t="shared" si="3"/>
        <v>0</v>
      </c>
      <c r="V13" s="19" t="b">
        <f t="shared" ca="1" si="4"/>
        <v>0</v>
      </c>
      <c r="X13" s="7" t="s">
        <v>155</v>
      </c>
      <c r="Y13" s="19" t="b">
        <f t="shared" ref="Y13:Y22" ca="1" si="5">OR(AND(L13&lt;&gt;"",ISNA(MATCH(L13,FIELDリスト,0))),COUNTIF($L13:$P13,L13)&gt;1)</f>
        <v>0</v>
      </c>
      <c r="Z13" s="19" t="b">
        <f t="shared" ref="Z13:Z22" ca="1" si="6">OR(AND(M13&lt;&gt;"",ISNA(MATCH(M13,FIELDリスト,0))),COUNTIF($L13:$P13,M13)&gt;1)</f>
        <v>0</v>
      </c>
      <c r="AA13" s="19" t="b">
        <f t="shared" ref="AA13:AA22" ca="1" si="7">OR(AND(N13&lt;&gt;"",ISNA(MATCH(N13,FIELDリスト,0))),COUNTIF($L13:$P13,N13)&gt;1)</f>
        <v>0</v>
      </c>
      <c r="AB13" s="19" t="b">
        <f t="shared" ref="AB13:AB22" ca="1" si="8">OR(AND(O13&lt;&gt;"",ISNA(MATCH(O13,FIELDリスト,0))),COUNTIF($L13:$P13,O13)&gt;1)</f>
        <v>0</v>
      </c>
      <c r="AC13" s="19" t="b">
        <f t="shared" ref="AC13:AC22" ca="1" si="9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I13" s="59"/>
      <c r="AJ13" s="70"/>
      <c r="AK13" s="100"/>
      <c r="AL13" s="87"/>
      <c r="AM13" s="87"/>
      <c r="AN13" s="87"/>
      <c r="AO13" s="87"/>
      <c r="AP13" s="87"/>
    </row>
    <row r="14" spans="1:42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 t="s">
        <v>21</v>
      </c>
      <c r="M14" s="81"/>
      <c r="N14" s="81"/>
      <c r="O14" s="81"/>
      <c r="P14" s="82"/>
      <c r="R14" s="87" t="str">
        <f t="shared" ref="R14:R22" si="10">_xlfn.CONCAT(L14:P14)</f>
        <v>登録日</v>
      </c>
      <c r="T14" s="19" t="b">
        <f t="shared" ca="1" si="0"/>
        <v>0</v>
      </c>
      <c r="U14" s="19" t="b">
        <f t="shared" si="3"/>
        <v>0</v>
      </c>
      <c r="V14" s="19" t="b">
        <f t="shared" ca="1" si="4"/>
        <v>0</v>
      </c>
      <c r="X14" s="7" t="s">
        <v>156</v>
      </c>
      <c r="Y14" s="19" t="b">
        <f t="shared" ca="1" si="5"/>
        <v>0</v>
      </c>
      <c r="Z14" s="19" t="b">
        <f t="shared" ca="1" si="6"/>
        <v>0</v>
      </c>
      <c r="AA14" s="19" t="b">
        <f t="shared" ca="1" si="7"/>
        <v>0</v>
      </c>
      <c r="AB14" s="19" t="b">
        <f t="shared" ca="1" si="8"/>
        <v>0</v>
      </c>
      <c r="AC14" s="19" t="b">
        <f t="shared" ca="1" si="9"/>
        <v>0</v>
      </c>
      <c r="AD14" s="19" t="b">
        <f t="shared" ref="AD14:AD22" si="11">AND(R14&lt;&gt;"",COUNTIF(R$13:R$22,R14)&gt;1)</f>
        <v>0</v>
      </c>
      <c r="AF14" s="7" t="s">
        <v>195</v>
      </c>
      <c r="AG14" s="7" t="b">
        <f>OR($AD$26,$AD$31,$AD$36,$AD$41,$AD$46)</f>
        <v>0</v>
      </c>
      <c r="AI14" s="59"/>
      <c r="AJ14" s="70"/>
      <c r="AK14" s="100"/>
      <c r="AL14" s="87"/>
      <c r="AM14" s="87"/>
      <c r="AN14" s="87"/>
      <c r="AO14" s="87"/>
      <c r="AP14" s="87"/>
    </row>
    <row r="15" spans="1:42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0"/>
        <v/>
      </c>
      <c r="T15" s="19" t="b">
        <f t="shared" ca="1" si="0"/>
        <v>0</v>
      </c>
      <c r="U15" s="19" t="b">
        <f t="shared" si="3"/>
        <v>0</v>
      </c>
      <c r="V15" s="19" t="b">
        <f t="shared" ca="1" si="4"/>
        <v>0</v>
      </c>
      <c r="Y15" s="19" t="b">
        <f t="shared" ca="1" si="5"/>
        <v>0</v>
      </c>
      <c r="Z15" s="19" t="b">
        <f t="shared" ca="1" si="6"/>
        <v>0</v>
      </c>
      <c r="AA15" s="19" t="b">
        <f t="shared" ca="1" si="7"/>
        <v>0</v>
      </c>
      <c r="AB15" s="19" t="b">
        <f t="shared" ca="1" si="8"/>
        <v>0</v>
      </c>
      <c r="AC15" s="19" t="b">
        <f t="shared" ca="1" si="9"/>
        <v>0</v>
      </c>
      <c r="AD15" s="19" t="b">
        <f t="shared" si="11"/>
        <v>0</v>
      </c>
      <c r="AF15" s="7" t="s">
        <v>153</v>
      </c>
      <c r="AG15" s="7" t="b">
        <f>OR($AD$27,$AD$32,$AD$37,$AD$42,$AD$47)</f>
        <v>0</v>
      </c>
      <c r="AI15" s="59"/>
      <c r="AJ15" s="70"/>
      <c r="AK15" s="100"/>
      <c r="AL15" s="87"/>
      <c r="AM15" s="87"/>
      <c r="AN15" s="87"/>
      <c r="AO15" s="87"/>
      <c r="AP15" s="87"/>
    </row>
    <row r="16" spans="1:42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0"/>
        <v/>
      </c>
      <c r="T16" s="19" t="b">
        <f t="shared" ca="1" si="0"/>
        <v>0</v>
      </c>
      <c r="U16" s="19" t="b">
        <f t="shared" si="3"/>
        <v>0</v>
      </c>
      <c r="V16" s="19" t="b">
        <f t="shared" ca="1" si="4"/>
        <v>0</v>
      </c>
      <c r="Y16" s="19" t="b">
        <f t="shared" ca="1" si="5"/>
        <v>0</v>
      </c>
      <c r="Z16" s="19" t="b">
        <f t="shared" ca="1" si="6"/>
        <v>0</v>
      </c>
      <c r="AA16" s="19" t="b">
        <f t="shared" ca="1" si="7"/>
        <v>0</v>
      </c>
      <c r="AB16" s="19" t="b">
        <f t="shared" ca="1" si="8"/>
        <v>0</v>
      </c>
      <c r="AC16" s="19" t="b">
        <f t="shared" ca="1" si="9"/>
        <v>0</v>
      </c>
      <c r="AD16" s="19" t="b">
        <f t="shared" si="11"/>
        <v>0</v>
      </c>
      <c r="AE16" s="7" t="s">
        <v>13</v>
      </c>
      <c r="AF16" s="7" t="s">
        <v>154</v>
      </c>
      <c r="AG16" s="7" t="b">
        <f ca="1">OR($Y$55:$AC$64)</f>
        <v>0</v>
      </c>
      <c r="AI16" s="59"/>
      <c r="AJ16" s="70"/>
      <c r="AK16" s="100"/>
      <c r="AL16" s="87"/>
      <c r="AM16" s="87"/>
      <c r="AN16" s="87"/>
      <c r="AO16" s="87"/>
      <c r="AP16" s="87"/>
    </row>
    <row r="17" spans="1:42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0"/>
        <v/>
      </c>
      <c r="T17" s="19" t="b">
        <f t="shared" ca="1" si="0"/>
        <v>0</v>
      </c>
      <c r="U17" s="19" t="b">
        <f t="shared" si="3"/>
        <v>0</v>
      </c>
      <c r="V17" s="19" t="b">
        <f t="shared" ca="1" si="4"/>
        <v>0</v>
      </c>
      <c r="Y17" s="19" t="b">
        <f t="shared" ca="1" si="5"/>
        <v>0</v>
      </c>
      <c r="Z17" s="19" t="b">
        <f t="shared" ca="1" si="6"/>
        <v>0</v>
      </c>
      <c r="AA17" s="19" t="b">
        <f t="shared" ca="1" si="7"/>
        <v>0</v>
      </c>
      <c r="AB17" s="19" t="b">
        <f t="shared" ca="1" si="8"/>
        <v>0</v>
      </c>
      <c r="AC17" s="19" t="b">
        <f t="shared" ca="1" si="9"/>
        <v>0</v>
      </c>
      <c r="AD17" s="19" t="b">
        <f t="shared" si="11"/>
        <v>0</v>
      </c>
      <c r="AF17" s="7" t="s">
        <v>153</v>
      </c>
      <c r="AG17" s="7" t="b">
        <f>OR($AD$55:$AD$64)</f>
        <v>0</v>
      </c>
      <c r="AI17" s="59"/>
      <c r="AJ17" s="70"/>
      <c r="AK17" s="100"/>
      <c r="AL17" s="87"/>
      <c r="AM17" s="87"/>
      <c r="AN17" s="87"/>
      <c r="AO17" s="87"/>
      <c r="AP17" s="87"/>
    </row>
    <row r="18" spans="1:42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0"/>
        <v/>
      </c>
      <c r="T18" s="19" t="b">
        <f t="shared" ca="1" si="0"/>
        <v>0</v>
      </c>
      <c r="U18" s="19" t="b">
        <f t="shared" si="3"/>
        <v>0</v>
      </c>
      <c r="V18" s="19" t="b">
        <f t="shared" ca="1" si="4"/>
        <v>0</v>
      </c>
      <c r="Y18" s="19" t="b">
        <f t="shared" ca="1" si="5"/>
        <v>0</v>
      </c>
      <c r="Z18" s="19" t="b">
        <f t="shared" ca="1" si="6"/>
        <v>0</v>
      </c>
      <c r="AA18" s="19" t="b">
        <f t="shared" ca="1" si="7"/>
        <v>0</v>
      </c>
      <c r="AB18" s="19" t="b">
        <f t="shared" ca="1" si="8"/>
        <v>0</v>
      </c>
      <c r="AC18" s="19" t="b">
        <f t="shared" ca="1" si="9"/>
        <v>0</v>
      </c>
      <c r="AD18" s="19" t="b">
        <f t="shared" si="11"/>
        <v>0</v>
      </c>
      <c r="AI18" s="59"/>
      <c r="AJ18" s="70"/>
      <c r="AK18" s="100"/>
      <c r="AL18" s="87"/>
      <c r="AM18" s="87"/>
      <c r="AN18" s="87"/>
      <c r="AO18" s="87"/>
      <c r="AP18" s="87"/>
    </row>
    <row r="19" spans="1:42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0"/>
        <v/>
      </c>
      <c r="T19" s="19" t="b">
        <f t="shared" ca="1" si="0"/>
        <v>0</v>
      </c>
      <c r="U19" s="19" t="b">
        <f t="shared" si="3"/>
        <v>0</v>
      </c>
      <c r="V19" s="19" t="b">
        <f t="shared" ca="1" si="4"/>
        <v>0</v>
      </c>
      <c r="Y19" s="19" t="b">
        <f t="shared" ca="1" si="5"/>
        <v>0</v>
      </c>
      <c r="Z19" s="19" t="b">
        <f t="shared" ca="1" si="6"/>
        <v>0</v>
      </c>
      <c r="AA19" s="19" t="b">
        <f t="shared" ca="1" si="7"/>
        <v>0</v>
      </c>
      <c r="AB19" s="19" t="b">
        <f t="shared" ca="1" si="8"/>
        <v>0</v>
      </c>
      <c r="AC19" s="19" t="b">
        <f t="shared" ca="1" si="9"/>
        <v>0</v>
      </c>
      <c r="AD19" s="19" t="b">
        <f t="shared" si="11"/>
        <v>0</v>
      </c>
      <c r="AI19" s="59"/>
      <c r="AJ19" s="70"/>
      <c r="AK19" s="100"/>
      <c r="AL19" s="87"/>
      <c r="AM19" s="87"/>
      <c r="AN19" s="87"/>
      <c r="AO19" s="87"/>
      <c r="AP19" s="87"/>
    </row>
    <row r="20" spans="1:42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0"/>
        <v/>
      </c>
      <c r="T20" s="19" t="b">
        <f t="shared" ca="1" si="0"/>
        <v>0</v>
      </c>
      <c r="U20" s="19" t="b">
        <f t="shared" si="3"/>
        <v>0</v>
      </c>
      <c r="V20" s="19" t="b">
        <f t="shared" ca="1" si="4"/>
        <v>0</v>
      </c>
      <c r="Y20" s="19" t="b">
        <f t="shared" ca="1" si="5"/>
        <v>0</v>
      </c>
      <c r="Z20" s="19" t="b">
        <f t="shared" ca="1" si="6"/>
        <v>0</v>
      </c>
      <c r="AA20" s="19" t="b">
        <f t="shared" ca="1" si="7"/>
        <v>0</v>
      </c>
      <c r="AB20" s="19" t="b">
        <f t="shared" ca="1" si="8"/>
        <v>0</v>
      </c>
      <c r="AC20" s="19" t="b">
        <f t="shared" ca="1" si="9"/>
        <v>0</v>
      </c>
      <c r="AD20" s="19" t="b">
        <f t="shared" si="11"/>
        <v>0</v>
      </c>
      <c r="AI20" s="59"/>
      <c r="AJ20" s="70"/>
      <c r="AK20" s="100"/>
      <c r="AL20" s="87"/>
      <c r="AM20" s="87"/>
      <c r="AN20" s="87"/>
      <c r="AO20" s="87"/>
      <c r="AP20" s="87"/>
    </row>
    <row r="21" spans="1:42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0"/>
        <v/>
      </c>
      <c r="T21" s="19" t="b">
        <f t="shared" ca="1" si="0"/>
        <v>0</v>
      </c>
      <c r="U21" s="19" t="b">
        <f t="shared" si="3"/>
        <v>0</v>
      </c>
      <c r="V21" s="19" t="b">
        <f t="shared" ca="1" si="4"/>
        <v>0</v>
      </c>
      <c r="Y21" s="19" t="b">
        <f t="shared" ca="1" si="5"/>
        <v>0</v>
      </c>
      <c r="Z21" s="19" t="b">
        <f t="shared" ca="1" si="6"/>
        <v>0</v>
      </c>
      <c r="AA21" s="19" t="b">
        <f t="shared" ca="1" si="7"/>
        <v>0</v>
      </c>
      <c r="AB21" s="19" t="b">
        <f t="shared" ca="1" si="8"/>
        <v>0</v>
      </c>
      <c r="AC21" s="19" t="b">
        <f t="shared" ca="1" si="9"/>
        <v>0</v>
      </c>
      <c r="AD21" s="19" t="b">
        <f t="shared" si="11"/>
        <v>0</v>
      </c>
      <c r="AI21" s="59"/>
      <c r="AJ21" s="70"/>
      <c r="AK21" s="100"/>
      <c r="AL21" s="87"/>
      <c r="AM21" s="87"/>
      <c r="AN21" s="87"/>
      <c r="AO21" s="87"/>
      <c r="AP21" s="87"/>
    </row>
    <row r="22" spans="1:42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0"/>
        <v/>
      </c>
      <c r="T22" s="19" t="b">
        <f t="shared" ca="1" si="0"/>
        <v>0</v>
      </c>
      <c r="U22" s="19" t="b">
        <f t="shared" si="3"/>
        <v>0</v>
      </c>
      <c r="V22" s="19" t="b">
        <f t="shared" ca="1" si="4"/>
        <v>0</v>
      </c>
      <c r="Y22" s="19" t="b">
        <f t="shared" ca="1" si="5"/>
        <v>0</v>
      </c>
      <c r="Z22" s="19" t="b">
        <f t="shared" ca="1" si="6"/>
        <v>0</v>
      </c>
      <c r="AA22" s="19" t="b">
        <f t="shared" ca="1" si="7"/>
        <v>0</v>
      </c>
      <c r="AB22" s="19" t="b">
        <f t="shared" ca="1" si="8"/>
        <v>0</v>
      </c>
      <c r="AC22" s="19" t="b">
        <f t="shared" ca="1" si="9"/>
        <v>0</v>
      </c>
      <c r="AD22" s="19" t="b">
        <f t="shared" si="11"/>
        <v>0</v>
      </c>
      <c r="AI22" s="59"/>
      <c r="AJ22" s="70"/>
      <c r="AK22" s="100"/>
      <c r="AL22" s="87"/>
      <c r="AM22" s="87"/>
      <c r="AN22" s="87"/>
      <c r="AO22" s="87"/>
      <c r="AP22" s="87"/>
    </row>
    <row r="23" spans="1:42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3"/>
        <v>0</v>
      </c>
      <c r="V23" s="19" t="b">
        <f t="shared" ca="1" si="4"/>
        <v>0</v>
      </c>
      <c r="AI23" s="59"/>
      <c r="AJ23" s="70"/>
      <c r="AK23" s="100"/>
      <c r="AL23" s="87"/>
      <c r="AM23" s="87"/>
      <c r="AN23" s="87"/>
      <c r="AO23" s="87"/>
      <c r="AP23" s="87"/>
    </row>
    <row r="24" spans="1:42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3"/>
        <v>0</v>
      </c>
      <c r="V24" s="19" t="b">
        <f t="shared" ca="1" si="4"/>
        <v>0</v>
      </c>
      <c r="X24" s="69" t="s">
        <v>192</v>
      </c>
      <c r="AI24" s="59"/>
      <c r="AJ24" s="70"/>
      <c r="AK24" s="100"/>
      <c r="AL24" s="87"/>
      <c r="AM24" s="87"/>
      <c r="AN24" s="87"/>
      <c r="AO24" s="87"/>
      <c r="AP24" s="87"/>
    </row>
    <row r="25" spans="1:42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T25" s="19" t="b">
        <f t="shared" ca="1" si="0"/>
        <v>0</v>
      </c>
      <c r="U25" s="19" t="b">
        <f t="shared" si="3"/>
        <v>0</v>
      </c>
      <c r="V25" s="19" t="b">
        <f t="shared" ca="1" si="4"/>
        <v>0</v>
      </c>
      <c r="X25" s="7" t="s">
        <v>193</v>
      </c>
      <c r="AD25" s="7" t="s">
        <v>195</v>
      </c>
      <c r="AI25" s="59"/>
      <c r="AJ25" s="70"/>
      <c r="AK25" s="100"/>
      <c r="AL25" s="87"/>
      <c r="AM25" s="87"/>
      <c r="AN25" s="87"/>
      <c r="AO25" s="87"/>
      <c r="AP25" s="87"/>
    </row>
    <row r="26" spans="1:42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8" t="s">
        <v>197</v>
      </c>
      <c r="L26" s="105"/>
      <c r="M26" s="109" t="s">
        <v>198</v>
      </c>
      <c r="N26" s="98"/>
      <c r="O26" s="109" t="s">
        <v>199</v>
      </c>
      <c r="P26" s="98"/>
      <c r="T26" s="19" t="b">
        <f t="shared" ca="1" si="0"/>
        <v>0</v>
      </c>
      <c r="U26" s="19" t="b">
        <f t="shared" si="3"/>
        <v>0</v>
      </c>
      <c r="V26" s="19" t="b">
        <f t="shared" ca="1" si="4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9"/>
      <c r="AJ26" s="70"/>
      <c r="AK26" s="100"/>
      <c r="AL26" s="87"/>
      <c r="AM26" s="87"/>
      <c r="AN26" s="87"/>
      <c r="AO26" s="87"/>
      <c r="AP26" s="87"/>
    </row>
    <row r="27" spans="1:42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104">
        <v>1</v>
      </c>
      <c r="L27" s="103">
        <v>1</v>
      </c>
      <c r="M27" s="57">
        <v>2</v>
      </c>
      <c r="N27" s="57">
        <v>3</v>
      </c>
      <c r="O27" s="57">
        <v>4</v>
      </c>
      <c r="P27" s="58">
        <v>5</v>
      </c>
      <c r="R27" s="87" t="str">
        <f>_xlfn.CONCAT(L28:P28)</f>
        <v/>
      </c>
      <c r="S27" s="70" t="str">
        <f>_xlfn.CONCAT(L26,R27)</f>
        <v/>
      </c>
      <c r="T27" s="19" t="b">
        <f t="shared" ca="1" si="0"/>
        <v>0</v>
      </c>
      <c r="U27" s="19" t="b">
        <f t="shared" si="3"/>
        <v>0</v>
      </c>
      <c r="V27" s="19" t="b">
        <f t="shared" ca="1" si="4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9"/>
      <c r="AJ27" s="70"/>
      <c r="AK27" s="100"/>
      <c r="AL27" s="87"/>
      <c r="AM27" s="87"/>
      <c r="AN27" s="87"/>
      <c r="AO27" s="87"/>
      <c r="AP27" s="87"/>
    </row>
    <row r="28" spans="1:42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6" t="s">
        <v>200</v>
      </c>
      <c r="L28" s="96"/>
      <c r="M28" s="77"/>
      <c r="N28" s="77"/>
      <c r="O28" s="77"/>
      <c r="P28" s="78"/>
      <c r="T28" s="19" t="b">
        <f t="shared" ca="1" si="0"/>
        <v>0</v>
      </c>
      <c r="U28" s="19" t="b">
        <f t="shared" si="3"/>
        <v>0</v>
      </c>
      <c r="V28" s="19" t="b">
        <f t="shared" ca="1" si="4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I28" s="59"/>
      <c r="AJ28" s="70"/>
      <c r="AK28" s="100"/>
      <c r="AL28" s="87"/>
      <c r="AM28" s="87"/>
      <c r="AN28" s="87"/>
      <c r="AO28" s="87"/>
      <c r="AP28" s="87"/>
    </row>
    <row r="29" spans="1:42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7" t="s">
        <v>201</v>
      </c>
      <c r="L29" s="97"/>
      <c r="M29" s="85"/>
      <c r="N29" s="85"/>
      <c r="O29" s="85"/>
      <c r="P29" s="86"/>
      <c r="T29" s="19" t="b">
        <f t="shared" ca="1" si="0"/>
        <v>0</v>
      </c>
      <c r="U29" s="19" t="b">
        <f t="shared" si="3"/>
        <v>0</v>
      </c>
      <c r="V29" s="19" t="b">
        <f t="shared" ca="1" si="4"/>
        <v>0</v>
      </c>
      <c r="Y29" s="87" t="str">
        <f ca="1">IFERROR(VLOOKUP(L28,項目!DATA_AREA,8,FALSE),"N/A")</f>
        <v>N/A</v>
      </c>
      <c r="Z29" s="87" t="str">
        <f ca="1">IFERROR(VLOOKUP(M28,項目!DATA_AREA,8,FALSE),"N/A")</f>
        <v>N/A</v>
      </c>
      <c r="AA29" s="87" t="str">
        <f ca="1">IFERROR(VLOOKUP(N28,項目!DATA_AREA,8,FALSE),"N/A")</f>
        <v>N/A</v>
      </c>
      <c r="AB29" s="87" t="str">
        <f ca="1">IFERROR(VLOOKUP(O28,項目!DATA_AREA,8,FALSE),"N/A")</f>
        <v>N/A</v>
      </c>
      <c r="AC29" s="87" t="str">
        <f ca="1">IFERROR(VLOOKUP(P28,項目!DATA_AREA,8,FALSE),"N/A")</f>
        <v>N/A</v>
      </c>
      <c r="AI29" s="59"/>
      <c r="AJ29" s="70"/>
      <c r="AK29" s="100"/>
      <c r="AL29" s="87"/>
      <c r="AM29" s="87"/>
      <c r="AN29" s="87"/>
      <c r="AO29" s="87"/>
      <c r="AP29" s="87"/>
    </row>
    <row r="30" spans="1:42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3"/>
        <v>0</v>
      </c>
      <c r="V30" s="19" t="b">
        <f t="shared" ca="1" si="4"/>
        <v>0</v>
      </c>
      <c r="Y30" s="87" t="str">
        <f ca="1">IFERROR(VLOOKUP(L29,項目!DATA_AREA,8,FALSE),"N/A")</f>
        <v>N/A</v>
      </c>
      <c r="Z30" s="87" t="str">
        <f ca="1">IFERROR(VLOOKUP(M29,項目!DATA_AREA,8,FALSE),"N/A")</f>
        <v>N/A</v>
      </c>
      <c r="AA30" s="87" t="str">
        <f ca="1">IFERROR(VLOOKUP(N29,項目!DATA_AREA,8,FALSE),"N/A")</f>
        <v>N/A</v>
      </c>
      <c r="AB30" s="87" t="str">
        <f ca="1">IFERROR(VLOOKUP(O29,項目!DATA_AREA,8,FALSE),"N/A")</f>
        <v>N/A</v>
      </c>
      <c r="AC30" s="87" t="str">
        <f ca="1">IFERROR(VLOOKUP(P29,項目!DATA_AREA,8,FALSE),"N/A")</f>
        <v>N/A</v>
      </c>
      <c r="AI30" s="59"/>
      <c r="AJ30" s="70"/>
      <c r="AK30" s="100"/>
      <c r="AL30" s="87"/>
      <c r="AM30" s="87"/>
      <c r="AN30" s="87"/>
      <c r="AO30" s="87"/>
      <c r="AP30" s="87"/>
    </row>
    <row r="31" spans="1:42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8" t="s">
        <v>197</v>
      </c>
      <c r="L31" s="105"/>
      <c r="M31" s="109" t="s">
        <v>198</v>
      </c>
      <c r="N31" s="98"/>
      <c r="O31" s="109" t="s">
        <v>199</v>
      </c>
      <c r="P31" s="98"/>
      <c r="T31" s="19" t="b">
        <f t="shared" ca="1" si="0"/>
        <v>0</v>
      </c>
      <c r="U31" s="19" t="b">
        <f t="shared" si="3"/>
        <v>0</v>
      </c>
      <c r="V31" s="19" t="b">
        <f t="shared" ca="1" si="4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9"/>
      <c r="AJ31" s="70"/>
      <c r="AK31" s="100"/>
      <c r="AL31" s="87"/>
      <c r="AM31" s="87"/>
      <c r="AN31" s="87"/>
      <c r="AO31" s="87"/>
      <c r="AP31" s="87"/>
    </row>
    <row r="32" spans="1:42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104">
        <v>2</v>
      </c>
      <c r="L32" s="103">
        <v>1</v>
      </c>
      <c r="M32" s="57">
        <v>2</v>
      </c>
      <c r="N32" s="57">
        <v>3</v>
      </c>
      <c r="O32" s="57">
        <v>4</v>
      </c>
      <c r="P32" s="58">
        <v>5</v>
      </c>
      <c r="R32" s="87" t="str">
        <f>_xlfn.CONCAT(L33:P33)</f>
        <v/>
      </c>
      <c r="S32" s="70" t="str">
        <f>_xlfn.CONCAT(L31,R32)</f>
        <v/>
      </c>
      <c r="T32" s="19" t="b">
        <f t="shared" ca="1" si="0"/>
        <v>0</v>
      </c>
      <c r="U32" s="19" t="b">
        <f t="shared" si="3"/>
        <v>0</v>
      </c>
      <c r="V32" s="19" t="b">
        <f t="shared" ca="1" si="4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9"/>
      <c r="AJ32" s="70"/>
      <c r="AK32" s="100"/>
      <c r="AL32" s="87"/>
      <c r="AM32" s="87"/>
      <c r="AN32" s="87"/>
      <c r="AO32" s="87"/>
      <c r="AP32" s="87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6" t="s">
        <v>200</v>
      </c>
      <c r="L33" s="96"/>
      <c r="M33" s="77"/>
      <c r="N33" s="77"/>
      <c r="O33" s="77"/>
      <c r="P33" s="78"/>
      <c r="T33" s="19" t="b">
        <f t="shared" ca="1" si="0"/>
        <v>0</v>
      </c>
      <c r="U33" s="19" t="b">
        <f t="shared" si="3"/>
        <v>0</v>
      </c>
      <c r="V33" s="19" t="b">
        <f t="shared" ca="1" si="4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I33" s="59"/>
      <c r="AJ33" s="70"/>
      <c r="AK33" s="100"/>
      <c r="AL33" s="87"/>
      <c r="AM33" s="87"/>
      <c r="AN33" s="87"/>
      <c r="AO33" s="87"/>
      <c r="AP33" s="87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7" t="s">
        <v>201</v>
      </c>
      <c r="L34" s="97"/>
      <c r="M34" s="85"/>
      <c r="N34" s="85"/>
      <c r="O34" s="85"/>
      <c r="P34" s="86"/>
      <c r="T34" s="19" t="b">
        <f t="shared" ca="1" si="0"/>
        <v>0</v>
      </c>
      <c r="U34" s="19" t="b">
        <f t="shared" si="3"/>
        <v>0</v>
      </c>
      <c r="V34" s="19" t="b">
        <f t="shared" ca="1" si="4"/>
        <v>0</v>
      </c>
      <c r="Y34" s="87" t="str">
        <f ca="1">IFERROR(VLOOKUP(L33,項目!DATA_AREA,8,FALSE),"N/A")</f>
        <v>N/A</v>
      </c>
      <c r="Z34" s="87" t="str">
        <f ca="1">IFERROR(VLOOKUP(M33,項目!DATA_AREA,8,FALSE),"N/A")</f>
        <v>N/A</v>
      </c>
      <c r="AA34" s="87" t="str">
        <f ca="1">IFERROR(VLOOKUP(N33,項目!DATA_AREA,8,FALSE),"N/A")</f>
        <v>N/A</v>
      </c>
      <c r="AB34" s="87" t="str">
        <f ca="1">IFERROR(VLOOKUP(O33,項目!DATA_AREA,8,FALSE),"N/A")</f>
        <v>N/A</v>
      </c>
      <c r="AC34" s="87" t="str">
        <f ca="1">IFERROR(VLOOKUP(P33,項目!DATA_AREA,8,FALSE),"N/A")</f>
        <v>N/A</v>
      </c>
      <c r="AI34" s="59"/>
      <c r="AJ34" s="70"/>
      <c r="AK34" s="100"/>
      <c r="AL34" s="87"/>
      <c r="AM34" s="87"/>
      <c r="AN34" s="87"/>
      <c r="AO34" s="87"/>
      <c r="AP34" s="87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3"/>
        <v>0</v>
      </c>
      <c r="V35" s="19" t="b">
        <f t="shared" ca="1" si="4"/>
        <v>0</v>
      </c>
      <c r="Y35" s="87" t="str">
        <f ca="1">IFERROR(VLOOKUP(L34,項目!DATA_AREA,8,FALSE),"N/A")</f>
        <v>N/A</v>
      </c>
      <c r="Z35" s="87" t="str">
        <f ca="1">IFERROR(VLOOKUP(M34,項目!DATA_AREA,8,FALSE),"N/A")</f>
        <v>N/A</v>
      </c>
      <c r="AA35" s="87" t="str">
        <f ca="1">IFERROR(VLOOKUP(N34,項目!DATA_AREA,8,FALSE),"N/A")</f>
        <v>N/A</v>
      </c>
      <c r="AB35" s="87" t="str">
        <f ca="1">IFERROR(VLOOKUP(O34,項目!DATA_AREA,8,FALSE),"N/A")</f>
        <v>N/A</v>
      </c>
      <c r="AC35" s="87" t="str">
        <f ca="1">IFERROR(VLOOKUP(P34,項目!DATA_AREA,8,FALSE),"N/A")</f>
        <v>N/A</v>
      </c>
      <c r="AI35" s="59"/>
      <c r="AJ35" s="70"/>
      <c r="AK35" s="100"/>
      <c r="AL35" s="87"/>
      <c r="AM35" s="87"/>
      <c r="AN35" s="87"/>
      <c r="AO35" s="87"/>
      <c r="AP35" s="87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8" t="s">
        <v>197</v>
      </c>
      <c r="L36" s="105"/>
      <c r="M36" s="109" t="s">
        <v>198</v>
      </c>
      <c r="N36" s="98"/>
      <c r="O36" s="109" t="s">
        <v>199</v>
      </c>
      <c r="P36" s="98"/>
      <c r="T36" s="19" t="b">
        <f t="shared" ca="1" si="0"/>
        <v>0</v>
      </c>
      <c r="U36" s="19" t="b">
        <f t="shared" si="3"/>
        <v>0</v>
      </c>
      <c r="V36" s="19" t="b">
        <f t="shared" ca="1" si="4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9"/>
      <c r="AJ36" s="70"/>
      <c r="AK36" s="100"/>
      <c r="AL36" s="87"/>
      <c r="AM36" s="87"/>
      <c r="AN36" s="87"/>
      <c r="AO36" s="87"/>
      <c r="AP36" s="87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104">
        <v>3</v>
      </c>
      <c r="L37" s="103">
        <v>1</v>
      </c>
      <c r="M37" s="57">
        <v>2</v>
      </c>
      <c r="N37" s="57">
        <v>3</v>
      </c>
      <c r="O37" s="57">
        <v>4</v>
      </c>
      <c r="P37" s="58">
        <v>5</v>
      </c>
      <c r="R37" s="87" t="str">
        <f>_xlfn.CONCAT(L38:P38)</f>
        <v/>
      </c>
      <c r="S37" s="70" t="str">
        <f>_xlfn.CONCAT(L36,R37)</f>
        <v/>
      </c>
      <c r="T37" s="19" t="b">
        <f t="shared" ca="1" si="0"/>
        <v>0</v>
      </c>
      <c r="U37" s="19" t="b">
        <f t="shared" si="3"/>
        <v>0</v>
      </c>
      <c r="V37" s="19" t="b">
        <f t="shared" ca="1" si="4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9"/>
      <c r="AJ37" s="70"/>
      <c r="AK37" s="100"/>
      <c r="AL37" s="87"/>
      <c r="AM37" s="87"/>
      <c r="AN37" s="87"/>
      <c r="AO37" s="87"/>
      <c r="AP37" s="87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6" t="s">
        <v>200</v>
      </c>
      <c r="L38" s="96"/>
      <c r="M38" s="77"/>
      <c r="N38" s="77"/>
      <c r="O38" s="77"/>
      <c r="P38" s="78"/>
      <c r="T38" s="19" t="b">
        <f t="shared" ca="1" si="0"/>
        <v>0</v>
      </c>
      <c r="U38" s="19" t="b">
        <f t="shared" ref="U38:U69" si="12">COUNTIF(FIELD_NAME,B38)&gt;1</f>
        <v>0</v>
      </c>
      <c r="V38" s="19" t="b">
        <f t="shared" ca="1" si="4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I38" s="59"/>
      <c r="AJ38" s="70"/>
      <c r="AK38" s="100"/>
      <c r="AL38" s="87"/>
      <c r="AM38" s="87"/>
      <c r="AN38" s="87"/>
      <c r="AO38" s="87"/>
      <c r="AP38" s="87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7" t="s">
        <v>201</v>
      </c>
      <c r="L39" s="97"/>
      <c r="M39" s="85"/>
      <c r="N39" s="85"/>
      <c r="O39" s="85"/>
      <c r="P39" s="86"/>
      <c r="T39" s="19" t="b">
        <f t="shared" ca="1" si="0"/>
        <v>0</v>
      </c>
      <c r="U39" s="19" t="b">
        <f t="shared" si="12"/>
        <v>0</v>
      </c>
      <c r="V39" s="19" t="b">
        <f t="shared" ca="1" si="4"/>
        <v>0</v>
      </c>
      <c r="Y39" s="87" t="str">
        <f ca="1">IFERROR(VLOOKUP(L38,項目!DATA_AREA,8,FALSE),"N/A")</f>
        <v>N/A</v>
      </c>
      <c r="Z39" s="87" t="str">
        <f ca="1">IFERROR(VLOOKUP(M38,項目!DATA_AREA,8,FALSE),"N/A")</f>
        <v>N/A</v>
      </c>
      <c r="AA39" s="87" t="str">
        <f ca="1">IFERROR(VLOOKUP(N38,項目!DATA_AREA,8,FALSE),"N/A")</f>
        <v>N/A</v>
      </c>
      <c r="AB39" s="87" t="str">
        <f ca="1">IFERROR(VLOOKUP(O38,項目!DATA_AREA,8,FALSE),"N/A")</f>
        <v>N/A</v>
      </c>
      <c r="AC39" s="87" t="str">
        <f ca="1">IFERROR(VLOOKUP(P38,項目!DATA_AREA,8,FALSE),"N/A")</f>
        <v>N/A</v>
      </c>
      <c r="AI39" s="59"/>
      <c r="AJ39" s="70"/>
      <c r="AK39" s="100"/>
      <c r="AL39" s="87"/>
      <c r="AM39" s="87"/>
      <c r="AN39" s="87"/>
      <c r="AO39" s="87"/>
      <c r="AP39" s="87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 t="b">
        <f t="shared" ca="1" si="4"/>
        <v>0</v>
      </c>
      <c r="Y40" s="87" t="str">
        <f ca="1">IFERROR(VLOOKUP(L39,項目!DATA_AREA,8,FALSE),"N/A")</f>
        <v>N/A</v>
      </c>
      <c r="Z40" s="87" t="str">
        <f ca="1">IFERROR(VLOOKUP(M39,項目!DATA_AREA,8,FALSE),"N/A")</f>
        <v>N/A</v>
      </c>
      <c r="AA40" s="87" t="str">
        <f ca="1">IFERROR(VLOOKUP(N39,項目!DATA_AREA,8,FALSE),"N/A")</f>
        <v>N/A</v>
      </c>
      <c r="AB40" s="87" t="str">
        <f ca="1">IFERROR(VLOOKUP(O39,項目!DATA_AREA,8,FALSE),"N/A")</f>
        <v>N/A</v>
      </c>
      <c r="AC40" s="87" t="str">
        <f ca="1">IFERROR(VLOOKUP(P39,項目!DATA_AREA,8,FALSE),"N/A")</f>
        <v>N/A</v>
      </c>
      <c r="AI40" s="59"/>
      <c r="AJ40" s="70"/>
      <c r="AK40" s="100"/>
      <c r="AL40" s="87"/>
      <c r="AM40" s="87"/>
      <c r="AN40" s="87"/>
      <c r="AO40" s="87"/>
      <c r="AP40" s="87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8" t="s">
        <v>197</v>
      </c>
      <c r="L41" s="105"/>
      <c r="M41" s="109" t="s">
        <v>198</v>
      </c>
      <c r="N41" s="98"/>
      <c r="O41" s="109" t="s">
        <v>199</v>
      </c>
      <c r="P41" s="98"/>
      <c r="T41" s="19" t="b">
        <f t="shared" ca="1" si="0"/>
        <v>0</v>
      </c>
      <c r="U41" s="19" t="b">
        <f t="shared" si="12"/>
        <v>0</v>
      </c>
      <c r="V41" s="19" t="b">
        <f t="shared" ca="1" si="4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9"/>
      <c r="AJ41" s="70"/>
      <c r="AK41" s="100"/>
      <c r="AL41" s="87"/>
      <c r="AM41" s="87"/>
      <c r="AN41" s="87"/>
      <c r="AO41" s="87"/>
      <c r="AP41" s="87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104">
        <v>4</v>
      </c>
      <c r="L42" s="103">
        <v>1</v>
      </c>
      <c r="M42" s="57">
        <v>2</v>
      </c>
      <c r="N42" s="57">
        <v>3</v>
      </c>
      <c r="O42" s="57">
        <v>4</v>
      </c>
      <c r="P42" s="58">
        <v>5</v>
      </c>
      <c r="R42" s="87" t="str">
        <f>_xlfn.CONCAT(L43:P43)</f>
        <v/>
      </c>
      <c r="S42" s="70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 t="b">
        <f t="shared" ca="1" si="4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9"/>
      <c r="AJ42" s="70"/>
      <c r="AK42" s="100"/>
      <c r="AL42" s="87"/>
      <c r="AM42" s="87"/>
      <c r="AN42" s="87"/>
      <c r="AO42" s="87"/>
      <c r="AP42" s="87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6" t="s">
        <v>200</v>
      </c>
      <c r="L43" s="96"/>
      <c r="M43" s="77"/>
      <c r="N43" s="77"/>
      <c r="O43" s="77"/>
      <c r="P43" s="78"/>
      <c r="T43" s="19" t="b">
        <f t="shared" ca="1" si="0"/>
        <v>0</v>
      </c>
      <c r="U43" s="19" t="b">
        <f t="shared" si="12"/>
        <v>0</v>
      </c>
      <c r="V43" s="19" t="b">
        <f t="shared" ca="1" si="4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I43" s="59"/>
      <c r="AJ43" s="70"/>
      <c r="AK43" s="100"/>
      <c r="AL43" s="87"/>
      <c r="AM43" s="87"/>
      <c r="AN43" s="87"/>
      <c r="AO43" s="87"/>
      <c r="AP43" s="87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7" t="s">
        <v>201</v>
      </c>
      <c r="L44" s="97"/>
      <c r="M44" s="85"/>
      <c r="N44" s="85"/>
      <c r="O44" s="85"/>
      <c r="P44" s="86"/>
      <c r="T44" s="19" t="b">
        <f t="shared" ca="1" si="0"/>
        <v>0</v>
      </c>
      <c r="U44" s="19" t="b">
        <f t="shared" si="12"/>
        <v>0</v>
      </c>
      <c r="V44" s="19" t="b">
        <f t="shared" ca="1" si="4"/>
        <v>0</v>
      </c>
      <c r="Y44" s="87" t="str">
        <f ca="1">IFERROR(VLOOKUP(L43,項目!DATA_AREA,8,FALSE),"N/A")</f>
        <v>N/A</v>
      </c>
      <c r="Z44" s="87" t="str">
        <f ca="1">IFERROR(VLOOKUP(M43,項目!DATA_AREA,8,FALSE),"N/A")</f>
        <v>N/A</v>
      </c>
      <c r="AA44" s="87" t="str">
        <f ca="1">IFERROR(VLOOKUP(N43,項目!DATA_AREA,8,FALSE),"N/A")</f>
        <v>N/A</v>
      </c>
      <c r="AB44" s="87" t="str">
        <f ca="1">IFERROR(VLOOKUP(O43,項目!DATA_AREA,8,FALSE),"N/A")</f>
        <v>N/A</v>
      </c>
      <c r="AC44" s="87" t="str">
        <f ca="1">IFERROR(VLOOKUP(P43,項目!DATA_AREA,8,FALSE),"N/A")</f>
        <v>N/A</v>
      </c>
      <c r="AI44" s="59"/>
      <c r="AJ44" s="70"/>
      <c r="AK44" s="100"/>
      <c r="AL44" s="87"/>
      <c r="AM44" s="87"/>
      <c r="AN44" s="87"/>
      <c r="AO44" s="87"/>
      <c r="AP44" s="87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 t="b">
        <f t="shared" ca="1" si="4"/>
        <v>0</v>
      </c>
      <c r="Y45" s="87" t="str">
        <f ca="1">IFERROR(VLOOKUP(L44,項目!DATA_AREA,8,FALSE),"N/A")</f>
        <v>N/A</v>
      </c>
      <c r="Z45" s="87" t="str">
        <f ca="1">IFERROR(VLOOKUP(M44,項目!DATA_AREA,8,FALSE),"N/A")</f>
        <v>N/A</v>
      </c>
      <c r="AA45" s="87" t="str">
        <f ca="1">IFERROR(VLOOKUP(N44,項目!DATA_AREA,8,FALSE),"N/A")</f>
        <v>N/A</v>
      </c>
      <c r="AB45" s="87" t="str">
        <f ca="1">IFERROR(VLOOKUP(O44,項目!DATA_AREA,8,FALSE),"N/A")</f>
        <v>N/A</v>
      </c>
      <c r="AC45" s="87" t="str">
        <f ca="1">IFERROR(VLOOKUP(P44,項目!DATA_AREA,8,FALSE),"N/A")</f>
        <v>N/A</v>
      </c>
      <c r="AI45" s="59"/>
      <c r="AJ45" s="70"/>
      <c r="AK45" s="100"/>
      <c r="AL45" s="87"/>
      <c r="AM45" s="87"/>
      <c r="AN45" s="87"/>
      <c r="AO45" s="87"/>
      <c r="AP45" s="87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8" t="s">
        <v>197</v>
      </c>
      <c r="L46" s="105"/>
      <c r="M46" s="109" t="s">
        <v>198</v>
      </c>
      <c r="N46" s="98"/>
      <c r="O46" s="109" t="s">
        <v>199</v>
      </c>
      <c r="P46" s="98"/>
      <c r="T46" s="19" t="b">
        <f t="shared" ca="1" si="0"/>
        <v>0</v>
      </c>
      <c r="U46" s="19" t="b">
        <f t="shared" si="12"/>
        <v>0</v>
      </c>
      <c r="V46" s="19" t="b">
        <f t="shared" ca="1" si="4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9"/>
      <c r="AJ46" s="70"/>
      <c r="AK46" s="100"/>
      <c r="AL46" s="87"/>
      <c r="AM46" s="87"/>
      <c r="AN46" s="87"/>
      <c r="AO46" s="87"/>
      <c r="AP46" s="87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104">
        <v>5</v>
      </c>
      <c r="L47" s="103">
        <v>1</v>
      </c>
      <c r="M47" s="57">
        <v>2</v>
      </c>
      <c r="N47" s="57">
        <v>3</v>
      </c>
      <c r="O47" s="57">
        <v>4</v>
      </c>
      <c r="P47" s="58">
        <v>5</v>
      </c>
      <c r="R47" s="87" t="str">
        <f>_xlfn.CONCAT(L48:P48)</f>
        <v/>
      </c>
      <c r="S47" s="70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 t="b">
        <f t="shared" ca="1" si="4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9"/>
      <c r="AJ47" s="70"/>
      <c r="AK47" s="100"/>
      <c r="AL47" s="87"/>
      <c r="AM47" s="87"/>
      <c r="AN47" s="87"/>
      <c r="AO47" s="87"/>
      <c r="AP47" s="87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6" t="s">
        <v>200</v>
      </c>
      <c r="L48" s="96"/>
      <c r="M48" s="77"/>
      <c r="N48" s="77"/>
      <c r="O48" s="77"/>
      <c r="P48" s="78"/>
      <c r="T48" s="19" t="b">
        <f t="shared" ca="1" si="0"/>
        <v>0</v>
      </c>
      <c r="U48" s="19" t="b">
        <f t="shared" si="12"/>
        <v>0</v>
      </c>
      <c r="V48" s="19" t="b">
        <f t="shared" ca="1" si="4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I48" s="59"/>
      <c r="AJ48" s="70"/>
      <c r="AK48" s="100"/>
      <c r="AL48" s="87"/>
      <c r="AM48" s="87"/>
      <c r="AN48" s="87"/>
      <c r="AO48" s="87"/>
      <c r="AP48" s="87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7" t="s">
        <v>201</v>
      </c>
      <c r="L49" s="97"/>
      <c r="M49" s="85"/>
      <c r="N49" s="85"/>
      <c r="O49" s="85"/>
      <c r="P49" s="86"/>
      <c r="T49" s="19" t="b">
        <f t="shared" ca="1" si="0"/>
        <v>0</v>
      </c>
      <c r="U49" s="19" t="b">
        <f t="shared" si="12"/>
        <v>0</v>
      </c>
      <c r="V49" s="19" t="b">
        <f t="shared" ca="1" si="4"/>
        <v>0</v>
      </c>
      <c r="Y49" s="87" t="str">
        <f ca="1">IFERROR(VLOOKUP(L48,項目!DATA_AREA,8,FALSE),"N/A")</f>
        <v>N/A</v>
      </c>
      <c r="Z49" s="87" t="str">
        <f ca="1">IFERROR(VLOOKUP(M48,項目!DATA_AREA,8,FALSE),"N/A")</f>
        <v>N/A</v>
      </c>
      <c r="AA49" s="87" t="str">
        <f ca="1">IFERROR(VLOOKUP(N48,項目!DATA_AREA,8,FALSE),"N/A")</f>
        <v>N/A</v>
      </c>
      <c r="AB49" s="87" t="str">
        <f ca="1">IFERROR(VLOOKUP(O48,項目!DATA_AREA,8,FALSE),"N/A")</f>
        <v>N/A</v>
      </c>
      <c r="AC49" s="87" t="str">
        <f ca="1">IFERROR(VLOOKUP(P48,項目!DATA_AREA,8,FALSE),"N/A")</f>
        <v>N/A</v>
      </c>
      <c r="AI49" s="59"/>
      <c r="AJ49" s="70"/>
      <c r="AK49" s="100"/>
      <c r="AL49" s="87"/>
      <c r="AM49" s="87"/>
      <c r="AN49" s="87"/>
      <c r="AO49" s="87"/>
      <c r="AP49" s="87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 t="b">
        <f t="shared" ca="1" si="4"/>
        <v>0</v>
      </c>
      <c r="Y50" s="87" t="str">
        <f ca="1">IFERROR(VLOOKUP(L49,項目!DATA_AREA,8,FALSE),"N/A")</f>
        <v>N/A</v>
      </c>
      <c r="Z50" s="87" t="str">
        <f ca="1">IFERROR(VLOOKUP(M49,項目!DATA_AREA,8,FALSE),"N/A")</f>
        <v>N/A</v>
      </c>
      <c r="AA50" s="87" t="str">
        <f ca="1">IFERROR(VLOOKUP(N49,項目!DATA_AREA,8,FALSE),"N/A")</f>
        <v>N/A</v>
      </c>
      <c r="AB50" s="87" t="str">
        <f ca="1">IFERROR(VLOOKUP(O49,項目!DATA_AREA,8,FALSE),"N/A")</f>
        <v>N/A</v>
      </c>
      <c r="AC50" s="87" t="str">
        <f ca="1">IFERROR(VLOOKUP(P49,項目!DATA_AREA,8,FALSE),"N/A")</f>
        <v>N/A</v>
      </c>
      <c r="AI50" s="59"/>
      <c r="AJ50" s="70"/>
      <c r="AK50" s="100"/>
      <c r="AL50" s="87"/>
      <c r="AM50" s="87"/>
      <c r="AN50" s="87"/>
      <c r="AO50" s="87"/>
      <c r="AP50" s="87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9"/>
      <c r="L51" s="99"/>
      <c r="M51" s="99"/>
      <c r="N51" s="99"/>
      <c r="O51" s="99"/>
      <c r="P51" s="99"/>
      <c r="T51" s="19" t="b">
        <f t="shared" ca="1" si="0"/>
        <v>0</v>
      </c>
      <c r="U51" s="19" t="b">
        <f t="shared" si="12"/>
        <v>0</v>
      </c>
      <c r="V51" s="19" t="b">
        <f t="shared" ca="1" si="4"/>
        <v>0</v>
      </c>
      <c r="AI51" s="59"/>
      <c r="AJ51" s="70"/>
      <c r="AK51" s="100"/>
      <c r="AL51" s="87"/>
      <c r="AM51" s="87"/>
      <c r="AN51" s="87"/>
      <c r="AO51" s="87"/>
      <c r="AP51" s="87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2"/>
        <v>0</v>
      </c>
      <c r="V52" s="19" t="b">
        <f t="shared" ca="1" si="4"/>
        <v>0</v>
      </c>
      <c r="AI52" s="59"/>
      <c r="AJ52" s="70"/>
      <c r="AK52" s="100"/>
      <c r="AL52" s="87"/>
      <c r="AM52" s="87"/>
      <c r="AN52" s="87"/>
      <c r="AO52" s="87"/>
      <c r="AP52" s="87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202</v>
      </c>
      <c r="T53" s="19" t="b">
        <f t="shared" ca="1" si="0"/>
        <v>0</v>
      </c>
      <c r="U53" s="19" t="b">
        <f t="shared" si="12"/>
        <v>0</v>
      </c>
      <c r="V53" s="19" t="b">
        <f t="shared" ca="1" si="4"/>
        <v>0</v>
      </c>
      <c r="AI53" s="59"/>
      <c r="AJ53" s="70"/>
      <c r="AK53" s="100"/>
      <c r="AL53" s="87"/>
      <c r="AM53" s="87"/>
      <c r="AN53" s="87"/>
      <c r="AO53" s="87"/>
      <c r="AP53" s="87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2"/>
        <v>0</v>
      </c>
      <c r="V54" s="19" t="b">
        <f t="shared" ca="1" si="4"/>
        <v>0</v>
      </c>
      <c r="X54" s="69" t="s">
        <v>196</v>
      </c>
      <c r="AD54" s="7" t="s">
        <v>153</v>
      </c>
      <c r="AI54" s="59"/>
      <c r="AJ54" s="70"/>
      <c r="AK54" s="100"/>
      <c r="AL54" s="87"/>
      <c r="AM54" s="87"/>
      <c r="AN54" s="87"/>
      <c r="AO54" s="87"/>
      <c r="AP54" s="87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111" t="s">
        <v>31</v>
      </c>
      <c r="M55" s="112"/>
      <c r="N55" s="112"/>
      <c r="O55" s="112"/>
      <c r="P55" s="113"/>
      <c r="R55" s="87" t="str">
        <f t="shared" ref="R55:R64" si="13">_xlfn.CONCAT(L55:P55)</f>
        <v>担当者名</v>
      </c>
      <c r="T55" s="19" t="b">
        <f t="shared" ca="1" si="0"/>
        <v>0</v>
      </c>
      <c r="U55" s="19" t="b">
        <f t="shared" si="12"/>
        <v>0</v>
      </c>
      <c r="V55" s="19" t="b">
        <f t="shared" ca="1" si="4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4" ca="1" si="14">OR(AND(M55&lt;&gt;"",ISNA(MATCH(M55,FIELDリスト,0))),COUNTIF($L55:$P55,M55)&gt;1)</f>
        <v>0</v>
      </c>
      <c r="AA55" s="19" t="b">
        <f t="shared" ref="AA55:AA64" ca="1" si="15">OR(AND(N55&lt;&gt;"",ISNA(MATCH(N55,FIELDリスト,0))),COUNTIF($L55:$P55,N55)&gt;1)</f>
        <v>0</v>
      </c>
      <c r="AB55" s="19" t="b">
        <f t="shared" ref="AB55:AB64" ca="1" si="16">OR(AND(O55&lt;&gt;"",ISNA(MATCH(O55,FIELDリスト,0))),COUNTIF($L55:$P55,O55)&gt;1)</f>
        <v>0</v>
      </c>
      <c r="AC55" s="19" t="b">
        <f t="shared" ref="AC55:AC64" ca="1" si="17">OR(AND(P55&lt;&gt;"",ISNA(MATCH(P55,FIELDリスト,0))),COUNTIF($L55:$P55,P55)&gt;1)</f>
        <v>0</v>
      </c>
      <c r="AD55" s="19" t="b">
        <f>AND(R55&lt;&gt;"",COUNTIF(R$13:R$22,R55)&gt;1)</f>
        <v>0</v>
      </c>
      <c r="AI55" s="59"/>
      <c r="AJ55" s="70"/>
      <c r="AK55" s="100"/>
      <c r="AL55" s="87"/>
      <c r="AM55" s="87"/>
      <c r="AN55" s="87"/>
      <c r="AO55" s="87"/>
      <c r="AP55" s="87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10"/>
      <c r="L56" s="114"/>
      <c r="M56" s="115"/>
      <c r="N56" s="115"/>
      <c r="O56" s="115"/>
      <c r="P56" s="116"/>
      <c r="T56" s="19" t="b">
        <f t="shared" ca="1" si="0"/>
        <v>0</v>
      </c>
      <c r="U56" s="19" t="b">
        <f t="shared" si="12"/>
        <v>0</v>
      </c>
      <c r="V56" s="19" t="b">
        <f t="shared" ca="1" si="4"/>
        <v>0</v>
      </c>
      <c r="X56" s="7" t="s">
        <v>156</v>
      </c>
      <c r="AI56" s="59"/>
      <c r="AJ56" s="70"/>
      <c r="AK56" s="100"/>
      <c r="AL56" s="87"/>
      <c r="AM56" s="87"/>
      <c r="AN56" s="87"/>
      <c r="AO56" s="87"/>
      <c r="AP56" s="87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5">
        <v>2</v>
      </c>
      <c r="L57" s="111" t="s">
        <v>21</v>
      </c>
      <c r="M57" s="112" t="s">
        <v>51</v>
      </c>
      <c r="N57" s="112"/>
      <c r="O57" s="112"/>
      <c r="P57" s="113"/>
      <c r="R57" s="87" t="str">
        <f t="shared" si="13"/>
        <v>登録日取引先区分</v>
      </c>
      <c r="T57" s="19" t="b">
        <f t="shared" ca="1" si="0"/>
        <v>0</v>
      </c>
      <c r="U57" s="19" t="b">
        <f t="shared" si="12"/>
        <v>0</v>
      </c>
      <c r="V57" s="19" t="b">
        <f t="shared" ca="1" si="4"/>
        <v>0</v>
      </c>
      <c r="Y57" s="19" t="b">
        <f t="shared" ref="Y57:Y66" ca="1" si="18">OR(AND(L57&lt;&gt;"",ISNA(MATCH(L57,FIELDリスト,0))),COUNTIF($L57:$P57,L57)&gt;1)</f>
        <v>0</v>
      </c>
      <c r="Z57" s="19" t="b">
        <f t="shared" ca="1" si="14"/>
        <v>0</v>
      </c>
      <c r="AA57" s="19" t="b">
        <f t="shared" ca="1" si="15"/>
        <v>0</v>
      </c>
      <c r="AB57" s="19" t="b">
        <f t="shared" ca="1" si="16"/>
        <v>0</v>
      </c>
      <c r="AC57" s="19" t="b">
        <f t="shared" ca="1" si="17"/>
        <v>0</v>
      </c>
      <c r="AD57" s="19" t="b">
        <f t="shared" ref="AD57:AD65" si="19">AND(R57&lt;&gt;"",COUNTIF(R$13:R$22,R57)&gt;1)</f>
        <v>0</v>
      </c>
      <c r="AI57" s="59"/>
      <c r="AJ57" s="70"/>
      <c r="AK57" s="100"/>
      <c r="AL57" s="87"/>
      <c r="AM57" s="87"/>
      <c r="AN57" s="87"/>
      <c r="AO57" s="87"/>
      <c r="AP57" s="87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10"/>
      <c r="L58" s="114"/>
      <c r="M58" s="115"/>
      <c r="N58" s="115"/>
      <c r="O58" s="115"/>
      <c r="P58" s="116"/>
      <c r="T58" s="19" t="b">
        <f t="shared" ca="1" si="0"/>
        <v>0</v>
      </c>
      <c r="U58" s="19" t="b">
        <f t="shared" si="12"/>
        <v>0</v>
      </c>
      <c r="V58" s="19" t="b">
        <f t="shared" ca="1" si="4"/>
        <v>0</v>
      </c>
      <c r="AI58" s="59"/>
      <c r="AJ58" s="70"/>
      <c r="AK58" s="100"/>
      <c r="AL58" s="87"/>
      <c r="AM58" s="87"/>
      <c r="AN58" s="87"/>
      <c r="AO58" s="87"/>
      <c r="AP58" s="87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5">
        <v>3</v>
      </c>
      <c r="L59" s="111"/>
      <c r="M59" s="112"/>
      <c r="N59" s="112"/>
      <c r="O59" s="112"/>
      <c r="P59" s="113"/>
      <c r="R59" s="87" t="str">
        <f t="shared" si="13"/>
        <v/>
      </c>
      <c r="T59" s="19" t="b">
        <f t="shared" ca="1" si="0"/>
        <v>0</v>
      </c>
      <c r="U59" s="19" t="b">
        <f t="shared" si="12"/>
        <v>0</v>
      </c>
      <c r="V59" s="19" t="b">
        <f t="shared" ca="1" si="4"/>
        <v>0</v>
      </c>
      <c r="Y59" s="19" t="b">
        <f t="shared" ca="1" si="18"/>
        <v>0</v>
      </c>
      <c r="Z59" s="19" t="b">
        <f t="shared" ca="1" si="14"/>
        <v>0</v>
      </c>
      <c r="AA59" s="19" t="b">
        <f t="shared" ca="1" si="15"/>
        <v>0</v>
      </c>
      <c r="AB59" s="19" t="b">
        <f t="shared" ca="1" si="16"/>
        <v>0</v>
      </c>
      <c r="AC59" s="19" t="b">
        <f t="shared" ca="1" si="17"/>
        <v>0</v>
      </c>
      <c r="AD59" s="19" t="b">
        <f t="shared" si="19"/>
        <v>0</v>
      </c>
      <c r="AI59" s="59"/>
      <c r="AJ59" s="70"/>
      <c r="AK59" s="100"/>
      <c r="AL59" s="87"/>
      <c r="AM59" s="87"/>
      <c r="AN59" s="87"/>
      <c r="AO59" s="87"/>
      <c r="AP59" s="87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10"/>
      <c r="L60" s="114"/>
      <c r="M60" s="115"/>
      <c r="N60" s="115"/>
      <c r="O60" s="115"/>
      <c r="P60" s="116"/>
      <c r="T60" s="19" t="b">
        <f t="shared" ca="1" si="0"/>
        <v>0</v>
      </c>
      <c r="U60" s="19" t="b">
        <f t="shared" si="12"/>
        <v>0</v>
      </c>
      <c r="V60" s="19" t="b">
        <f t="shared" ca="1" si="4"/>
        <v>0</v>
      </c>
      <c r="AI60" s="59"/>
      <c r="AJ60" s="70"/>
      <c r="AK60" s="100"/>
      <c r="AL60" s="87"/>
      <c r="AM60" s="87"/>
      <c r="AN60" s="87"/>
      <c r="AO60" s="87"/>
      <c r="AP60" s="87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5">
        <v>4</v>
      </c>
      <c r="L61" s="111"/>
      <c r="M61" s="112"/>
      <c r="N61" s="112"/>
      <c r="O61" s="112"/>
      <c r="P61" s="113"/>
      <c r="R61" s="87" t="str">
        <f t="shared" si="13"/>
        <v/>
      </c>
      <c r="T61" s="19" t="b">
        <f t="shared" ca="1" si="0"/>
        <v>0</v>
      </c>
      <c r="U61" s="19" t="b">
        <f t="shared" si="12"/>
        <v>0</v>
      </c>
      <c r="V61" s="19" t="b">
        <f t="shared" ca="1" si="4"/>
        <v>0</v>
      </c>
      <c r="Y61" s="19" t="b">
        <f t="shared" ca="1" si="18"/>
        <v>0</v>
      </c>
      <c r="Z61" s="19" t="b">
        <f t="shared" ca="1" si="14"/>
        <v>0</v>
      </c>
      <c r="AA61" s="19" t="b">
        <f t="shared" ca="1" si="15"/>
        <v>0</v>
      </c>
      <c r="AB61" s="19" t="b">
        <f t="shared" ca="1" si="16"/>
        <v>0</v>
      </c>
      <c r="AC61" s="19" t="b">
        <f t="shared" ca="1" si="17"/>
        <v>0</v>
      </c>
      <c r="AD61" s="19" t="b">
        <f t="shared" si="19"/>
        <v>0</v>
      </c>
      <c r="AI61" s="59"/>
      <c r="AJ61" s="70"/>
      <c r="AK61" s="100"/>
      <c r="AL61" s="87"/>
      <c r="AM61" s="87"/>
      <c r="AN61" s="87"/>
      <c r="AO61" s="87"/>
      <c r="AP61" s="87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10"/>
      <c r="L62" s="114"/>
      <c r="M62" s="115"/>
      <c r="N62" s="115"/>
      <c r="O62" s="115"/>
      <c r="P62" s="116"/>
      <c r="T62" s="19" t="b">
        <f t="shared" ca="1" si="0"/>
        <v>0</v>
      </c>
      <c r="U62" s="19" t="b">
        <f t="shared" si="12"/>
        <v>0</v>
      </c>
      <c r="V62" s="19" t="b">
        <f t="shared" ca="1" si="4"/>
        <v>0</v>
      </c>
      <c r="AI62" s="59"/>
      <c r="AJ62" s="70"/>
      <c r="AK62" s="100"/>
      <c r="AL62" s="87"/>
      <c r="AM62" s="87"/>
      <c r="AN62" s="87"/>
      <c r="AO62" s="87"/>
      <c r="AP62" s="87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5">
        <v>5</v>
      </c>
      <c r="L63" s="111"/>
      <c r="M63" s="112"/>
      <c r="N63" s="112"/>
      <c r="O63" s="112"/>
      <c r="P63" s="113"/>
      <c r="R63" s="87" t="str">
        <f t="shared" si="13"/>
        <v/>
      </c>
      <c r="T63" s="19" t="b">
        <f t="shared" ca="1" si="0"/>
        <v>0</v>
      </c>
      <c r="U63" s="19" t="b">
        <f t="shared" si="12"/>
        <v>0</v>
      </c>
      <c r="V63" s="19" t="b">
        <f t="shared" ca="1" si="4"/>
        <v>0</v>
      </c>
      <c r="Y63" s="19" t="b">
        <f t="shared" ca="1" si="18"/>
        <v>0</v>
      </c>
      <c r="Z63" s="19" t="b">
        <f t="shared" ca="1" si="14"/>
        <v>0</v>
      </c>
      <c r="AA63" s="19" t="b">
        <f t="shared" ca="1" si="15"/>
        <v>0</v>
      </c>
      <c r="AB63" s="19" t="b">
        <f t="shared" ca="1" si="16"/>
        <v>0</v>
      </c>
      <c r="AC63" s="19" t="b">
        <f t="shared" ca="1" si="17"/>
        <v>0</v>
      </c>
      <c r="AD63" s="19" t="b">
        <f>AND(R63&lt;&gt;"",COUNTIF(R$13:R$22,R63)&gt;1)</f>
        <v>0</v>
      </c>
      <c r="AI63" s="59"/>
      <c r="AJ63" s="70"/>
      <c r="AK63" s="100"/>
      <c r="AL63" s="87"/>
      <c r="AM63" s="87"/>
      <c r="AN63" s="87"/>
      <c r="AO63" s="87"/>
      <c r="AP63" s="87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10"/>
      <c r="L64" s="114"/>
      <c r="M64" s="115"/>
      <c r="N64" s="115"/>
      <c r="O64" s="115"/>
      <c r="P64" s="116"/>
      <c r="T64" s="19" t="b">
        <f t="shared" ca="1" si="0"/>
        <v>0</v>
      </c>
      <c r="U64" s="19" t="b">
        <f t="shared" si="12"/>
        <v>0</v>
      </c>
      <c r="V64" s="19" t="b">
        <f t="shared" ca="1" si="4"/>
        <v>0</v>
      </c>
      <c r="AI64" s="59"/>
      <c r="AJ64" s="70"/>
      <c r="AK64" s="100"/>
      <c r="AL64" s="87"/>
      <c r="AM64" s="87"/>
      <c r="AN64" s="87"/>
      <c r="AO64" s="87"/>
      <c r="AP64" s="87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 t="b">
        <f t="shared" ca="1" si="4"/>
        <v>0</v>
      </c>
      <c r="AI65" s="59"/>
      <c r="AJ65" s="70"/>
      <c r="AK65" s="100"/>
      <c r="AL65" s="87"/>
      <c r="AM65" s="87"/>
      <c r="AN65" s="87"/>
      <c r="AO65" s="87"/>
      <c r="AP65" s="87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 t="b">
        <f t="shared" ca="1" si="4"/>
        <v>0</v>
      </c>
      <c r="AI66" s="59"/>
      <c r="AJ66" s="70"/>
      <c r="AK66" s="100"/>
      <c r="AL66" s="87"/>
      <c r="AM66" s="87"/>
      <c r="AN66" s="87"/>
      <c r="AO66" s="87"/>
      <c r="AP66" s="87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 t="b">
        <f t="shared" ca="1" si="4"/>
        <v>0</v>
      </c>
      <c r="AI67" s="59"/>
      <c r="AJ67" s="70"/>
      <c r="AK67" s="100"/>
      <c r="AL67" s="87"/>
      <c r="AM67" s="87"/>
      <c r="AN67" s="87"/>
      <c r="AO67" s="87"/>
      <c r="AP67" s="87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 t="b">
        <f t="shared" ca="1" si="4"/>
        <v>0</v>
      </c>
      <c r="AI68" s="59"/>
      <c r="AJ68" s="70"/>
      <c r="AK68" s="100"/>
      <c r="AL68" s="87"/>
      <c r="AM68" s="87"/>
      <c r="AN68" s="87"/>
      <c r="AO68" s="87"/>
      <c r="AP68" s="87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 t="b">
        <f t="shared" ca="1" si="4"/>
        <v>0</v>
      </c>
      <c r="AI69" s="59"/>
      <c r="AJ69" s="70"/>
      <c r="AK69" s="100"/>
      <c r="AL69" s="87"/>
      <c r="AM69" s="87"/>
      <c r="AN69" s="87"/>
      <c r="AO69" s="87"/>
      <c r="AP69" s="87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0">AND(B70&lt;&gt;"",ISNA(MATCH(B70,項目リスト,0)))</f>
        <v>0</v>
      </c>
      <c r="U70" s="19" t="b">
        <f t="shared" ref="U70:U105" si="21">COUNTIF(FIELD_NAME,B70)&gt;1</f>
        <v>0</v>
      </c>
      <c r="V70" s="19" t="b">
        <f t="shared" ca="1" si="4"/>
        <v>0</v>
      </c>
      <c r="AI70" s="59"/>
      <c r="AJ70" s="70"/>
      <c r="AK70" s="100"/>
      <c r="AL70" s="87"/>
      <c r="AM70" s="87"/>
      <c r="AN70" s="87"/>
      <c r="AO70" s="87"/>
      <c r="AP70" s="87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0"/>
        <v>0</v>
      </c>
      <c r="U71" s="19" t="b">
        <f t="shared" si="21"/>
        <v>0</v>
      </c>
      <c r="V71" s="19" t="b">
        <f t="shared" ca="1" si="4"/>
        <v>0</v>
      </c>
      <c r="AI71" s="59"/>
      <c r="AJ71" s="70"/>
      <c r="AK71" s="100"/>
      <c r="AL71" s="87"/>
      <c r="AM71" s="87"/>
      <c r="AN71" s="87"/>
      <c r="AO71" s="87"/>
      <c r="AP71" s="87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0"/>
        <v>0</v>
      </c>
      <c r="U72" s="19" t="b">
        <f t="shared" si="21"/>
        <v>0</v>
      </c>
      <c r="V72" s="19" t="b">
        <f t="shared" ca="1" si="4"/>
        <v>0</v>
      </c>
      <c r="AI72" s="59"/>
      <c r="AJ72" s="70"/>
      <c r="AK72" s="100"/>
      <c r="AL72" s="87"/>
      <c r="AM72" s="87"/>
      <c r="AN72" s="87"/>
      <c r="AO72" s="87"/>
      <c r="AP72" s="87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0"/>
        <v>0</v>
      </c>
      <c r="U73" s="19" t="b">
        <f t="shared" si="21"/>
        <v>0</v>
      </c>
      <c r="V73" s="19" t="b">
        <f t="shared" ref="V73:V105" ca="1" si="22">AND(E73="",H73&lt;&gt;"",H73)</f>
        <v>0</v>
      </c>
      <c r="AI73" s="59"/>
      <c r="AJ73" s="70"/>
      <c r="AK73" s="100"/>
      <c r="AL73" s="87"/>
      <c r="AM73" s="87"/>
      <c r="AN73" s="87"/>
      <c r="AO73" s="87"/>
      <c r="AP73" s="87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0"/>
        <v>0</v>
      </c>
      <c r="U74" s="19" t="b">
        <f t="shared" si="21"/>
        <v>0</v>
      </c>
      <c r="V74" s="19" t="b">
        <f t="shared" ca="1" si="22"/>
        <v>0</v>
      </c>
      <c r="AI74" s="59"/>
      <c r="AJ74" s="70"/>
      <c r="AK74" s="100"/>
      <c r="AL74" s="87"/>
      <c r="AM74" s="87"/>
      <c r="AN74" s="87"/>
      <c r="AO74" s="87"/>
      <c r="AP74" s="87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0"/>
        <v>0</v>
      </c>
      <c r="U75" s="19" t="b">
        <f t="shared" si="21"/>
        <v>0</v>
      </c>
      <c r="V75" s="19" t="b">
        <f t="shared" ca="1" si="22"/>
        <v>0</v>
      </c>
      <c r="AI75" s="59"/>
      <c r="AJ75" s="70"/>
      <c r="AK75" s="100"/>
      <c r="AL75" s="87"/>
      <c r="AM75" s="87"/>
      <c r="AN75" s="87"/>
      <c r="AO75" s="87"/>
      <c r="AP75" s="87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0"/>
        <v>0</v>
      </c>
      <c r="U76" s="19" t="b">
        <f t="shared" si="21"/>
        <v>0</v>
      </c>
      <c r="V76" s="19" t="b">
        <f t="shared" ca="1" si="22"/>
        <v>0</v>
      </c>
      <c r="AI76" s="59"/>
      <c r="AJ76" s="70"/>
      <c r="AK76" s="100"/>
      <c r="AL76" s="87"/>
      <c r="AM76" s="87"/>
      <c r="AN76" s="87"/>
      <c r="AO76" s="87"/>
      <c r="AP76" s="87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0"/>
        <v>0</v>
      </c>
      <c r="U77" s="19" t="b">
        <f t="shared" si="21"/>
        <v>0</v>
      </c>
      <c r="V77" s="19" t="b">
        <f t="shared" ca="1" si="22"/>
        <v>0</v>
      </c>
      <c r="AI77" s="59"/>
      <c r="AJ77" s="70"/>
      <c r="AK77" s="100"/>
      <c r="AL77" s="87"/>
      <c r="AM77" s="87"/>
      <c r="AN77" s="87"/>
      <c r="AO77" s="87"/>
      <c r="AP77" s="87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0"/>
        <v>0</v>
      </c>
      <c r="U78" s="19" t="b">
        <f t="shared" si="21"/>
        <v>0</v>
      </c>
      <c r="V78" s="19" t="b">
        <f t="shared" ca="1" si="22"/>
        <v>0</v>
      </c>
      <c r="AI78" s="59"/>
      <c r="AJ78" s="70"/>
      <c r="AK78" s="100"/>
      <c r="AL78" s="87"/>
      <c r="AM78" s="87"/>
      <c r="AN78" s="87"/>
      <c r="AO78" s="87"/>
      <c r="AP78" s="87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0"/>
        <v>0</v>
      </c>
      <c r="U79" s="19" t="b">
        <f t="shared" si="21"/>
        <v>0</v>
      </c>
      <c r="V79" s="19" t="b">
        <f t="shared" ca="1" si="22"/>
        <v>0</v>
      </c>
      <c r="AI79" s="59"/>
      <c r="AJ79" s="70"/>
      <c r="AK79" s="100"/>
      <c r="AL79" s="87"/>
      <c r="AM79" s="87"/>
      <c r="AN79" s="87"/>
      <c r="AO79" s="87"/>
      <c r="AP79" s="87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0"/>
        <v>0</v>
      </c>
      <c r="U80" s="19" t="b">
        <f t="shared" si="21"/>
        <v>0</v>
      </c>
      <c r="V80" s="19" t="b">
        <f t="shared" ca="1" si="22"/>
        <v>0</v>
      </c>
      <c r="AI80" s="59"/>
      <c r="AJ80" s="70"/>
      <c r="AK80" s="100"/>
      <c r="AL80" s="87"/>
      <c r="AM80" s="87"/>
      <c r="AN80" s="87"/>
      <c r="AO80" s="87"/>
      <c r="AP80" s="87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0"/>
        <v>0</v>
      </c>
      <c r="U81" s="19" t="b">
        <f t="shared" si="21"/>
        <v>0</v>
      </c>
      <c r="V81" s="19" t="b">
        <f t="shared" ca="1" si="22"/>
        <v>0</v>
      </c>
      <c r="AI81" s="59"/>
      <c r="AJ81" s="70"/>
      <c r="AK81" s="100"/>
      <c r="AL81" s="87"/>
      <c r="AM81" s="87"/>
      <c r="AN81" s="87"/>
      <c r="AO81" s="87"/>
      <c r="AP81" s="87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0"/>
        <v>0</v>
      </c>
      <c r="U82" s="19" t="b">
        <f t="shared" si="21"/>
        <v>0</v>
      </c>
      <c r="V82" s="19" t="b">
        <f t="shared" ca="1" si="22"/>
        <v>0</v>
      </c>
      <c r="AI82" s="59"/>
      <c r="AJ82" s="70"/>
      <c r="AK82" s="100"/>
      <c r="AL82" s="87"/>
      <c r="AM82" s="87"/>
      <c r="AN82" s="87"/>
      <c r="AO82" s="87"/>
      <c r="AP82" s="87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0"/>
        <v>0</v>
      </c>
      <c r="U83" s="19" t="b">
        <f t="shared" si="21"/>
        <v>0</v>
      </c>
      <c r="V83" s="19" t="b">
        <f t="shared" ca="1" si="22"/>
        <v>0</v>
      </c>
      <c r="AI83" s="59"/>
      <c r="AJ83" s="70"/>
      <c r="AK83" s="100"/>
      <c r="AL83" s="87"/>
      <c r="AM83" s="87"/>
      <c r="AN83" s="87"/>
      <c r="AO83" s="87"/>
      <c r="AP83" s="87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0"/>
        <v>0</v>
      </c>
      <c r="U84" s="19" t="b">
        <f t="shared" si="21"/>
        <v>0</v>
      </c>
      <c r="V84" s="19" t="b">
        <f t="shared" ca="1" si="22"/>
        <v>0</v>
      </c>
      <c r="AI84" s="59"/>
      <c r="AJ84" s="70"/>
      <c r="AK84" s="100"/>
      <c r="AL84" s="87"/>
      <c r="AM84" s="87"/>
      <c r="AN84" s="87"/>
      <c r="AO84" s="87"/>
      <c r="AP84" s="87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0"/>
        <v>0</v>
      </c>
      <c r="U85" s="19" t="b">
        <f t="shared" si="21"/>
        <v>0</v>
      </c>
      <c r="V85" s="19" t="b">
        <f t="shared" ca="1" si="22"/>
        <v>0</v>
      </c>
      <c r="AI85" s="59"/>
      <c r="AJ85" s="70"/>
      <c r="AK85" s="100"/>
      <c r="AL85" s="87"/>
      <c r="AM85" s="87"/>
      <c r="AN85" s="87"/>
      <c r="AO85" s="87"/>
      <c r="AP85" s="87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0"/>
        <v>0</v>
      </c>
      <c r="U86" s="19" t="b">
        <f t="shared" si="21"/>
        <v>0</v>
      </c>
      <c r="V86" s="19" t="b">
        <f t="shared" ca="1" si="22"/>
        <v>0</v>
      </c>
      <c r="AI86" s="59"/>
      <c r="AJ86" s="70"/>
      <c r="AK86" s="100"/>
      <c r="AL86" s="87"/>
      <c r="AM86" s="87"/>
      <c r="AN86" s="87"/>
      <c r="AO86" s="87"/>
      <c r="AP86" s="87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0"/>
        <v>0</v>
      </c>
      <c r="U87" s="19" t="b">
        <f t="shared" si="21"/>
        <v>0</v>
      </c>
      <c r="V87" s="19" t="b">
        <f t="shared" ca="1" si="22"/>
        <v>0</v>
      </c>
      <c r="AI87" s="59"/>
      <c r="AJ87" s="70"/>
      <c r="AK87" s="100"/>
      <c r="AL87" s="87"/>
      <c r="AM87" s="87"/>
      <c r="AN87" s="87"/>
      <c r="AO87" s="87"/>
      <c r="AP87" s="87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0"/>
        <v>0</v>
      </c>
      <c r="U88" s="19" t="b">
        <f t="shared" si="21"/>
        <v>0</v>
      </c>
      <c r="V88" s="19" t="b">
        <f t="shared" ca="1" si="22"/>
        <v>0</v>
      </c>
      <c r="AI88" s="59"/>
      <c r="AJ88" s="70"/>
      <c r="AK88" s="100"/>
      <c r="AL88" s="87"/>
      <c r="AM88" s="87"/>
      <c r="AN88" s="87"/>
      <c r="AO88" s="87"/>
      <c r="AP88" s="87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0"/>
        <v>0</v>
      </c>
      <c r="U89" s="19" t="b">
        <f t="shared" si="21"/>
        <v>0</v>
      </c>
      <c r="V89" s="19" t="b">
        <f t="shared" ca="1" si="22"/>
        <v>0</v>
      </c>
      <c r="AI89" s="59"/>
      <c r="AJ89" s="70"/>
      <c r="AK89" s="100"/>
      <c r="AL89" s="87"/>
      <c r="AM89" s="87"/>
      <c r="AN89" s="87"/>
      <c r="AO89" s="87"/>
      <c r="AP89" s="87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0"/>
        <v>0</v>
      </c>
      <c r="U90" s="19" t="b">
        <f t="shared" si="21"/>
        <v>0</v>
      </c>
      <c r="V90" s="19" t="b">
        <f t="shared" ca="1" si="22"/>
        <v>0</v>
      </c>
      <c r="AI90" s="59"/>
      <c r="AJ90" s="70"/>
      <c r="AK90" s="100"/>
      <c r="AL90" s="87"/>
      <c r="AM90" s="87"/>
      <c r="AN90" s="87"/>
      <c r="AO90" s="87"/>
      <c r="AP90" s="87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0"/>
        <v>0</v>
      </c>
      <c r="U91" s="19" t="b">
        <f t="shared" si="21"/>
        <v>0</v>
      </c>
      <c r="V91" s="19" t="b">
        <f t="shared" ca="1" si="22"/>
        <v>0</v>
      </c>
      <c r="AI91" s="59"/>
      <c r="AJ91" s="70"/>
      <c r="AK91" s="100"/>
      <c r="AL91" s="87"/>
      <c r="AM91" s="87"/>
      <c r="AN91" s="87"/>
      <c r="AO91" s="87"/>
      <c r="AP91" s="87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0"/>
        <v>0</v>
      </c>
      <c r="U92" s="19" t="b">
        <f t="shared" si="21"/>
        <v>0</v>
      </c>
      <c r="V92" s="19" t="b">
        <f t="shared" ca="1" si="22"/>
        <v>0</v>
      </c>
      <c r="AI92" s="59"/>
      <c r="AJ92" s="70"/>
      <c r="AK92" s="100"/>
      <c r="AL92" s="87"/>
      <c r="AM92" s="87"/>
      <c r="AN92" s="87"/>
      <c r="AO92" s="87"/>
      <c r="AP92" s="87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0"/>
        <v>0</v>
      </c>
      <c r="U93" s="19" t="b">
        <f t="shared" si="21"/>
        <v>0</v>
      </c>
      <c r="V93" s="19" t="b">
        <f t="shared" ca="1" si="22"/>
        <v>0</v>
      </c>
      <c r="AI93" s="59"/>
      <c r="AJ93" s="70"/>
      <c r="AK93" s="100"/>
      <c r="AL93" s="87"/>
      <c r="AM93" s="87"/>
      <c r="AN93" s="87"/>
      <c r="AO93" s="87"/>
      <c r="AP93" s="87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0"/>
        <v>0</v>
      </c>
      <c r="U94" s="19" t="b">
        <f t="shared" si="21"/>
        <v>0</v>
      </c>
      <c r="V94" s="19" t="b">
        <f t="shared" ca="1" si="22"/>
        <v>0</v>
      </c>
      <c r="AI94" s="59"/>
      <c r="AJ94" s="70"/>
      <c r="AK94" s="100"/>
      <c r="AL94" s="87"/>
      <c r="AM94" s="87"/>
      <c r="AN94" s="87"/>
      <c r="AO94" s="87"/>
      <c r="AP94" s="87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0"/>
        <v>0</v>
      </c>
      <c r="U95" s="19" t="b">
        <f t="shared" si="21"/>
        <v>0</v>
      </c>
      <c r="V95" s="19" t="b">
        <f t="shared" ca="1" si="22"/>
        <v>0</v>
      </c>
      <c r="AI95" s="59"/>
      <c r="AJ95" s="70"/>
      <c r="AK95" s="100"/>
      <c r="AL95" s="87"/>
      <c r="AM95" s="87"/>
      <c r="AN95" s="87"/>
      <c r="AO95" s="87"/>
      <c r="AP95" s="87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0"/>
        <v>0</v>
      </c>
      <c r="U96" s="19" t="b">
        <f t="shared" si="21"/>
        <v>0</v>
      </c>
      <c r="V96" s="19" t="b">
        <f t="shared" ca="1" si="22"/>
        <v>0</v>
      </c>
      <c r="AI96" s="59"/>
      <c r="AJ96" s="70"/>
      <c r="AK96" s="100"/>
      <c r="AL96" s="87"/>
      <c r="AM96" s="87"/>
      <c r="AN96" s="87"/>
      <c r="AO96" s="87"/>
      <c r="AP96" s="87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0"/>
        <v>0</v>
      </c>
      <c r="U97" s="19" t="b">
        <f t="shared" si="21"/>
        <v>0</v>
      </c>
      <c r="V97" s="19" t="b">
        <f t="shared" ca="1" si="22"/>
        <v>0</v>
      </c>
      <c r="AI97" s="59"/>
      <c r="AJ97" s="70"/>
      <c r="AK97" s="100"/>
      <c r="AL97" s="87"/>
      <c r="AM97" s="87"/>
      <c r="AN97" s="87"/>
      <c r="AO97" s="87"/>
      <c r="AP97" s="87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0"/>
        <v>0</v>
      </c>
      <c r="U98" s="19" t="b">
        <f t="shared" si="21"/>
        <v>0</v>
      </c>
      <c r="V98" s="19" t="b">
        <f t="shared" ca="1" si="22"/>
        <v>0</v>
      </c>
      <c r="AI98" s="59"/>
      <c r="AJ98" s="70"/>
      <c r="AK98" s="100"/>
      <c r="AL98" s="87"/>
      <c r="AM98" s="87"/>
      <c r="AN98" s="87"/>
      <c r="AO98" s="87"/>
      <c r="AP98" s="87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0"/>
        <v>0</v>
      </c>
      <c r="U99" s="19" t="b">
        <f t="shared" si="21"/>
        <v>0</v>
      </c>
      <c r="V99" s="19" t="b">
        <f t="shared" ca="1" si="22"/>
        <v>0</v>
      </c>
      <c r="AI99" s="59"/>
      <c r="AJ99" s="70"/>
      <c r="AK99" s="100"/>
      <c r="AL99" s="87"/>
      <c r="AM99" s="87"/>
      <c r="AN99" s="87"/>
      <c r="AO99" s="87"/>
      <c r="AP99" s="87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0"/>
        <v>0</v>
      </c>
      <c r="U100" s="19" t="b">
        <f t="shared" si="21"/>
        <v>0</v>
      </c>
      <c r="V100" s="19" t="b">
        <f t="shared" ca="1" si="22"/>
        <v>0</v>
      </c>
      <c r="AI100" s="59"/>
      <c r="AJ100" s="70"/>
      <c r="AK100" s="100"/>
      <c r="AL100" s="87"/>
      <c r="AM100" s="87"/>
      <c r="AN100" s="87"/>
      <c r="AO100" s="87"/>
      <c r="AP100" s="87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0"/>
        <v>0</v>
      </c>
      <c r="U101" s="19" t="b">
        <f t="shared" si="21"/>
        <v>0</v>
      </c>
      <c r="V101" s="19" t="b">
        <f t="shared" ca="1" si="22"/>
        <v>0</v>
      </c>
      <c r="AI101" s="59"/>
      <c r="AJ101" s="70"/>
      <c r="AK101" s="100"/>
      <c r="AL101" s="87"/>
      <c r="AM101" s="87"/>
      <c r="AN101" s="87"/>
      <c r="AO101" s="87"/>
      <c r="AP101" s="87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0"/>
        <v>0</v>
      </c>
      <c r="U102" s="19" t="b">
        <f t="shared" si="21"/>
        <v>0</v>
      </c>
      <c r="V102" s="19" t="b">
        <f t="shared" ca="1" si="22"/>
        <v>0</v>
      </c>
      <c r="AI102" s="59"/>
      <c r="AJ102" s="70"/>
      <c r="AK102" s="100"/>
      <c r="AL102" s="87"/>
      <c r="AM102" s="87"/>
      <c r="AN102" s="87"/>
      <c r="AO102" s="87"/>
      <c r="AP102" s="87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0"/>
        <v>0</v>
      </c>
      <c r="U103" s="19" t="b">
        <f t="shared" si="21"/>
        <v>0</v>
      </c>
      <c r="V103" s="19" t="b">
        <f t="shared" ca="1" si="22"/>
        <v>0</v>
      </c>
      <c r="AI103" s="59"/>
      <c r="AJ103" s="70"/>
      <c r="AK103" s="100"/>
      <c r="AL103" s="87"/>
      <c r="AM103" s="87"/>
      <c r="AN103" s="87"/>
      <c r="AO103" s="87"/>
      <c r="AP103" s="87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0"/>
        <v>0</v>
      </c>
      <c r="U104" s="19" t="b">
        <f t="shared" si="21"/>
        <v>0</v>
      </c>
      <c r="V104" s="19" t="b">
        <f t="shared" ca="1" si="22"/>
        <v>0</v>
      </c>
      <c r="AI104" s="59"/>
      <c r="AJ104" s="70"/>
      <c r="AK104" s="100"/>
      <c r="AL104" s="87"/>
      <c r="AM104" s="87"/>
      <c r="AN104" s="87"/>
      <c r="AO104" s="87"/>
      <c r="AP104" s="87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0"/>
        <v>0</v>
      </c>
      <c r="U105" s="19" t="b">
        <f t="shared" si="21"/>
        <v>0</v>
      </c>
      <c r="V105" s="19" t="b">
        <f t="shared" ca="1" si="22"/>
        <v>0</v>
      </c>
      <c r="AI105" s="59"/>
      <c r="AJ105" s="70"/>
      <c r="AK105" s="100"/>
      <c r="AL105" s="87"/>
      <c r="AM105" s="87"/>
      <c r="AN105" s="87"/>
      <c r="AO105" s="87"/>
      <c r="AP105" s="87"/>
    </row>
  </sheetData>
  <phoneticPr fontId="2"/>
  <conditionalFormatting sqref="B2:C2">
    <cfRule type="expression" dxfId="127" priority="23">
      <formula>ISERROR(B2)</formula>
    </cfRule>
  </conditionalFormatting>
  <conditionalFormatting sqref="B6:B105">
    <cfRule type="expression" dxfId="126" priority="21">
      <formula>COUNTIF(FIELD_NAME,B6)&gt;1</formula>
    </cfRule>
    <cfRule type="expression" dxfId="125" priority="22">
      <formula>AND($B6&lt;&gt;"",ISNA(MATCH($B6,項目リスト,0)))</formula>
    </cfRule>
  </conditionalFormatting>
  <conditionalFormatting sqref="B6">
    <cfRule type="expression" dxfId="124" priority="20">
      <formula>$AI$6="N/A"</formula>
    </cfRule>
  </conditionalFormatting>
  <conditionalFormatting sqref="D1">
    <cfRule type="cellIs" dxfId="123" priority="19" operator="greaterThan">
      <formula>0</formula>
    </cfRule>
  </conditionalFormatting>
  <conditionalFormatting sqref="L8:P8">
    <cfRule type="expression" dxfId="122" priority="25">
      <formula>Y8</formula>
    </cfRule>
    <cfRule type="expression" dxfId="121" priority="26">
      <formula>Y7</formula>
    </cfRule>
  </conditionalFormatting>
  <conditionalFormatting sqref="L13:P22">
    <cfRule type="expression" dxfId="120" priority="17">
      <formula>Y13</formula>
    </cfRule>
    <cfRule type="expression" dxfId="119" priority="18">
      <formula>$AD13</formula>
    </cfRule>
  </conditionalFormatting>
  <conditionalFormatting sqref="L8">
    <cfRule type="expression" dxfId="118" priority="24">
      <formula>$AG$7</formula>
    </cfRule>
  </conditionalFormatting>
  <conditionalFormatting sqref="L55:P64">
    <cfRule type="expression" dxfId="117" priority="15">
      <formula>Y55</formula>
    </cfRule>
    <cfRule type="expression" dxfId="116" priority="16">
      <formula>$AD55</formula>
    </cfRule>
  </conditionalFormatting>
  <conditionalFormatting sqref="L43:P44">
    <cfRule type="expression" dxfId="115" priority="14">
      <formula>Y42</formula>
    </cfRule>
  </conditionalFormatting>
  <conditionalFormatting sqref="L43:P43">
    <cfRule type="expression" dxfId="114" priority="12">
      <formula>$AD42</formula>
    </cfRule>
    <cfRule type="expression" dxfId="113" priority="28">
      <formula>Y41</formula>
    </cfRule>
  </conditionalFormatting>
  <conditionalFormatting sqref="L26">
    <cfRule type="expression" dxfId="112" priority="29">
      <formula>X28</formula>
    </cfRule>
    <cfRule type="expression" dxfId="111" priority="30">
      <formula>$AD27</formula>
    </cfRule>
  </conditionalFormatting>
  <conditionalFormatting sqref="L43">
    <cfRule type="expression" dxfId="110" priority="13">
      <formula>$AD41</formula>
    </cfRule>
  </conditionalFormatting>
  <conditionalFormatting sqref="L28:P29 L33:P34 L38:P39 L48:P49 L43:P44">
    <cfRule type="expression" dxfId="109" priority="31">
      <formula>Y27</formula>
    </cfRule>
  </conditionalFormatting>
  <conditionalFormatting sqref="L29:P29 L34:P34 L39:P39 L49:P49">
    <cfRule type="expression" dxfId="108" priority="32">
      <formula>$AD27</formula>
    </cfRule>
    <cfRule type="expression" dxfId="107" priority="33">
      <formula>Y26</formula>
    </cfRule>
  </conditionalFormatting>
  <conditionalFormatting sqref="L28 L33 L38 L48 L43">
    <cfRule type="expression" dxfId="106" priority="34">
      <formula>$AD26</formula>
    </cfRule>
  </conditionalFormatting>
  <conditionalFormatting sqref="L31 L36 L41 L46">
    <cfRule type="expression" dxfId="105" priority="35">
      <formula>X33</formula>
    </cfRule>
    <cfRule type="expression" dxfId="104" priority="36">
      <formula>$AD33</formula>
    </cfRule>
  </conditionalFormatting>
  <conditionalFormatting sqref="L44:P44">
    <cfRule type="expression" dxfId="103" priority="37">
      <formula>$AD42</formula>
    </cfRule>
    <cfRule type="expression" dxfId="102" priority="38">
      <formula>Y41</formula>
    </cfRule>
  </conditionalFormatting>
  <conditionalFormatting sqref="L28:P28 L33:P33 L38:P38 L43:P43 L48:P48">
    <cfRule type="expression" dxfId="101" priority="11">
      <formula>$AD27</formula>
    </cfRule>
    <cfRule type="expression" dxfId="100" priority="27">
      <formula>Y26</formula>
    </cfRule>
  </conditionalFormatting>
  <conditionalFormatting sqref="K56">
    <cfRule type="expression" dxfId="99" priority="9">
      <formula>X56</formula>
    </cfRule>
    <cfRule type="expression" dxfId="98" priority="10">
      <formula>$AD56</formula>
    </cfRule>
  </conditionalFormatting>
  <conditionalFormatting sqref="K58">
    <cfRule type="expression" dxfId="97" priority="7">
      <formula>X58</formula>
    </cfRule>
    <cfRule type="expression" dxfId="96" priority="8">
      <formula>$AD58</formula>
    </cfRule>
  </conditionalFormatting>
  <conditionalFormatting sqref="K60">
    <cfRule type="expression" dxfId="95" priority="5">
      <formula>X60</formula>
    </cfRule>
    <cfRule type="expression" dxfId="94" priority="6">
      <formula>$AD60</formula>
    </cfRule>
  </conditionalFormatting>
  <conditionalFormatting sqref="K62">
    <cfRule type="expression" dxfId="93" priority="3">
      <formula>X62</formula>
    </cfRule>
    <cfRule type="expression" dxfId="92" priority="4">
      <formula>$AD62</formula>
    </cfRule>
  </conditionalFormatting>
  <conditionalFormatting sqref="K64">
    <cfRule type="expression" dxfId="91" priority="1">
      <formula>X64</formula>
    </cfRule>
    <cfRule type="expression" dxfId="90" priority="2">
      <formula>$AD64</formula>
    </cfRule>
  </conditionalFormatting>
  <conditionalFormatting sqref="E6">
    <cfRule type="expression" dxfId="89" priority="39" stopIfTrue="1">
      <formula>$V6</formula>
    </cfRule>
  </conditionalFormatting>
  <conditionalFormatting sqref="E7">
    <cfRule type="expression" dxfId="88" priority="40" stopIfTrue="1">
      <formula>$V7</formula>
    </cfRule>
  </conditionalFormatting>
  <conditionalFormatting sqref="E8">
    <cfRule type="expression" dxfId="87" priority="41" stopIfTrue="1">
      <formula>$V8</formula>
    </cfRule>
  </conditionalFormatting>
  <conditionalFormatting sqref="E9">
    <cfRule type="expression" dxfId="86" priority="42" stopIfTrue="1">
      <formula>$V9</formula>
    </cfRule>
  </conditionalFormatting>
  <conditionalFormatting sqref="E10">
    <cfRule type="expression" dxfId="85" priority="43" stopIfTrue="1">
      <formula>$V10</formula>
    </cfRule>
  </conditionalFormatting>
  <dataValidations count="16">
    <dataValidation imeMode="off" allowBlank="1" showInputMessage="1" showErrorMessage="1" sqref="D5:F5 C2" xr:uid="{726BBF16-C75F-4ADF-A170-57845A640C99}"/>
    <dataValidation type="whole" imeMode="off" operator="equal" allowBlank="1" showInputMessage="1" showErrorMessage="1" error="DESC指定の場合に‐1を入力" sqref="L56:P56 L58:P58 L60:P60 L62:P62 L64:P64" xr:uid="{F32BBDA1-9FBA-4D9F-82A5-D57B8855C48E}">
      <formula1>-1</formula1>
    </dataValidation>
    <dataValidation type="whole" imeMode="off" operator="equal" allowBlank="1" showInputMessage="1" showErrorMessage="1" error="Unique indexの場合に1を入力" sqref="K56 K58 K60 K62 K64" xr:uid="{19B98AE3-D54F-4DDC-BCC7-234B7683E8F2}">
      <formula1>1</formula1>
    </dataValidation>
    <dataValidation type="list" allowBlank="1" showInputMessage="1" showErrorMessage="1" sqref="N26 P26 N31 P31 N36 P36 N41 P41 N46 P46" xr:uid="{4205EA5C-C1C2-4843-BD59-F6C1C8B24502}">
      <formula1>FK_OPTION</formula1>
    </dataValidation>
    <dataValidation type="list" allowBlank="1" showInputMessage="1" showErrorMessage="1" sqref="L49:P49" xr:uid="{E8B76111-E180-4E8B-B4E7-C8BC49DBA0C3}">
      <formula1>FK_FIELD_5</formula1>
    </dataValidation>
    <dataValidation type="list" allowBlank="1" showInputMessage="1" showErrorMessage="1" sqref="L44:P44" xr:uid="{C68BEDEA-3B74-4B06-924E-C3A2F1A3972A}">
      <formula1>FK_FIELD_4</formula1>
    </dataValidation>
    <dataValidation type="list" allowBlank="1" showInputMessage="1" showErrorMessage="1" sqref="L39:P39" xr:uid="{D06C91CE-6E13-4254-BBDC-02660E30723C}">
      <formula1>FK_FIELD_3</formula1>
    </dataValidation>
    <dataValidation type="list" allowBlank="1" showInputMessage="1" showErrorMessage="1" sqref="L34:P34" xr:uid="{5E25D597-0B26-4B18-A6A4-6B9120BC8AC8}">
      <formula1>FK_FIELD_2</formula1>
    </dataValidation>
    <dataValidation type="list" allowBlank="1" showInputMessage="1" showErrorMessage="1" sqref="L29:P29" xr:uid="{039B7F4C-28E8-40FE-A959-E539FAEBBD10}">
      <formula1>FK_FIELD_1</formula1>
    </dataValidation>
    <dataValidation type="list" allowBlank="1" showInputMessage="1" showErrorMessage="1" sqref="L26 L31 L36 L41 L46" xr:uid="{D32A2B94-446B-4AA7-92FF-20AC5ECAD7E7}">
      <formula1>TABLEリスト</formula1>
    </dataValidation>
    <dataValidation type="list" allowBlank="1" showInputMessage="1" showErrorMessage="1" sqref="F2" xr:uid="{2878324A-7A16-4EA5-98B0-29E40E139FBC}">
      <formula1>"○,-"</formula1>
    </dataValidation>
    <dataValidation type="list" allowBlank="1" showInputMessage="1" showErrorMessage="1" sqref="L13:P22 L43:P43 L48:P48 L33:P33 L38:P38 L28:P28 L55:P55 L57:P57 L59:P59 L61:P61 L63:P63" xr:uid="{7211B1D9-27F1-456B-BAC7-F587A4F5AEFD}">
      <formula1>FIELDリスト</formula1>
    </dataValidation>
    <dataValidation type="list" allowBlank="1" showInputMessage="1" showErrorMessage="1" sqref="L8:P8" xr:uid="{DFD226D4-55E6-45C5-800A-B13393169CDA}">
      <formula1>FIELDリストNN</formula1>
    </dataValidation>
    <dataValidation type="whole" imeMode="off" operator="equal" allowBlank="1" showInputMessage="1" showErrorMessage="1" error="NotNullの場合は[1]を入力する。" sqref="E6:E105" xr:uid="{C8F55FC2-FC08-4212-B421-CF5DAC5B5D85}">
      <formula1>1</formula1>
    </dataValidation>
    <dataValidation type="list" allowBlank="1" showInputMessage="1" showErrorMessage="1" sqref="B6:B105" xr:uid="{E7ED77D5-B5AB-4EB4-B210-2BB1F3403530}">
      <formula1>項目リスト</formula1>
    </dataValidation>
    <dataValidation imeMode="on" allowBlank="1" showInputMessage="1" showErrorMessage="1" sqref="K12 A5 A1:A2 E2 K7 F6:H105 K54" xr:uid="{73294335-CCF9-42F0-A096-B17608B002A2}"/>
  </dataValidations>
  <hyperlinks>
    <hyperlink ref="E1" location="一覧!R1C1" display="一覧へ" xr:uid="{78924411-49E5-4396-ACBF-F8C8B5C4127F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1540B-C0E3-46FA-8387-43E71A560D56}">
  <sheetPr codeName="template2">
    <tabColor rgb="FFFFFFFF"/>
  </sheetPr>
  <dimension ref="A1:AP105"/>
  <sheetViews>
    <sheetView showGridLines="0" workbookViewId="0">
      <pane ySplit="5" topLeftCell="A45" activePane="bottomLeft" state="frozen"/>
      <selection pane="bottomLeft" activeCell="A58" sqref="A58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2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2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95">
        <v>2</v>
      </c>
      <c r="E2" s="89" t="s">
        <v>158</v>
      </c>
      <c r="F2" s="90" t="s">
        <v>173</v>
      </c>
      <c r="G2" s="40"/>
      <c r="AF2" s="7" t="s">
        <v>17</v>
      </c>
      <c r="AG2" s="7" t="b">
        <f>OR(ISERROR(TABLE_JP),ISERROR(TABLE_EN))</f>
        <v>0</v>
      </c>
    </row>
    <row r="3" spans="1:42">
      <c r="AE3" s="7" t="s">
        <v>8</v>
      </c>
      <c r="AF3" s="7" t="s">
        <v>25</v>
      </c>
      <c r="AG3" s="7" t="b">
        <f>AI6="N/A"</f>
        <v>0</v>
      </c>
      <c r="AI3" s="7" t="s">
        <v>180</v>
      </c>
    </row>
    <row r="4" spans="1:42" ht="20">
      <c r="A4" s="10" t="s">
        <v>45</v>
      </c>
      <c r="K4" s="10" t="s">
        <v>46</v>
      </c>
      <c r="T4" s="69" t="s">
        <v>150</v>
      </c>
      <c r="AF4" s="7" t="s">
        <v>19</v>
      </c>
      <c r="AG4" s="7" t="b">
        <f ca="1">OR(T6:T105)</f>
        <v>0</v>
      </c>
      <c r="AI4" s="101" t="s">
        <v>186</v>
      </c>
      <c r="AJ4" s="101" t="s">
        <v>187</v>
      </c>
      <c r="AK4" s="101" t="s">
        <v>8</v>
      </c>
      <c r="AL4" s="101" t="s">
        <v>181</v>
      </c>
      <c r="AM4" s="101" t="s">
        <v>182</v>
      </c>
      <c r="AN4" s="101" t="s">
        <v>183</v>
      </c>
      <c r="AO4" s="101" t="s">
        <v>184</v>
      </c>
      <c r="AP4" s="101" t="s">
        <v>185</v>
      </c>
    </row>
    <row r="5" spans="1:42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I5" s="59">
        <f>COUNTA(AI6:AI105)</f>
        <v>5</v>
      </c>
      <c r="AJ5" s="70">
        <f>COUNTA(AJ6:AJ105)</f>
        <v>3</v>
      </c>
      <c r="AK5" s="100">
        <f>COUNTA(AK6:AK105)</f>
        <v>2</v>
      </c>
      <c r="AL5" s="87" cm="1">
        <f t="array" aca="1" ref="AL5" ca="1">IFERROR(INDIRECT($L$26&amp;"!R5C35",FALSE),1)</f>
        <v>5</v>
      </c>
      <c r="AM5" s="87" cm="1">
        <f t="array" aca="1" ref="AM5" ca="1">IFERROR(INDIRECT($L$31&amp;"!R5C35",FALSE),1)</f>
        <v>1</v>
      </c>
      <c r="AN5" s="87" cm="1">
        <f t="array" aca="1" ref="AN5" ca="1">IFERROR(INDIRECT($L$36&amp;"!R5C35",FALSE),1)</f>
        <v>1</v>
      </c>
      <c r="AO5" s="87" cm="1">
        <f t="array" aca="1" ref="AO5" ca="1">IFERROR(INDIRECT($L$41&amp;"!R5C35",FALSE),1)</f>
        <v>1</v>
      </c>
      <c r="AP5" s="87" cm="1">
        <f t="array" aca="1" ref="AP5" ca="1">IFERROR(INDIRECT($L$46&amp;"!R5C35",FALSE),1)</f>
        <v>1</v>
      </c>
    </row>
    <row r="6" spans="1:42" ht="15" customHeight="1">
      <c r="A6" s="47">
        <v>1</v>
      </c>
      <c r="B6" s="41" t="s">
        <v>30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178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151</v>
      </c>
      <c r="AF6" s="7" t="s">
        <v>24</v>
      </c>
      <c r="AG6" s="7" t="b">
        <f ca="1">OR(V6:V105)</f>
        <v>0</v>
      </c>
      <c r="AI6" s="59" t="s">
        <v>174</v>
      </c>
      <c r="AJ6" s="70" t="s">
        <v>174</v>
      </c>
      <c r="AK6" s="100" t="s">
        <v>179</v>
      </c>
      <c r="AL6" s="87" t="str" cm="1">
        <f t="array" aca="1" ref="AL6:AL10" ca="1">IFERROR(OFFSET(INDIRECT($L$26&amp;"!R6C35",FALSE),,,AL5,),"N/A")</f>
        <v>得意先ID</v>
      </c>
      <c r="AM6" s="87" t="str" cm="1">
        <f t="array" aca="1" ref="AM6" ca="1">IFERROR(OFFSET(INDIRECT($L$31&amp;"!R6C35",FALSE),,,AM5,),"N/A")</f>
        <v>N/A</v>
      </c>
      <c r="AN6" s="87" t="str" cm="1">
        <f t="array" aca="1" ref="AN6" ca="1">IFERROR(OFFSET(INDIRECT($L$36&amp;"!R6C35",FALSE),,,AN5,),"N/A")</f>
        <v>N/A</v>
      </c>
      <c r="AO6" s="87" t="str" cm="1">
        <f t="array" aca="1" ref="AO6" ca="1">IFERROR(OFFSET(INDIRECT($L$41&amp;"!R6C35",FALSE),,,AO5,),"N/A")</f>
        <v>N/A</v>
      </c>
      <c r="AP6" s="87" t="str" cm="1">
        <f t="array" aca="1" ref="AP6" ca="1">IFERROR(OFFSET(INDIRECT($L$46&amp;"!R6C35",FALSE),,,AP5,),"N/A")</f>
        <v>N/A</v>
      </c>
    </row>
    <row r="7" spans="1:42">
      <c r="A7" s="48">
        <v>2</v>
      </c>
      <c r="B7" s="42" t="s">
        <v>28</v>
      </c>
      <c r="C7" s="35" t="str">
        <f ca="1">IFERROR(VLOOKUP(B7,項目!DATA_AREA,2,FALSE),"")</f>
        <v>order_date</v>
      </c>
      <c r="D7" s="35" t="str">
        <f ca="1">IFERROR(VLOOKUP(B7,項目!DATA_AREA,3,FALSE),"")</f>
        <v>date</v>
      </c>
      <c r="E7" s="51">
        <v>1</v>
      </c>
      <c r="F7" s="45"/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3">COUNTIF(FIELD_NAME,B7)&gt;1</f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I7" s="59" t="s">
        <v>28</v>
      </c>
      <c r="AJ7" s="70" t="s">
        <v>28</v>
      </c>
      <c r="AK7" s="100" t="s">
        <v>175</v>
      </c>
      <c r="AL7" s="87" t="str">
        <f ca="1"/>
        <v>得意先</v>
      </c>
      <c r="AM7" s="87"/>
      <c r="AN7" s="87"/>
      <c r="AO7" s="87"/>
      <c r="AP7" s="87"/>
    </row>
    <row r="8" spans="1:42">
      <c r="A8" s="48">
        <v>3</v>
      </c>
      <c r="B8" s="42" t="s">
        <v>31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1" t="s">
        <v>14</v>
      </c>
      <c r="L8" s="72" t="s">
        <v>30</v>
      </c>
      <c r="M8" s="73"/>
      <c r="N8" s="73"/>
      <c r="O8" s="73"/>
      <c r="P8" s="74"/>
      <c r="T8" s="19" t="b">
        <f t="shared" ca="1" si="0"/>
        <v>0</v>
      </c>
      <c r="U8" s="19" t="b">
        <f t="shared" si="3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31</v>
      </c>
      <c r="AJ8" s="70" t="s">
        <v>32</v>
      </c>
      <c r="AK8" s="100"/>
      <c r="AL8" s="87" t="str">
        <f ca="1"/>
        <v>担当者名</v>
      </c>
      <c r="AM8" s="87"/>
      <c r="AN8" s="87"/>
      <c r="AO8" s="87"/>
      <c r="AP8" s="87"/>
    </row>
    <row r="9" spans="1:42">
      <c r="A9" s="48">
        <v>4</v>
      </c>
      <c r="B9" s="42" t="s">
        <v>32</v>
      </c>
      <c r="C9" s="35" t="str">
        <f ca="1">IFERROR(VLOOKUP(B9,項目!DATA_AREA,2,FALSE),"")</f>
        <v>customer_id</v>
      </c>
      <c r="D9" s="35" t="str">
        <f ca="1">IFERROR(VLOOKUP(B9,項目!DATA_AREA,3,FALSE),"")</f>
        <v>varchar(3)</v>
      </c>
      <c r="E9" s="51">
        <v>1</v>
      </c>
      <c r="F9" s="45"/>
      <c r="G9" s="38" t="str">
        <f ca="1">IFERROR(VLOOKUP(B9,項目!DATA_AREA,4,FALSE),"")</f>
        <v>(LENGTH(customer_id) = 3)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3"/>
        <v>0</v>
      </c>
      <c r="V9" s="19" t="b">
        <f t="shared" ref="V9:V72" ca="1" si="4">AND(E9="",H9&lt;&gt;"",H9)</f>
        <v>0</v>
      </c>
      <c r="AF9" s="7" t="s">
        <v>23</v>
      </c>
      <c r="AG9" s="7" t="b">
        <f>OR(Y8:AC8)</f>
        <v>0</v>
      </c>
      <c r="AI9" s="59" t="s">
        <v>32</v>
      </c>
      <c r="AJ9" s="70"/>
      <c r="AK9" s="100"/>
      <c r="AL9" s="87" t="str">
        <f ca="1"/>
        <v>取引先区分</v>
      </c>
      <c r="AM9" s="87"/>
      <c r="AN9" s="87"/>
      <c r="AO9" s="87"/>
      <c r="AP9" s="87"/>
    </row>
    <row r="10" spans="1:42">
      <c r="A10" s="48">
        <v>5</v>
      </c>
      <c r="B10" s="42" t="s">
        <v>22</v>
      </c>
      <c r="C10" s="35" t="str">
        <f ca="1">IFERROR(VLOOKUP(B10,項目!DATA_AREA,2,FALSE),"")</f>
        <v>comment</v>
      </c>
      <c r="D10" s="35" t="str">
        <f ca="1">IFERROR(VLOOKUP(B10,項目!DATA_AREA,3,FALSE),"")</f>
        <v>text</v>
      </c>
      <c r="E10" s="51"/>
      <c r="F10" s="45"/>
      <c r="G10" s="38" t="str">
        <f ca="1">IFERROR(VLOOKUP(B10,項目!DATA_AREA,4,FALSE),"")</f>
        <v>(LENGTH(comment) &gt;= 10)</v>
      </c>
      <c r="H10" s="12" t="b">
        <f ca="1">IFERROR(VLOOKUP(B10,項目!DATA_AREA,5,FALSE),"")</f>
        <v>0</v>
      </c>
      <c r="T10" s="19" t="b">
        <f t="shared" ca="1" si="0"/>
        <v>0</v>
      </c>
      <c r="U10" s="19" t="b">
        <f t="shared" si="3"/>
        <v>0</v>
      </c>
      <c r="V10" s="19" t="b">
        <f t="shared" ca="1" si="4"/>
        <v>0</v>
      </c>
      <c r="AE10" s="7" t="s">
        <v>49</v>
      </c>
      <c r="AF10" s="7" t="s">
        <v>154</v>
      </c>
      <c r="AG10" s="7" t="b">
        <f ca="1">OR($Y$13:$AC$22)</f>
        <v>0</v>
      </c>
      <c r="AI10" s="59" t="s">
        <v>22</v>
      </c>
      <c r="AJ10" s="70"/>
      <c r="AK10" s="100"/>
      <c r="AL10" s="87" t="str">
        <f ca="1"/>
        <v>登録日</v>
      </c>
      <c r="AM10" s="87"/>
      <c r="AN10" s="87"/>
      <c r="AO10" s="87"/>
      <c r="AP10" s="87"/>
    </row>
    <row r="11" spans="1:42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63" t="s">
        <v>50</v>
      </c>
      <c r="T11" s="19" t="b">
        <f t="shared" ca="1" si="0"/>
        <v>0</v>
      </c>
      <c r="U11" s="19" t="b">
        <f t="shared" si="3"/>
        <v>0</v>
      </c>
      <c r="V11" s="19" t="b">
        <f t="shared" ca="1" si="4"/>
        <v>0</v>
      </c>
      <c r="AF11" s="7" t="s">
        <v>153</v>
      </c>
      <c r="AG11" s="7" t="b">
        <f>OR($AD$13:$AD$22)</f>
        <v>0</v>
      </c>
      <c r="AI11" s="59"/>
      <c r="AJ11" s="70"/>
      <c r="AK11" s="100"/>
      <c r="AL11" s="87"/>
      <c r="AM11" s="87"/>
      <c r="AN11" s="87"/>
      <c r="AO11" s="87"/>
      <c r="AP11" s="87"/>
    </row>
    <row r="12" spans="1:42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3"/>
        <v>0</v>
      </c>
      <c r="V12" s="19" t="b">
        <f t="shared" ca="1" si="4"/>
        <v>0</v>
      </c>
      <c r="X12" s="69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I12" s="59"/>
      <c r="AJ12" s="70"/>
      <c r="AK12" s="100"/>
      <c r="AL12" s="87"/>
      <c r="AM12" s="87"/>
      <c r="AN12" s="87"/>
      <c r="AO12" s="87"/>
      <c r="AP12" s="87"/>
    </row>
    <row r="13" spans="1:42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3"/>
        <v>0</v>
      </c>
      <c r="V13" s="19" t="b">
        <f t="shared" ca="1" si="4"/>
        <v>0</v>
      </c>
      <c r="X13" s="7" t="s">
        <v>155</v>
      </c>
      <c r="Y13" s="19" t="b">
        <f t="shared" ref="Y13:Y22" ca="1" si="5">OR(AND(L13&lt;&gt;"",ISNA(MATCH(L13,FIELDリスト,0))),COUNTIF($L13:$P13,L13)&gt;1)</f>
        <v>0</v>
      </c>
      <c r="Z13" s="19" t="b">
        <f t="shared" ref="Z13:Z22" ca="1" si="6">OR(AND(M13&lt;&gt;"",ISNA(MATCH(M13,FIELDリスト,0))),COUNTIF($L13:$P13,M13)&gt;1)</f>
        <v>0</v>
      </c>
      <c r="AA13" s="19" t="b">
        <f t="shared" ref="AA13:AA22" ca="1" si="7">OR(AND(N13&lt;&gt;"",ISNA(MATCH(N13,FIELDリスト,0))),COUNTIF($L13:$P13,N13)&gt;1)</f>
        <v>0</v>
      </c>
      <c r="AB13" s="19" t="b">
        <f t="shared" ref="AB13:AB22" ca="1" si="8">OR(AND(O13&lt;&gt;"",ISNA(MATCH(O13,FIELDリスト,0))),COUNTIF($L13:$P13,O13)&gt;1)</f>
        <v>0</v>
      </c>
      <c r="AC13" s="19" t="b">
        <f t="shared" ref="AC13:AC22" ca="1" si="9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I13" s="59"/>
      <c r="AJ13" s="70"/>
      <c r="AK13" s="100"/>
      <c r="AL13" s="87"/>
      <c r="AM13" s="87"/>
      <c r="AN13" s="87"/>
      <c r="AO13" s="87"/>
      <c r="AP13" s="87"/>
    </row>
    <row r="14" spans="1:42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10">_xlfn.CONCAT(L14:P14)</f>
        <v/>
      </c>
      <c r="T14" s="19" t="b">
        <f t="shared" ca="1" si="0"/>
        <v>0</v>
      </c>
      <c r="U14" s="19" t="b">
        <f t="shared" si="3"/>
        <v>0</v>
      </c>
      <c r="V14" s="19" t="b">
        <f t="shared" ca="1" si="4"/>
        <v>0</v>
      </c>
      <c r="X14" s="7" t="s">
        <v>156</v>
      </c>
      <c r="Y14" s="19" t="b">
        <f t="shared" ca="1" si="5"/>
        <v>0</v>
      </c>
      <c r="Z14" s="19" t="b">
        <f t="shared" ca="1" si="6"/>
        <v>0</v>
      </c>
      <c r="AA14" s="19" t="b">
        <f t="shared" ca="1" si="7"/>
        <v>0</v>
      </c>
      <c r="AB14" s="19" t="b">
        <f t="shared" ca="1" si="8"/>
        <v>0</v>
      </c>
      <c r="AC14" s="19" t="b">
        <f t="shared" ca="1" si="9"/>
        <v>0</v>
      </c>
      <c r="AD14" s="19" t="b">
        <f t="shared" ref="AD14:AD22" si="11">AND(R14&lt;&gt;"",COUNTIF(R$13:R$22,R14)&gt;1)</f>
        <v>0</v>
      </c>
      <c r="AF14" s="7" t="s">
        <v>195</v>
      </c>
      <c r="AG14" s="7" t="b">
        <f>OR($AD$26,$AD$31,$AD$36,$AD$41,$AD$46)</f>
        <v>0</v>
      </c>
      <c r="AI14" s="59"/>
      <c r="AJ14" s="70"/>
      <c r="AK14" s="100"/>
      <c r="AL14" s="87"/>
      <c r="AM14" s="87"/>
      <c r="AN14" s="87"/>
      <c r="AO14" s="87"/>
      <c r="AP14" s="87"/>
    </row>
    <row r="15" spans="1:42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0"/>
        <v/>
      </c>
      <c r="T15" s="19" t="b">
        <f t="shared" ca="1" si="0"/>
        <v>0</v>
      </c>
      <c r="U15" s="19" t="b">
        <f t="shared" si="3"/>
        <v>0</v>
      </c>
      <c r="V15" s="19" t="b">
        <f t="shared" ca="1" si="4"/>
        <v>0</v>
      </c>
      <c r="Y15" s="19" t="b">
        <f t="shared" ca="1" si="5"/>
        <v>0</v>
      </c>
      <c r="Z15" s="19" t="b">
        <f t="shared" ca="1" si="6"/>
        <v>0</v>
      </c>
      <c r="AA15" s="19" t="b">
        <f t="shared" ca="1" si="7"/>
        <v>0</v>
      </c>
      <c r="AB15" s="19" t="b">
        <f t="shared" ca="1" si="8"/>
        <v>0</v>
      </c>
      <c r="AC15" s="19" t="b">
        <f t="shared" ca="1" si="9"/>
        <v>0</v>
      </c>
      <c r="AD15" s="19" t="b">
        <f t="shared" si="11"/>
        <v>0</v>
      </c>
      <c r="AF15" s="7" t="s">
        <v>153</v>
      </c>
      <c r="AG15" s="7" t="b">
        <f>OR($AD$27,$AD$32,$AD$37,$AD$42,$AD$47)</f>
        <v>0</v>
      </c>
      <c r="AI15" s="59"/>
      <c r="AJ15" s="70"/>
      <c r="AK15" s="100"/>
      <c r="AL15" s="87"/>
      <c r="AM15" s="87"/>
      <c r="AN15" s="87"/>
      <c r="AO15" s="87"/>
      <c r="AP15" s="87"/>
    </row>
    <row r="16" spans="1:42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0"/>
        <v/>
      </c>
      <c r="T16" s="19" t="b">
        <f t="shared" ca="1" si="0"/>
        <v>0</v>
      </c>
      <c r="U16" s="19" t="b">
        <f t="shared" si="3"/>
        <v>0</v>
      </c>
      <c r="V16" s="19" t="b">
        <f t="shared" ca="1" si="4"/>
        <v>0</v>
      </c>
      <c r="Y16" s="19" t="b">
        <f t="shared" ca="1" si="5"/>
        <v>0</v>
      </c>
      <c r="Z16" s="19" t="b">
        <f t="shared" ca="1" si="6"/>
        <v>0</v>
      </c>
      <c r="AA16" s="19" t="b">
        <f t="shared" ca="1" si="7"/>
        <v>0</v>
      </c>
      <c r="AB16" s="19" t="b">
        <f t="shared" ca="1" si="8"/>
        <v>0</v>
      </c>
      <c r="AC16" s="19" t="b">
        <f t="shared" ca="1" si="9"/>
        <v>0</v>
      </c>
      <c r="AD16" s="19" t="b">
        <f t="shared" si="11"/>
        <v>0</v>
      </c>
      <c r="AE16" s="7" t="s">
        <v>13</v>
      </c>
      <c r="AF16" s="7" t="s">
        <v>154</v>
      </c>
      <c r="AG16" s="7" t="b">
        <f ca="1">OR($Y$55:$AC$64)</f>
        <v>0</v>
      </c>
      <c r="AI16" s="59"/>
      <c r="AJ16" s="70"/>
      <c r="AK16" s="100"/>
      <c r="AL16" s="87"/>
      <c r="AM16" s="87"/>
      <c r="AN16" s="87"/>
      <c r="AO16" s="87"/>
      <c r="AP16" s="87"/>
    </row>
    <row r="17" spans="1:42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0"/>
        <v/>
      </c>
      <c r="T17" s="19" t="b">
        <f t="shared" ca="1" si="0"/>
        <v>0</v>
      </c>
      <c r="U17" s="19" t="b">
        <f t="shared" si="3"/>
        <v>0</v>
      </c>
      <c r="V17" s="19" t="b">
        <f t="shared" ca="1" si="4"/>
        <v>0</v>
      </c>
      <c r="Y17" s="19" t="b">
        <f t="shared" ca="1" si="5"/>
        <v>0</v>
      </c>
      <c r="Z17" s="19" t="b">
        <f t="shared" ca="1" si="6"/>
        <v>0</v>
      </c>
      <c r="AA17" s="19" t="b">
        <f t="shared" ca="1" si="7"/>
        <v>0</v>
      </c>
      <c r="AB17" s="19" t="b">
        <f t="shared" ca="1" si="8"/>
        <v>0</v>
      </c>
      <c r="AC17" s="19" t="b">
        <f t="shared" ca="1" si="9"/>
        <v>0</v>
      </c>
      <c r="AD17" s="19" t="b">
        <f t="shared" si="11"/>
        <v>0</v>
      </c>
      <c r="AF17" s="7" t="s">
        <v>153</v>
      </c>
      <c r="AG17" s="7" t="b">
        <f>OR($AD$55:$AD$64)</f>
        <v>0</v>
      </c>
      <c r="AI17" s="59"/>
      <c r="AJ17" s="70"/>
      <c r="AK17" s="100"/>
      <c r="AL17" s="87"/>
      <c r="AM17" s="87"/>
      <c r="AN17" s="87"/>
      <c r="AO17" s="87"/>
      <c r="AP17" s="87"/>
    </row>
    <row r="18" spans="1:42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0"/>
        <v/>
      </c>
      <c r="T18" s="19" t="b">
        <f t="shared" ca="1" si="0"/>
        <v>0</v>
      </c>
      <c r="U18" s="19" t="b">
        <f t="shared" si="3"/>
        <v>0</v>
      </c>
      <c r="V18" s="19" t="b">
        <f t="shared" ca="1" si="4"/>
        <v>0</v>
      </c>
      <c r="Y18" s="19" t="b">
        <f t="shared" ca="1" si="5"/>
        <v>0</v>
      </c>
      <c r="Z18" s="19" t="b">
        <f t="shared" ca="1" si="6"/>
        <v>0</v>
      </c>
      <c r="AA18" s="19" t="b">
        <f t="shared" ca="1" si="7"/>
        <v>0</v>
      </c>
      <c r="AB18" s="19" t="b">
        <f t="shared" ca="1" si="8"/>
        <v>0</v>
      </c>
      <c r="AC18" s="19" t="b">
        <f t="shared" ca="1" si="9"/>
        <v>0</v>
      </c>
      <c r="AD18" s="19" t="b">
        <f t="shared" si="11"/>
        <v>0</v>
      </c>
      <c r="AI18" s="59"/>
      <c r="AJ18" s="70"/>
      <c r="AK18" s="100"/>
      <c r="AL18" s="87"/>
      <c r="AM18" s="87"/>
      <c r="AN18" s="87"/>
      <c r="AO18" s="87"/>
      <c r="AP18" s="87"/>
    </row>
    <row r="19" spans="1:42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0"/>
        <v/>
      </c>
      <c r="T19" s="19" t="b">
        <f t="shared" ca="1" si="0"/>
        <v>0</v>
      </c>
      <c r="U19" s="19" t="b">
        <f t="shared" si="3"/>
        <v>0</v>
      </c>
      <c r="V19" s="19" t="b">
        <f t="shared" ca="1" si="4"/>
        <v>0</v>
      </c>
      <c r="Y19" s="19" t="b">
        <f t="shared" ca="1" si="5"/>
        <v>0</v>
      </c>
      <c r="Z19" s="19" t="b">
        <f t="shared" ca="1" si="6"/>
        <v>0</v>
      </c>
      <c r="AA19" s="19" t="b">
        <f t="shared" ca="1" si="7"/>
        <v>0</v>
      </c>
      <c r="AB19" s="19" t="b">
        <f t="shared" ca="1" si="8"/>
        <v>0</v>
      </c>
      <c r="AC19" s="19" t="b">
        <f t="shared" ca="1" si="9"/>
        <v>0</v>
      </c>
      <c r="AD19" s="19" t="b">
        <f t="shared" si="11"/>
        <v>0</v>
      </c>
      <c r="AI19" s="59"/>
      <c r="AJ19" s="70"/>
      <c r="AK19" s="100"/>
      <c r="AL19" s="87"/>
      <c r="AM19" s="87"/>
      <c r="AN19" s="87"/>
      <c r="AO19" s="87"/>
      <c r="AP19" s="87"/>
    </row>
    <row r="20" spans="1:42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0"/>
        <v/>
      </c>
      <c r="T20" s="19" t="b">
        <f t="shared" ca="1" si="0"/>
        <v>0</v>
      </c>
      <c r="U20" s="19" t="b">
        <f t="shared" si="3"/>
        <v>0</v>
      </c>
      <c r="V20" s="19" t="b">
        <f t="shared" ca="1" si="4"/>
        <v>0</v>
      </c>
      <c r="Y20" s="19" t="b">
        <f t="shared" ca="1" si="5"/>
        <v>0</v>
      </c>
      <c r="Z20" s="19" t="b">
        <f t="shared" ca="1" si="6"/>
        <v>0</v>
      </c>
      <c r="AA20" s="19" t="b">
        <f t="shared" ca="1" si="7"/>
        <v>0</v>
      </c>
      <c r="AB20" s="19" t="b">
        <f t="shared" ca="1" si="8"/>
        <v>0</v>
      </c>
      <c r="AC20" s="19" t="b">
        <f t="shared" ca="1" si="9"/>
        <v>0</v>
      </c>
      <c r="AD20" s="19" t="b">
        <f t="shared" si="11"/>
        <v>0</v>
      </c>
      <c r="AI20" s="59"/>
      <c r="AJ20" s="70"/>
      <c r="AK20" s="100"/>
      <c r="AL20" s="87"/>
      <c r="AM20" s="87"/>
      <c r="AN20" s="87"/>
      <c r="AO20" s="87"/>
      <c r="AP20" s="87"/>
    </row>
    <row r="21" spans="1:42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0"/>
        <v/>
      </c>
      <c r="T21" s="19" t="b">
        <f t="shared" ca="1" si="0"/>
        <v>0</v>
      </c>
      <c r="U21" s="19" t="b">
        <f t="shared" si="3"/>
        <v>0</v>
      </c>
      <c r="V21" s="19" t="b">
        <f t="shared" ca="1" si="4"/>
        <v>0</v>
      </c>
      <c r="Y21" s="19" t="b">
        <f t="shared" ca="1" si="5"/>
        <v>0</v>
      </c>
      <c r="Z21" s="19" t="b">
        <f t="shared" ca="1" si="6"/>
        <v>0</v>
      </c>
      <c r="AA21" s="19" t="b">
        <f t="shared" ca="1" si="7"/>
        <v>0</v>
      </c>
      <c r="AB21" s="19" t="b">
        <f t="shared" ca="1" si="8"/>
        <v>0</v>
      </c>
      <c r="AC21" s="19" t="b">
        <f t="shared" ca="1" si="9"/>
        <v>0</v>
      </c>
      <c r="AD21" s="19" t="b">
        <f t="shared" si="11"/>
        <v>0</v>
      </c>
      <c r="AI21" s="59"/>
      <c r="AJ21" s="70"/>
      <c r="AK21" s="100"/>
      <c r="AL21" s="87"/>
      <c r="AM21" s="87"/>
      <c r="AN21" s="87"/>
      <c r="AO21" s="87"/>
      <c r="AP21" s="87"/>
    </row>
    <row r="22" spans="1:42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0"/>
        <v/>
      </c>
      <c r="T22" s="19" t="b">
        <f t="shared" ca="1" si="0"/>
        <v>0</v>
      </c>
      <c r="U22" s="19" t="b">
        <f t="shared" si="3"/>
        <v>0</v>
      </c>
      <c r="V22" s="19" t="b">
        <f t="shared" ca="1" si="4"/>
        <v>0</v>
      </c>
      <c r="Y22" s="19" t="b">
        <f t="shared" ca="1" si="5"/>
        <v>0</v>
      </c>
      <c r="Z22" s="19" t="b">
        <f t="shared" ca="1" si="6"/>
        <v>0</v>
      </c>
      <c r="AA22" s="19" t="b">
        <f t="shared" ca="1" si="7"/>
        <v>0</v>
      </c>
      <c r="AB22" s="19" t="b">
        <f t="shared" ca="1" si="8"/>
        <v>0</v>
      </c>
      <c r="AC22" s="19" t="b">
        <f t="shared" ca="1" si="9"/>
        <v>0</v>
      </c>
      <c r="AD22" s="19" t="b">
        <f t="shared" si="11"/>
        <v>0</v>
      </c>
      <c r="AI22" s="59"/>
      <c r="AJ22" s="70"/>
      <c r="AK22" s="100"/>
      <c r="AL22" s="87"/>
      <c r="AM22" s="87"/>
      <c r="AN22" s="87"/>
      <c r="AO22" s="87"/>
      <c r="AP22" s="87"/>
    </row>
    <row r="23" spans="1:42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3"/>
        <v>0</v>
      </c>
      <c r="V23" s="19" t="b">
        <f t="shared" ca="1" si="4"/>
        <v>0</v>
      </c>
      <c r="AI23" s="59"/>
      <c r="AJ23" s="70"/>
      <c r="AK23" s="100"/>
      <c r="AL23" s="87"/>
      <c r="AM23" s="87"/>
      <c r="AN23" s="87"/>
      <c r="AO23" s="87"/>
      <c r="AP23" s="87"/>
    </row>
    <row r="24" spans="1:42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3"/>
        <v>0</v>
      </c>
      <c r="V24" s="19" t="b">
        <f t="shared" ca="1" si="4"/>
        <v>0</v>
      </c>
      <c r="X24" s="69" t="s">
        <v>192</v>
      </c>
      <c r="AI24" s="59"/>
      <c r="AJ24" s="70"/>
      <c r="AK24" s="100"/>
      <c r="AL24" s="87"/>
      <c r="AM24" s="87"/>
      <c r="AN24" s="87"/>
      <c r="AO24" s="87"/>
      <c r="AP24" s="87"/>
    </row>
    <row r="25" spans="1:42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T25" s="19" t="b">
        <f t="shared" ca="1" si="0"/>
        <v>0</v>
      </c>
      <c r="U25" s="19" t="b">
        <f t="shared" si="3"/>
        <v>0</v>
      </c>
      <c r="V25" s="19" t="b">
        <f t="shared" ca="1" si="4"/>
        <v>0</v>
      </c>
      <c r="X25" s="7" t="s">
        <v>193</v>
      </c>
      <c r="AD25" s="7" t="s">
        <v>195</v>
      </c>
      <c r="AI25" s="59"/>
      <c r="AJ25" s="70"/>
      <c r="AK25" s="100"/>
      <c r="AL25" s="87"/>
      <c r="AM25" s="87"/>
      <c r="AN25" s="87"/>
      <c r="AO25" s="87"/>
      <c r="AP25" s="87"/>
    </row>
    <row r="26" spans="1:42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8" t="s">
        <v>197</v>
      </c>
      <c r="L26" s="105" t="s">
        <v>47</v>
      </c>
      <c r="M26" s="109" t="s">
        <v>198</v>
      </c>
      <c r="N26" s="98"/>
      <c r="O26" s="109" t="s">
        <v>199</v>
      </c>
      <c r="P26" s="98"/>
      <c r="T26" s="19" t="b">
        <f t="shared" ca="1" si="0"/>
        <v>0</v>
      </c>
      <c r="U26" s="19" t="b">
        <f t="shared" si="3"/>
        <v>0</v>
      </c>
      <c r="V26" s="19" t="b">
        <f t="shared" ca="1" si="4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9"/>
      <c r="AJ26" s="70"/>
      <c r="AK26" s="100"/>
      <c r="AL26" s="87"/>
      <c r="AM26" s="87"/>
      <c r="AN26" s="87"/>
      <c r="AO26" s="87"/>
      <c r="AP26" s="87"/>
    </row>
    <row r="27" spans="1:42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104">
        <v>1</v>
      </c>
      <c r="L27" s="103">
        <v>1</v>
      </c>
      <c r="M27" s="57">
        <v>2</v>
      </c>
      <c r="N27" s="57">
        <v>3</v>
      </c>
      <c r="O27" s="57">
        <v>4</v>
      </c>
      <c r="P27" s="58">
        <v>5</v>
      </c>
      <c r="R27" s="87" t="str">
        <f>_xlfn.CONCAT(L28:P28)</f>
        <v>得意先ID</v>
      </c>
      <c r="S27" s="70" t="str">
        <f>_xlfn.CONCAT(L26,R27)</f>
        <v>得意先得意先ID</v>
      </c>
      <c r="T27" s="19" t="b">
        <f t="shared" ca="1" si="0"/>
        <v>0</v>
      </c>
      <c r="U27" s="19" t="b">
        <f t="shared" si="3"/>
        <v>0</v>
      </c>
      <c r="V27" s="19" t="b">
        <f t="shared" ca="1" si="4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9"/>
      <c r="AJ27" s="70"/>
      <c r="AK27" s="100"/>
      <c r="AL27" s="87"/>
      <c r="AM27" s="87"/>
      <c r="AN27" s="87"/>
      <c r="AO27" s="87"/>
      <c r="AP27" s="87"/>
    </row>
    <row r="28" spans="1:42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6" t="s">
        <v>200</v>
      </c>
      <c r="L28" s="96" t="s">
        <v>32</v>
      </c>
      <c r="M28" s="77"/>
      <c r="N28" s="77"/>
      <c r="O28" s="77"/>
      <c r="P28" s="78"/>
      <c r="T28" s="19" t="b">
        <f t="shared" ca="1" si="0"/>
        <v>0</v>
      </c>
      <c r="U28" s="19" t="b">
        <f t="shared" si="3"/>
        <v>0</v>
      </c>
      <c r="V28" s="19" t="b">
        <f t="shared" ca="1" si="4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I28" s="59"/>
      <c r="AJ28" s="70"/>
      <c r="AK28" s="100"/>
      <c r="AL28" s="87"/>
      <c r="AM28" s="87"/>
      <c r="AN28" s="87"/>
      <c r="AO28" s="87"/>
      <c r="AP28" s="87"/>
    </row>
    <row r="29" spans="1:42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7" t="s">
        <v>201</v>
      </c>
      <c r="L29" s="97" t="s">
        <v>32</v>
      </c>
      <c r="M29" s="85"/>
      <c r="N29" s="85"/>
      <c r="O29" s="85"/>
      <c r="P29" s="86"/>
      <c r="T29" s="19" t="b">
        <f t="shared" ca="1" si="0"/>
        <v>0</v>
      </c>
      <c r="U29" s="19" t="b">
        <f t="shared" si="3"/>
        <v>0</v>
      </c>
      <c r="V29" s="19" t="b">
        <f t="shared" ca="1" si="4"/>
        <v>0</v>
      </c>
      <c r="Y29" s="87" t="str">
        <f ca="1">IFERROR(VLOOKUP(L28,項目!DATA_AREA,8,FALSE),"N/A")</f>
        <v>得意先ID</v>
      </c>
      <c r="Z29" s="87" t="str">
        <f ca="1">IFERROR(VLOOKUP(M28,項目!DATA_AREA,8,FALSE),"N/A")</f>
        <v>N/A</v>
      </c>
      <c r="AA29" s="87" t="str">
        <f ca="1">IFERROR(VLOOKUP(N28,項目!DATA_AREA,8,FALSE),"N/A")</f>
        <v>N/A</v>
      </c>
      <c r="AB29" s="87" t="str">
        <f ca="1">IFERROR(VLOOKUP(O28,項目!DATA_AREA,8,FALSE),"N/A")</f>
        <v>N/A</v>
      </c>
      <c r="AC29" s="87" t="str">
        <f ca="1">IFERROR(VLOOKUP(P28,項目!DATA_AREA,8,FALSE),"N/A")</f>
        <v>N/A</v>
      </c>
      <c r="AI29" s="59"/>
      <c r="AJ29" s="70"/>
      <c r="AK29" s="100"/>
      <c r="AL29" s="87"/>
      <c r="AM29" s="87"/>
      <c r="AN29" s="87"/>
      <c r="AO29" s="87"/>
      <c r="AP29" s="87"/>
    </row>
    <row r="30" spans="1:42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3"/>
        <v>0</v>
      </c>
      <c r="V30" s="19" t="b">
        <f t="shared" ca="1" si="4"/>
        <v>0</v>
      </c>
      <c r="Y30" s="87" t="str">
        <f ca="1">IFERROR(VLOOKUP(L29,項目!DATA_AREA,8,FALSE),"N/A")</f>
        <v>得意先ID</v>
      </c>
      <c r="Z30" s="87" t="str">
        <f ca="1">IFERROR(VLOOKUP(M29,項目!DATA_AREA,8,FALSE),"N/A")</f>
        <v>N/A</v>
      </c>
      <c r="AA30" s="87" t="str">
        <f ca="1">IFERROR(VLOOKUP(N29,項目!DATA_AREA,8,FALSE),"N/A")</f>
        <v>N/A</v>
      </c>
      <c r="AB30" s="87" t="str">
        <f ca="1">IFERROR(VLOOKUP(O29,項目!DATA_AREA,8,FALSE),"N/A")</f>
        <v>N/A</v>
      </c>
      <c r="AC30" s="87" t="str">
        <f ca="1">IFERROR(VLOOKUP(P29,項目!DATA_AREA,8,FALSE),"N/A")</f>
        <v>N/A</v>
      </c>
      <c r="AI30" s="59"/>
      <c r="AJ30" s="70"/>
      <c r="AK30" s="100"/>
      <c r="AL30" s="87"/>
      <c r="AM30" s="87"/>
      <c r="AN30" s="87"/>
      <c r="AO30" s="87"/>
      <c r="AP30" s="87"/>
    </row>
    <row r="31" spans="1:42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8" t="s">
        <v>197</v>
      </c>
      <c r="L31" s="105"/>
      <c r="M31" s="109" t="s">
        <v>198</v>
      </c>
      <c r="N31" s="98"/>
      <c r="O31" s="109" t="s">
        <v>199</v>
      </c>
      <c r="P31" s="98"/>
      <c r="T31" s="19" t="b">
        <f t="shared" ca="1" si="0"/>
        <v>0</v>
      </c>
      <c r="U31" s="19" t="b">
        <f t="shared" si="3"/>
        <v>0</v>
      </c>
      <c r="V31" s="19" t="b">
        <f t="shared" ca="1" si="4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9"/>
      <c r="AJ31" s="70"/>
      <c r="AK31" s="100"/>
      <c r="AL31" s="87"/>
      <c r="AM31" s="87"/>
      <c r="AN31" s="87"/>
      <c r="AO31" s="87"/>
      <c r="AP31" s="87"/>
    </row>
    <row r="32" spans="1:42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104">
        <v>2</v>
      </c>
      <c r="L32" s="103">
        <v>1</v>
      </c>
      <c r="M32" s="57">
        <v>2</v>
      </c>
      <c r="N32" s="57">
        <v>3</v>
      </c>
      <c r="O32" s="57">
        <v>4</v>
      </c>
      <c r="P32" s="58">
        <v>5</v>
      </c>
      <c r="R32" s="87" t="str">
        <f>_xlfn.CONCAT(L33:P33)</f>
        <v/>
      </c>
      <c r="S32" s="70" t="str">
        <f>_xlfn.CONCAT(L31,R32)</f>
        <v/>
      </c>
      <c r="T32" s="19" t="b">
        <f t="shared" ca="1" si="0"/>
        <v>0</v>
      </c>
      <c r="U32" s="19" t="b">
        <f t="shared" si="3"/>
        <v>0</v>
      </c>
      <c r="V32" s="19" t="b">
        <f t="shared" ca="1" si="4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9"/>
      <c r="AJ32" s="70"/>
      <c r="AK32" s="100"/>
      <c r="AL32" s="87"/>
      <c r="AM32" s="87"/>
      <c r="AN32" s="87"/>
      <c r="AO32" s="87"/>
      <c r="AP32" s="87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6" t="s">
        <v>200</v>
      </c>
      <c r="L33" s="96"/>
      <c r="M33" s="77"/>
      <c r="N33" s="77"/>
      <c r="O33" s="77"/>
      <c r="P33" s="78"/>
      <c r="T33" s="19" t="b">
        <f t="shared" ca="1" si="0"/>
        <v>0</v>
      </c>
      <c r="U33" s="19" t="b">
        <f t="shared" si="3"/>
        <v>0</v>
      </c>
      <c r="V33" s="19" t="b">
        <f t="shared" ca="1" si="4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I33" s="59"/>
      <c r="AJ33" s="70"/>
      <c r="AK33" s="100"/>
      <c r="AL33" s="87"/>
      <c r="AM33" s="87"/>
      <c r="AN33" s="87"/>
      <c r="AO33" s="87"/>
      <c r="AP33" s="87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7" t="s">
        <v>201</v>
      </c>
      <c r="L34" s="97"/>
      <c r="M34" s="85"/>
      <c r="N34" s="85"/>
      <c r="O34" s="85"/>
      <c r="P34" s="86"/>
      <c r="T34" s="19" t="b">
        <f t="shared" ca="1" si="0"/>
        <v>0</v>
      </c>
      <c r="U34" s="19" t="b">
        <f t="shared" si="3"/>
        <v>0</v>
      </c>
      <c r="V34" s="19" t="b">
        <f t="shared" ca="1" si="4"/>
        <v>0</v>
      </c>
      <c r="Y34" s="87" t="str">
        <f ca="1">IFERROR(VLOOKUP(L33,項目!DATA_AREA,8,FALSE),"N/A")</f>
        <v>N/A</v>
      </c>
      <c r="Z34" s="87" t="str">
        <f ca="1">IFERROR(VLOOKUP(M33,項目!DATA_AREA,8,FALSE),"N/A")</f>
        <v>N/A</v>
      </c>
      <c r="AA34" s="87" t="str">
        <f ca="1">IFERROR(VLOOKUP(N33,項目!DATA_AREA,8,FALSE),"N/A")</f>
        <v>N/A</v>
      </c>
      <c r="AB34" s="87" t="str">
        <f ca="1">IFERROR(VLOOKUP(O33,項目!DATA_AREA,8,FALSE),"N/A")</f>
        <v>N/A</v>
      </c>
      <c r="AC34" s="87" t="str">
        <f ca="1">IFERROR(VLOOKUP(P33,項目!DATA_AREA,8,FALSE),"N/A")</f>
        <v>N/A</v>
      </c>
      <c r="AI34" s="59"/>
      <c r="AJ34" s="70"/>
      <c r="AK34" s="100"/>
      <c r="AL34" s="87"/>
      <c r="AM34" s="87"/>
      <c r="AN34" s="87"/>
      <c r="AO34" s="87"/>
      <c r="AP34" s="87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3"/>
        <v>0</v>
      </c>
      <c r="V35" s="19" t="b">
        <f t="shared" ca="1" si="4"/>
        <v>0</v>
      </c>
      <c r="Y35" s="87" t="str">
        <f ca="1">IFERROR(VLOOKUP(L34,項目!DATA_AREA,8,FALSE),"N/A")</f>
        <v>N/A</v>
      </c>
      <c r="Z35" s="87" t="str">
        <f ca="1">IFERROR(VLOOKUP(M34,項目!DATA_AREA,8,FALSE),"N/A")</f>
        <v>N/A</v>
      </c>
      <c r="AA35" s="87" t="str">
        <f ca="1">IFERROR(VLOOKUP(N34,項目!DATA_AREA,8,FALSE),"N/A")</f>
        <v>N/A</v>
      </c>
      <c r="AB35" s="87" t="str">
        <f ca="1">IFERROR(VLOOKUP(O34,項目!DATA_AREA,8,FALSE),"N/A")</f>
        <v>N/A</v>
      </c>
      <c r="AC35" s="87" t="str">
        <f ca="1">IFERROR(VLOOKUP(P34,項目!DATA_AREA,8,FALSE),"N/A")</f>
        <v>N/A</v>
      </c>
      <c r="AI35" s="59"/>
      <c r="AJ35" s="70"/>
      <c r="AK35" s="100"/>
      <c r="AL35" s="87"/>
      <c r="AM35" s="87"/>
      <c r="AN35" s="87"/>
      <c r="AO35" s="87"/>
      <c r="AP35" s="87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8" t="s">
        <v>197</v>
      </c>
      <c r="L36" s="105"/>
      <c r="M36" s="109" t="s">
        <v>198</v>
      </c>
      <c r="N36" s="98"/>
      <c r="O36" s="109" t="s">
        <v>199</v>
      </c>
      <c r="P36" s="98"/>
      <c r="T36" s="19" t="b">
        <f t="shared" ca="1" si="0"/>
        <v>0</v>
      </c>
      <c r="U36" s="19" t="b">
        <f t="shared" si="3"/>
        <v>0</v>
      </c>
      <c r="V36" s="19" t="b">
        <f t="shared" ca="1" si="4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9"/>
      <c r="AJ36" s="70"/>
      <c r="AK36" s="100"/>
      <c r="AL36" s="87"/>
      <c r="AM36" s="87"/>
      <c r="AN36" s="87"/>
      <c r="AO36" s="87"/>
      <c r="AP36" s="87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104">
        <v>3</v>
      </c>
      <c r="L37" s="103">
        <v>1</v>
      </c>
      <c r="M37" s="57">
        <v>2</v>
      </c>
      <c r="N37" s="57">
        <v>3</v>
      </c>
      <c r="O37" s="57">
        <v>4</v>
      </c>
      <c r="P37" s="58">
        <v>5</v>
      </c>
      <c r="R37" s="87" t="str">
        <f>_xlfn.CONCAT(L38:P38)</f>
        <v/>
      </c>
      <c r="S37" s="70" t="str">
        <f>_xlfn.CONCAT(L36,R37)</f>
        <v/>
      </c>
      <c r="T37" s="19" t="b">
        <f t="shared" ca="1" si="0"/>
        <v>0</v>
      </c>
      <c r="U37" s="19" t="b">
        <f t="shared" si="3"/>
        <v>0</v>
      </c>
      <c r="V37" s="19" t="b">
        <f t="shared" ca="1" si="4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9"/>
      <c r="AJ37" s="70"/>
      <c r="AK37" s="100"/>
      <c r="AL37" s="87"/>
      <c r="AM37" s="87"/>
      <c r="AN37" s="87"/>
      <c r="AO37" s="87"/>
      <c r="AP37" s="87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6" t="s">
        <v>200</v>
      </c>
      <c r="L38" s="96"/>
      <c r="M38" s="77"/>
      <c r="N38" s="77"/>
      <c r="O38" s="77"/>
      <c r="P38" s="78"/>
      <c r="T38" s="19" t="b">
        <f t="shared" ca="1" si="0"/>
        <v>0</v>
      </c>
      <c r="U38" s="19" t="b">
        <f t="shared" ref="U38:U69" si="12">COUNTIF(FIELD_NAME,B38)&gt;1</f>
        <v>0</v>
      </c>
      <c r="V38" s="19" t="b">
        <f t="shared" ca="1" si="4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I38" s="59"/>
      <c r="AJ38" s="70"/>
      <c r="AK38" s="100"/>
      <c r="AL38" s="87"/>
      <c r="AM38" s="87"/>
      <c r="AN38" s="87"/>
      <c r="AO38" s="87"/>
      <c r="AP38" s="87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7" t="s">
        <v>201</v>
      </c>
      <c r="L39" s="97"/>
      <c r="M39" s="85"/>
      <c r="N39" s="85"/>
      <c r="O39" s="85"/>
      <c r="P39" s="86"/>
      <c r="T39" s="19" t="b">
        <f t="shared" ca="1" si="0"/>
        <v>0</v>
      </c>
      <c r="U39" s="19" t="b">
        <f t="shared" si="12"/>
        <v>0</v>
      </c>
      <c r="V39" s="19" t="b">
        <f t="shared" ca="1" si="4"/>
        <v>0</v>
      </c>
      <c r="Y39" s="87" t="str">
        <f ca="1">IFERROR(VLOOKUP(L38,項目!DATA_AREA,8,FALSE),"N/A")</f>
        <v>N/A</v>
      </c>
      <c r="Z39" s="87" t="str">
        <f ca="1">IFERROR(VLOOKUP(M38,項目!DATA_AREA,8,FALSE),"N/A")</f>
        <v>N/A</v>
      </c>
      <c r="AA39" s="87" t="str">
        <f ca="1">IFERROR(VLOOKUP(N38,項目!DATA_AREA,8,FALSE),"N/A")</f>
        <v>N/A</v>
      </c>
      <c r="AB39" s="87" t="str">
        <f ca="1">IFERROR(VLOOKUP(O38,項目!DATA_AREA,8,FALSE),"N/A")</f>
        <v>N/A</v>
      </c>
      <c r="AC39" s="87" t="str">
        <f ca="1">IFERROR(VLOOKUP(P38,項目!DATA_AREA,8,FALSE),"N/A")</f>
        <v>N/A</v>
      </c>
      <c r="AI39" s="59"/>
      <c r="AJ39" s="70"/>
      <c r="AK39" s="100"/>
      <c r="AL39" s="87"/>
      <c r="AM39" s="87"/>
      <c r="AN39" s="87"/>
      <c r="AO39" s="87"/>
      <c r="AP39" s="87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 t="b">
        <f t="shared" ca="1" si="4"/>
        <v>0</v>
      </c>
      <c r="Y40" s="87" t="str">
        <f ca="1">IFERROR(VLOOKUP(L39,項目!DATA_AREA,8,FALSE),"N/A")</f>
        <v>N/A</v>
      </c>
      <c r="Z40" s="87" t="str">
        <f ca="1">IFERROR(VLOOKUP(M39,項目!DATA_AREA,8,FALSE),"N/A")</f>
        <v>N/A</v>
      </c>
      <c r="AA40" s="87" t="str">
        <f ca="1">IFERROR(VLOOKUP(N39,項目!DATA_AREA,8,FALSE),"N/A")</f>
        <v>N/A</v>
      </c>
      <c r="AB40" s="87" t="str">
        <f ca="1">IFERROR(VLOOKUP(O39,項目!DATA_AREA,8,FALSE),"N/A")</f>
        <v>N/A</v>
      </c>
      <c r="AC40" s="87" t="str">
        <f ca="1">IFERROR(VLOOKUP(P39,項目!DATA_AREA,8,FALSE),"N/A")</f>
        <v>N/A</v>
      </c>
      <c r="AI40" s="59"/>
      <c r="AJ40" s="70"/>
      <c r="AK40" s="100"/>
      <c r="AL40" s="87"/>
      <c r="AM40" s="87"/>
      <c r="AN40" s="87"/>
      <c r="AO40" s="87"/>
      <c r="AP40" s="87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8" t="s">
        <v>197</v>
      </c>
      <c r="L41" s="105"/>
      <c r="M41" s="109" t="s">
        <v>198</v>
      </c>
      <c r="N41" s="98"/>
      <c r="O41" s="109" t="s">
        <v>199</v>
      </c>
      <c r="P41" s="98"/>
      <c r="T41" s="19" t="b">
        <f t="shared" ca="1" si="0"/>
        <v>0</v>
      </c>
      <c r="U41" s="19" t="b">
        <f t="shared" si="12"/>
        <v>0</v>
      </c>
      <c r="V41" s="19" t="b">
        <f t="shared" ca="1" si="4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9"/>
      <c r="AJ41" s="70"/>
      <c r="AK41" s="100"/>
      <c r="AL41" s="87"/>
      <c r="AM41" s="87"/>
      <c r="AN41" s="87"/>
      <c r="AO41" s="87"/>
      <c r="AP41" s="87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104">
        <v>4</v>
      </c>
      <c r="L42" s="103">
        <v>1</v>
      </c>
      <c r="M42" s="57">
        <v>2</v>
      </c>
      <c r="N42" s="57">
        <v>3</v>
      </c>
      <c r="O42" s="57">
        <v>4</v>
      </c>
      <c r="P42" s="58">
        <v>5</v>
      </c>
      <c r="R42" s="87" t="str">
        <f>_xlfn.CONCAT(L43:P43)</f>
        <v/>
      </c>
      <c r="S42" s="70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 t="b">
        <f t="shared" ca="1" si="4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9"/>
      <c r="AJ42" s="70"/>
      <c r="AK42" s="100"/>
      <c r="AL42" s="87"/>
      <c r="AM42" s="87"/>
      <c r="AN42" s="87"/>
      <c r="AO42" s="87"/>
      <c r="AP42" s="87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6" t="s">
        <v>200</v>
      </c>
      <c r="L43" s="96"/>
      <c r="M43" s="77"/>
      <c r="N43" s="77"/>
      <c r="O43" s="77"/>
      <c r="P43" s="78"/>
      <c r="T43" s="19" t="b">
        <f t="shared" ca="1" si="0"/>
        <v>0</v>
      </c>
      <c r="U43" s="19" t="b">
        <f t="shared" si="12"/>
        <v>0</v>
      </c>
      <c r="V43" s="19" t="b">
        <f t="shared" ca="1" si="4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I43" s="59"/>
      <c r="AJ43" s="70"/>
      <c r="AK43" s="100"/>
      <c r="AL43" s="87"/>
      <c r="AM43" s="87"/>
      <c r="AN43" s="87"/>
      <c r="AO43" s="87"/>
      <c r="AP43" s="87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7" t="s">
        <v>201</v>
      </c>
      <c r="L44" s="97"/>
      <c r="M44" s="85"/>
      <c r="N44" s="85"/>
      <c r="O44" s="85"/>
      <c r="P44" s="86"/>
      <c r="T44" s="19" t="b">
        <f t="shared" ca="1" si="0"/>
        <v>0</v>
      </c>
      <c r="U44" s="19" t="b">
        <f t="shared" si="12"/>
        <v>0</v>
      </c>
      <c r="V44" s="19" t="b">
        <f t="shared" ca="1" si="4"/>
        <v>0</v>
      </c>
      <c r="Y44" s="87" t="str">
        <f ca="1">IFERROR(VLOOKUP(L43,項目!DATA_AREA,8,FALSE),"N/A")</f>
        <v>N/A</v>
      </c>
      <c r="Z44" s="87" t="str">
        <f ca="1">IFERROR(VLOOKUP(M43,項目!DATA_AREA,8,FALSE),"N/A")</f>
        <v>N/A</v>
      </c>
      <c r="AA44" s="87" t="str">
        <f ca="1">IFERROR(VLOOKUP(N43,項目!DATA_AREA,8,FALSE),"N/A")</f>
        <v>N/A</v>
      </c>
      <c r="AB44" s="87" t="str">
        <f ca="1">IFERROR(VLOOKUP(O43,項目!DATA_AREA,8,FALSE),"N/A")</f>
        <v>N/A</v>
      </c>
      <c r="AC44" s="87" t="str">
        <f ca="1">IFERROR(VLOOKUP(P43,項目!DATA_AREA,8,FALSE),"N/A")</f>
        <v>N/A</v>
      </c>
      <c r="AI44" s="59"/>
      <c r="AJ44" s="70"/>
      <c r="AK44" s="100"/>
      <c r="AL44" s="87"/>
      <c r="AM44" s="87"/>
      <c r="AN44" s="87"/>
      <c r="AO44" s="87"/>
      <c r="AP44" s="87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 t="b">
        <f t="shared" ca="1" si="4"/>
        <v>0</v>
      </c>
      <c r="Y45" s="87" t="str">
        <f ca="1">IFERROR(VLOOKUP(L44,項目!DATA_AREA,8,FALSE),"N/A")</f>
        <v>N/A</v>
      </c>
      <c r="Z45" s="87" t="str">
        <f ca="1">IFERROR(VLOOKUP(M44,項目!DATA_AREA,8,FALSE),"N/A")</f>
        <v>N/A</v>
      </c>
      <c r="AA45" s="87" t="str">
        <f ca="1">IFERROR(VLOOKUP(N44,項目!DATA_AREA,8,FALSE),"N/A")</f>
        <v>N/A</v>
      </c>
      <c r="AB45" s="87" t="str">
        <f ca="1">IFERROR(VLOOKUP(O44,項目!DATA_AREA,8,FALSE),"N/A")</f>
        <v>N/A</v>
      </c>
      <c r="AC45" s="87" t="str">
        <f ca="1">IFERROR(VLOOKUP(P44,項目!DATA_AREA,8,FALSE),"N/A")</f>
        <v>N/A</v>
      </c>
      <c r="AI45" s="59"/>
      <c r="AJ45" s="70"/>
      <c r="AK45" s="100"/>
      <c r="AL45" s="87"/>
      <c r="AM45" s="87"/>
      <c r="AN45" s="87"/>
      <c r="AO45" s="87"/>
      <c r="AP45" s="87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8" t="s">
        <v>197</v>
      </c>
      <c r="L46" s="105"/>
      <c r="M46" s="109" t="s">
        <v>198</v>
      </c>
      <c r="N46" s="98"/>
      <c r="O46" s="109" t="s">
        <v>199</v>
      </c>
      <c r="P46" s="98"/>
      <c r="T46" s="19" t="b">
        <f t="shared" ca="1" si="0"/>
        <v>0</v>
      </c>
      <c r="U46" s="19" t="b">
        <f t="shared" si="12"/>
        <v>0</v>
      </c>
      <c r="V46" s="19" t="b">
        <f t="shared" ca="1" si="4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9"/>
      <c r="AJ46" s="70"/>
      <c r="AK46" s="100"/>
      <c r="AL46" s="87"/>
      <c r="AM46" s="87"/>
      <c r="AN46" s="87"/>
      <c r="AO46" s="87"/>
      <c r="AP46" s="87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104">
        <v>5</v>
      </c>
      <c r="L47" s="103">
        <v>1</v>
      </c>
      <c r="M47" s="57">
        <v>2</v>
      </c>
      <c r="N47" s="57">
        <v>3</v>
      </c>
      <c r="O47" s="57">
        <v>4</v>
      </c>
      <c r="P47" s="58">
        <v>5</v>
      </c>
      <c r="R47" s="87" t="str">
        <f>_xlfn.CONCAT(L48:P48)</f>
        <v/>
      </c>
      <c r="S47" s="70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 t="b">
        <f t="shared" ca="1" si="4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9"/>
      <c r="AJ47" s="70"/>
      <c r="AK47" s="100"/>
      <c r="AL47" s="87"/>
      <c r="AM47" s="87"/>
      <c r="AN47" s="87"/>
      <c r="AO47" s="87"/>
      <c r="AP47" s="87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6" t="s">
        <v>200</v>
      </c>
      <c r="L48" s="96"/>
      <c r="M48" s="77"/>
      <c r="N48" s="77"/>
      <c r="O48" s="77"/>
      <c r="P48" s="78"/>
      <c r="T48" s="19" t="b">
        <f t="shared" ca="1" si="0"/>
        <v>0</v>
      </c>
      <c r="U48" s="19" t="b">
        <f t="shared" si="12"/>
        <v>0</v>
      </c>
      <c r="V48" s="19" t="b">
        <f t="shared" ca="1" si="4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I48" s="59"/>
      <c r="AJ48" s="70"/>
      <c r="AK48" s="100"/>
      <c r="AL48" s="87"/>
      <c r="AM48" s="87"/>
      <c r="AN48" s="87"/>
      <c r="AO48" s="87"/>
      <c r="AP48" s="87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7" t="s">
        <v>201</v>
      </c>
      <c r="L49" s="97"/>
      <c r="M49" s="85"/>
      <c r="N49" s="85"/>
      <c r="O49" s="85"/>
      <c r="P49" s="86"/>
      <c r="T49" s="19" t="b">
        <f t="shared" ca="1" si="0"/>
        <v>0</v>
      </c>
      <c r="U49" s="19" t="b">
        <f t="shared" si="12"/>
        <v>0</v>
      </c>
      <c r="V49" s="19" t="b">
        <f t="shared" ca="1" si="4"/>
        <v>0</v>
      </c>
      <c r="Y49" s="87" t="str">
        <f ca="1">IFERROR(VLOOKUP(L48,項目!DATA_AREA,8,FALSE),"N/A")</f>
        <v>N/A</v>
      </c>
      <c r="Z49" s="87" t="str">
        <f ca="1">IFERROR(VLOOKUP(M48,項目!DATA_AREA,8,FALSE),"N/A")</f>
        <v>N/A</v>
      </c>
      <c r="AA49" s="87" t="str">
        <f ca="1">IFERROR(VLOOKUP(N48,項目!DATA_AREA,8,FALSE),"N/A")</f>
        <v>N/A</v>
      </c>
      <c r="AB49" s="87" t="str">
        <f ca="1">IFERROR(VLOOKUP(O48,項目!DATA_AREA,8,FALSE),"N/A")</f>
        <v>N/A</v>
      </c>
      <c r="AC49" s="87" t="str">
        <f ca="1">IFERROR(VLOOKUP(P48,項目!DATA_AREA,8,FALSE),"N/A")</f>
        <v>N/A</v>
      </c>
      <c r="AI49" s="59"/>
      <c r="AJ49" s="70"/>
      <c r="AK49" s="100"/>
      <c r="AL49" s="87"/>
      <c r="AM49" s="87"/>
      <c r="AN49" s="87"/>
      <c r="AO49" s="87"/>
      <c r="AP49" s="87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 t="b">
        <f t="shared" ca="1" si="4"/>
        <v>0</v>
      </c>
      <c r="Y50" s="87" t="str">
        <f ca="1">IFERROR(VLOOKUP(L49,項目!DATA_AREA,8,FALSE),"N/A")</f>
        <v>N/A</v>
      </c>
      <c r="Z50" s="87" t="str">
        <f ca="1">IFERROR(VLOOKUP(M49,項目!DATA_AREA,8,FALSE),"N/A")</f>
        <v>N/A</v>
      </c>
      <c r="AA50" s="87" t="str">
        <f ca="1">IFERROR(VLOOKUP(N49,項目!DATA_AREA,8,FALSE),"N/A")</f>
        <v>N/A</v>
      </c>
      <c r="AB50" s="87" t="str">
        <f ca="1">IFERROR(VLOOKUP(O49,項目!DATA_AREA,8,FALSE),"N/A")</f>
        <v>N/A</v>
      </c>
      <c r="AC50" s="87" t="str">
        <f ca="1">IFERROR(VLOOKUP(P49,項目!DATA_AREA,8,FALSE),"N/A")</f>
        <v>N/A</v>
      </c>
      <c r="AI50" s="59"/>
      <c r="AJ50" s="70"/>
      <c r="AK50" s="100"/>
      <c r="AL50" s="87"/>
      <c r="AM50" s="87"/>
      <c r="AN50" s="87"/>
      <c r="AO50" s="87"/>
      <c r="AP50" s="87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9"/>
      <c r="L51" s="99"/>
      <c r="M51" s="99"/>
      <c r="N51" s="99"/>
      <c r="O51" s="99"/>
      <c r="P51" s="99"/>
      <c r="T51" s="19" t="b">
        <f t="shared" ca="1" si="0"/>
        <v>0</v>
      </c>
      <c r="U51" s="19" t="b">
        <f t="shared" si="12"/>
        <v>0</v>
      </c>
      <c r="V51" s="19" t="b">
        <f t="shared" ca="1" si="4"/>
        <v>0</v>
      </c>
      <c r="AI51" s="59"/>
      <c r="AJ51" s="70"/>
      <c r="AK51" s="100"/>
      <c r="AL51" s="87"/>
      <c r="AM51" s="87"/>
      <c r="AN51" s="87"/>
      <c r="AO51" s="87"/>
      <c r="AP51" s="87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2"/>
        <v>0</v>
      </c>
      <c r="V52" s="19" t="b">
        <f t="shared" ca="1" si="4"/>
        <v>0</v>
      </c>
      <c r="AI52" s="59"/>
      <c r="AJ52" s="70"/>
      <c r="AK52" s="100"/>
      <c r="AL52" s="87"/>
      <c r="AM52" s="87"/>
      <c r="AN52" s="87"/>
      <c r="AO52" s="87"/>
      <c r="AP52" s="87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202</v>
      </c>
      <c r="T53" s="19" t="b">
        <f t="shared" ca="1" si="0"/>
        <v>0</v>
      </c>
      <c r="U53" s="19" t="b">
        <f t="shared" si="12"/>
        <v>0</v>
      </c>
      <c r="V53" s="19" t="b">
        <f t="shared" ca="1" si="4"/>
        <v>0</v>
      </c>
      <c r="AI53" s="59"/>
      <c r="AJ53" s="70"/>
      <c r="AK53" s="100"/>
      <c r="AL53" s="87"/>
      <c r="AM53" s="87"/>
      <c r="AN53" s="87"/>
      <c r="AO53" s="87"/>
      <c r="AP53" s="87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2"/>
        <v>0</v>
      </c>
      <c r="V54" s="19" t="b">
        <f t="shared" ca="1" si="4"/>
        <v>0</v>
      </c>
      <c r="X54" s="69" t="s">
        <v>196</v>
      </c>
      <c r="AD54" s="7" t="s">
        <v>153</v>
      </c>
      <c r="AI54" s="59"/>
      <c r="AJ54" s="70"/>
      <c r="AK54" s="100"/>
      <c r="AL54" s="87"/>
      <c r="AM54" s="87"/>
      <c r="AN54" s="87"/>
      <c r="AO54" s="87"/>
      <c r="AP54" s="87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111" t="s">
        <v>31</v>
      </c>
      <c r="M55" s="112" t="s">
        <v>30</v>
      </c>
      <c r="N55" s="112"/>
      <c r="O55" s="112"/>
      <c r="P55" s="113"/>
      <c r="R55" s="87" t="str">
        <f t="shared" ref="R55:R64" si="13">_xlfn.CONCAT(L55:P55)</f>
        <v>担当者名受注No</v>
      </c>
      <c r="T55" s="19" t="b">
        <f t="shared" ca="1" si="0"/>
        <v>0</v>
      </c>
      <c r="U55" s="19" t="b">
        <f t="shared" si="12"/>
        <v>0</v>
      </c>
      <c r="V55" s="19" t="b">
        <f t="shared" ca="1" si="4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4" ca="1" si="14">OR(AND(M55&lt;&gt;"",ISNA(MATCH(M55,FIELDリスト,0))),COUNTIF($L55:$P55,M55)&gt;1)</f>
        <v>0</v>
      </c>
      <c r="AA55" s="19" t="b">
        <f t="shared" ref="AA55:AA64" ca="1" si="15">OR(AND(N55&lt;&gt;"",ISNA(MATCH(N55,FIELDリスト,0))),COUNTIF($L55:$P55,N55)&gt;1)</f>
        <v>0</v>
      </c>
      <c r="AB55" s="19" t="b">
        <f t="shared" ref="AB55:AB64" ca="1" si="16">OR(AND(O55&lt;&gt;"",ISNA(MATCH(O55,FIELDリスト,0))),COUNTIF($L55:$P55,O55)&gt;1)</f>
        <v>0</v>
      </c>
      <c r="AC55" s="19" t="b">
        <f t="shared" ref="AC55:AC64" ca="1" si="17">OR(AND(P55&lt;&gt;"",ISNA(MATCH(P55,FIELDリスト,0))),COUNTIF($L55:$P55,P55)&gt;1)</f>
        <v>0</v>
      </c>
      <c r="AD55" s="19" t="b">
        <f>AND(R55&lt;&gt;"",COUNTIF(R$13:R$22,R55)&gt;1)</f>
        <v>0</v>
      </c>
      <c r="AI55" s="59"/>
      <c r="AJ55" s="70"/>
      <c r="AK55" s="100"/>
      <c r="AL55" s="87"/>
      <c r="AM55" s="87"/>
      <c r="AN55" s="87"/>
      <c r="AO55" s="87"/>
      <c r="AP55" s="87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10">
        <v>1</v>
      </c>
      <c r="L56" s="114"/>
      <c r="M56" s="115"/>
      <c r="N56" s="115"/>
      <c r="O56" s="115"/>
      <c r="P56" s="116"/>
      <c r="T56" s="19" t="b">
        <f t="shared" ca="1" si="0"/>
        <v>0</v>
      </c>
      <c r="U56" s="19" t="b">
        <f t="shared" si="12"/>
        <v>0</v>
      </c>
      <c r="V56" s="19" t="b">
        <f t="shared" ca="1" si="4"/>
        <v>0</v>
      </c>
      <c r="X56" s="7" t="s">
        <v>156</v>
      </c>
      <c r="AI56" s="59"/>
      <c r="AJ56" s="70"/>
      <c r="AK56" s="100"/>
      <c r="AL56" s="87"/>
      <c r="AM56" s="87"/>
      <c r="AN56" s="87"/>
      <c r="AO56" s="87"/>
      <c r="AP56" s="87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5">
        <v>2</v>
      </c>
      <c r="L57" s="111"/>
      <c r="M57" s="112"/>
      <c r="N57" s="112"/>
      <c r="O57" s="112"/>
      <c r="P57" s="113"/>
      <c r="R57" s="87" t="str">
        <f t="shared" si="13"/>
        <v/>
      </c>
      <c r="T57" s="19" t="b">
        <f t="shared" ca="1" si="0"/>
        <v>0</v>
      </c>
      <c r="U57" s="19" t="b">
        <f t="shared" si="12"/>
        <v>0</v>
      </c>
      <c r="V57" s="19" t="b">
        <f t="shared" ca="1" si="4"/>
        <v>0</v>
      </c>
      <c r="Y57" s="19" t="b">
        <f t="shared" ref="Y57:Y66" ca="1" si="18">OR(AND(L57&lt;&gt;"",ISNA(MATCH(L57,FIELDリスト,0))),COUNTIF($L57:$P57,L57)&gt;1)</f>
        <v>0</v>
      </c>
      <c r="Z57" s="19" t="b">
        <f t="shared" ca="1" si="14"/>
        <v>0</v>
      </c>
      <c r="AA57" s="19" t="b">
        <f t="shared" ca="1" si="15"/>
        <v>0</v>
      </c>
      <c r="AB57" s="19" t="b">
        <f t="shared" ca="1" si="16"/>
        <v>0</v>
      </c>
      <c r="AC57" s="19" t="b">
        <f t="shared" ca="1" si="17"/>
        <v>0</v>
      </c>
      <c r="AD57" s="19" t="b">
        <f t="shared" ref="AD57:AD65" si="19">AND(R57&lt;&gt;"",COUNTIF(R$13:R$22,R57)&gt;1)</f>
        <v>0</v>
      </c>
      <c r="AI57" s="59"/>
      <c r="AJ57" s="70"/>
      <c r="AK57" s="100"/>
      <c r="AL57" s="87"/>
      <c r="AM57" s="87"/>
      <c r="AN57" s="87"/>
      <c r="AO57" s="87"/>
      <c r="AP57" s="87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10"/>
      <c r="L58" s="114"/>
      <c r="M58" s="115"/>
      <c r="N58" s="115"/>
      <c r="O58" s="115"/>
      <c r="P58" s="116"/>
      <c r="T58" s="19" t="b">
        <f t="shared" ca="1" si="0"/>
        <v>0</v>
      </c>
      <c r="U58" s="19" t="b">
        <f t="shared" si="12"/>
        <v>0</v>
      </c>
      <c r="V58" s="19" t="b">
        <f t="shared" ca="1" si="4"/>
        <v>0</v>
      </c>
      <c r="AI58" s="59"/>
      <c r="AJ58" s="70"/>
      <c r="AK58" s="100"/>
      <c r="AL58" s="87"/>
      <c r="AM58" s="87"/>
      <c r="AN58" s="87"/>
      <c r="AO58" s="87"/>
      <c r="AP58" s="87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5">
        <v>3</v>
      </c>
      <c r="L59" s="111"/>
      <c r="M59" s="112"/>
      <c r="N59" s="112"/>
      <c r="O59" s="112"/>
      <c r="P59" s="113"/>
      <c r="R59" s="87" t="str">
        <f t="shared" si="13"/>
        <v/>
      </c>
      <c r="T59" s="19" t="b">
        <f t="shared" ca="1" si="0"/>
        <v>0</v>
      </c>
      <c r="U59" s="19" t="b">
        <f t="shared" si="12"/>
        <v>0</v>
      </c>
      <c r="V59" s="19" t="b">
        <f t="shared" ca="1" si="4"/>
        <v>0</v>
      </c>
      <c r="Y59" s="19" t="b">
        <f t="shared" ca="1" si="18"/>
        <v>0</v>
      </c>
      <c r="Z59" s="19" t="b">
        <f t="shared" ca="1" si="14"/>
        <v>0</v>
      </c>
      <c r="AA59" s="19" t="b">
        <f t="shared" ca="1" si="15"/>
        <v>0</v>
      </c>
      <c r="AB59" s="19" t="b">
        <f t="shared" ca="1" si="16"/>
        <v>0</v>
      </c>
      <c r="AC59" s="19" t="b">
        <f t="shared" ca="1" si="17"/>
        <v>0</v>
      </c>
      <c r="AD59" s="19" t="b">
        <f t="shared" si="19"/>
        <v>0</v>
      </c>
      <c r="AI59" s="59"/>
      <c r="AJ59" s="70"/>
      <c r="AK59" s="100"/>
      <c r="AL59" s="87"/>
      <c r="AM59" s="87"/>
      <c r="AN59" s="87"/>
      <c r="AO59" s="87"/>
      <c r="AP59" s="87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10"/>
      <c r="L60" s="114"/>
      <c r="M60" s="115"/>
      <c r="N60" s="115"/>
      <c r="O60" s="115"/>
      <c r="P60" s="116"/>
      <c r="T60" s="19" t="b">
        <f t="shared" ca="1" si="0"/>
        <v>0</v>
      </c>
      <c r="U60" s="19" t="b">
        <f t="shared" si="12"/>
        <v>0</v>
      </c>
      <c r="V60" s="19" t="b">
        <f t="shared" ca="1" si="4"/>
        <v>0</v>
      </c>
      <c r="AI60" s="59"/>
      <c r="AJ60" s="70"/>
      <c r="AK60" s="100"/>
      <c r="AL60" s="87"/>
      <c r="AM60" s="87"/>
      <c r="AN60" s="87"/>
      <c r="AO60" s="87"/>
      <c r="AP60" s="87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5">
        <v>4</v>
      </c>
      <c r="L61" s="111"/>
      <c r="M61" s="112"/>
      <c r="N61" s="112"/>
      <c r="O61" s="112"/>
      <c r="P61" s="113"/>
      <c r="R61" s="87" t="str">
        <f t="shared" si="13"/>
        <v/>
      </c>
      <c r="T61" s="19" t="b">
        <f t="shared" ca="1" si="0"/>
        <v>0</v>
      </c>
      <c r="U61" s="19" t="b">
        <f t="shared" si="12"/>
        <v>0</v>
      </c>
      <c r="V61" s="19" t="b">
        <f t="shared" ca="1" si="4"/>
        <v>0</v>
      </c>
      <c r="Y61" s="19" t="b">
        <f t="shared" ca="1" si="18"/>
        <v>0</v>
      </c>
      <c r="Z61" s="19" t="b">
        <f t="shared" ca="1" si="14"/>
        <v>0</v>
      </c>
      <c r="AA61" s="19" t="b">
        <f t="shared" ca="1" si="15"/>
        <v>0</v>
      </c>
      <c r="AB61" s="19" t="b">
        <f t="shared" ca="1" si="16"/>
        <v>0</v>
      </c>
      <c r="AC61" s="19" t="b">
        <f t="shared" ca="1" si="17"/>
        <v>0</v>
      </c>
      <c r="AD61" s="19" t="b">
        <f t="shared" si="19"/>
        <v>0</v>
      </c>
      <c r="AI61" s="59"/>
      <c r="AJ61" s="70"/>
      <c r="AK61" s="100"/>
      <c r="AL61" s="87"/>
      <c r="AM61" s="87"/>
      <c r="AN61" s="87"/>
      <c r="AO61" s="87"/>
      <c r="AP61" s="87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10"/>
      <c r="L62" s="114"/>
      <c r="M62" s="115"/>
      <c r="N62" s="115"/>
      <c r="O62" s="115"/>
      <c r="P62" s="116"/>
      <c r="T62" s="19" t="b">
        <f t="shared" ca="1" si="0"/>
        <v>0</v>
      </c>
      <c r="U62" s="19" t="b">
        <f t="shared" si="12"/>
        <v>0</v>
      </c>
      <c r="V62" s="19" t="b">
        <f t="shared" ca="1" si="4"/>
        <v>0</v>
      </c>
      <c r="AI62" s="59"/>
      <c r="AJ62" s="70"/>
      <c r="AK62" s="100"/>
      <c r="AL62" s="87"/>
      <c r="AM62" s="87"/>
      <c r="AN62" s="87"/>
      <c r="AO62" s="87"/>
      <c r="AP62" s="87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5">
        <v>5</v>
      </c>
      <c r="L63" s="111"/>
      <c r="M63" s="112"/>
      <c r="N63" s="112"/>
      <c r="O63" s="112"/>
      <c r="P63" s="113"/>
      <c r="R63" s="87" t="str">
        <f t="shared" si="13"/>
        <v/>
      </c>
      <c r="T63" s="19" t="b">
        <f t="shared" ca="1" si="0"/>
        <v>0</v>
      </c>
      <c r="U63" s="19" t="b">
        <f t="shared" si="12"/>
        <v>0</v>
      </c>
      <c r="V63" s="19" t="b">
        <f t="shared" ca="1" si="4"/>
        <v>0</v>
      </c>
      <c r="Y63" s="19" t="b">
        <f t="shared" ca="1" si="18"/>
        <v>0</v>
      </c>
      <c r="Z63" s="19" t="b">
        <f t="shared" ca="1" si="14"/>
        <v>0</v>
      </c>
      <c r="AA63" s="19" t="b">
        <f t="shared" ca="1" si="15"/>
        <v>0</v>
      </c>
      <c r="AB63" s="19" t="b">
        <f t="shared" ca="1" si="16"/>
        <v>0</v>
      </c>
      <c r="AC63" s="19" t="b">
        <f t="shared" ca="1" si="17"/>
        <v>0</v>
      </c>
      <c r="AD63" s="19" t="b">
        <f>AND(R63&lt;&gt;"",COUNTIF(R$13:R$22,R63)&gt;1)</f>
        <v>0</v>
      </c>
      <c r="AI63" s="59"/>
      <c r="AJ63" s="70"/>
      <c r="AK63" s="100"/>
      <c r="AL63" s="87"/>
      <c r="AM63" s="87"/>
      <c r="AN63" s="87"/>
      <c r="AO63" s="87"/>
      <c r="AP63" s="87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10"/>
      <c r="L64" s="114"/>
      <c r="M64" s="115"/>
      <c r="N64" s="115"/>
      <c r="O64" s="115"/>
      <c r="P64" s="116"/>
      <c r="T64" s="19" t="b">
        <f t="shared" ca="1" si="0"/>
        <v>0</v>
      </c>
      <c r="U64" s="19" t="b">
        <f t="shared" si="12"/>
        <v>0</v>
      </c>
      <c r="V64" s="19" t="b">
        <f t="shared" ca="1" si="4"/>
        <v>0</v>
      </c>
      <c r="AI64" s="59"/>
      <c r="AJ64" s="70"/>
      <c r="AK64" s="100"/>
      <c r="AL64" s="87"/>
      <c r="AM64" s="87"/>
      <c r="AN64" s="87"/>
      <c r="AO64" s="87"/>
      <c r="AP64" s="87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 t="b">
        <f t="shared" ca="1" si="4"/>
        <v>0</v>
      </c>
      <c r="AI65" s="59"/>
      <c r="AJ65" s="70"/>
      <c r="AK65" s="100"/>
      <c r="AL65" s="87"/>
      <c r="AM65" s="87"/>
      <c r="AN65" s="87"/>
      <c r="AO65" s="87"/>
      <c r="AP65" s="87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 t="b">
        <f t="shared" ca="1" si="4"/>
        <v>0</v>
      </c>
      <c r="AI66" s="59"/>
      <c r="AJ66" s="70"/>
      <c r="AK66" s="100"/>
      <c r="AL66" s="87"/>
      <c r="AM66" s="87"/>
      <c r="AN66" s="87"/>
      <c r="AO66" s="87"/>
      <c r="AP66" s="87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 t="b">
        <f t="shared" ca="1" si="4"/>
        <v>0</v>
      </c>
      <c r="AI67" s="59"/>
      <c r="AJ67" s="70"/>
      <c r="AK67" s="100"/>
      <c r="AL67" s="87"/>
      <c r="AM67" s="87"/>
      <c r="AN67" s="87"/>
      <c r="AO67" s="87"/>
      <c r="AP67" s="87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 t="b">
        <f t="shared" ca="1" si="4"/>
        <v>0</v>
      </c>
      <c r="AI68" s="59"/>
      <c r="AJ68" s="70"/>
      <c r="AK68" s="100"/>
      <c r="AL68" s="87"/>
      <c r="AM68" s="87"/>
      <c r="AN68" s="87"/>
      <c r="AO68" s="87"/>
      <c r="AP68" s="87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 t="b">
        <f t="shared" ca="1" si="4"/>
        <v>0</v>
      </c>
      <c r="AI69" s="59"/>
      <c r="AJ69" s="70"/>
      <c r="AK69" s="100"/>
      <c r="AL69" s="87"/>
      <c r="AM69" s="87"/>
      <c r="AN69" s="87"/>
      <c r="AO69" s="87"/>
      <c r="AP69" s="87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0">AND(B70&lt;&gt;"",ISNA(MATCH(B70,項目リスト,0)))</f>
        <v>0</v>
      </c>
      <c r="U70" s="19" t="b">
        <f t="shared" ref="U70:U105" si="21">COUNTIF(FIELD_NAME,B70)&gt;1</f>
        <v>0</v>
      </c>
      <c r="V70" s="19" t="b">
        <f t="shared" ca="1" si="4"/>
        <v>0</v>
      </c>
      <c r="AI70" s="59"/>
      <c r="AJ70" s="70"/>
      <c r="AK70" s="100"/>
      <c r="AL70" s="87"/>
      <c r="AM70" s="87"/>
      <c r="AN70" s="87"/>
      <c r="AO70" s="87"/>
      <c r="AP70" s="87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0"/>
        <v>0</v>
      </c>
      <c r="U71" s="19" t="b">
        <f t="shared" si="21"/>
        <v>0</v>
      </c>
      <c r="V71" s="19" t="b">
        <f t="shared" ca="1" si="4"/>
        <v>0</v>
      </c>
      <c r="AI71" s="59"/>
      <c r="AJ71" s="70"/>
      <c r="AK71" s="100"/>
      <c r="AL71" s="87"/>
      <c r="AM71" s="87"/>
      <c r="AN71" s="87"/>
      <c r="AO71" s="87"/>
      <c r="AP71" s="87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0"/>
        <v>0</v>
      </c>
      <c r="U72" s="19" t="b">
        <f t="shared" si="21"/>
        <v>0</v>
      </c>
      <c r="V72" s="19" t="b">
        <f t="shared" ca="1" si="4"/>
        <v>0</v>
      </c>
      <c r="AI72" s="59"/>
      <c r="AJ72" s="70"/>
      <c r="AK72" s="100"/>
      <c r="AL72" s="87"/>
      <c r="AM72" s="87"/>
      <c r="AN72" s="87"/>
      <c r="AO72" s="87"/>
      <c r="AP72" s="87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0"/>
        <v>0</v>
      </c>
      <c r="U73" s="19" t="b">
        <f t="shared" si="21"/>
        <v>0</v>
      </c>
      <c r="V73" s="19" t="b">
        <f t="shared" ref="V73:V105" ca="1" si="22">AND(E73="",H73&lt;&gt;"",H73)</f>
        <v>0</v>
      </c>
      <c r="AI73" s="59"/>
      <c r="AJ73" s="70"/>
      <c r="AK73" s="100"/>
      <c r="AL73" s="87"/>
      <c r="AM73" s="87"/>
      <c r="AN73" s="87"/>
      <c r="AO73" s="87"/>
      <c r="AP73" s="87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0"/>
        <v>0</v>
      </c>
      <c r="U74" s="19" t="b">
        <f t="shared" si="21"/>
        <v>0</v>
      </c>
      <c r="V74" s="19" t="b">
        <f t="shared" ca="1" si="22"/>
        <v>0</v>
      </c>
      <c r="AI74" s="59"/>
      <c r="AJ74" s="70"/>
      <c r="AK74" s="100"/>
      <c r="AL74" s="87"/>
      <c r="AM74" s="87"/>
      <c r="AN74" s="87"/>
      <c r="AO74" s="87"/>
      <c r="AP74" s="87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0"/>
        <v>0</v>
      </c>
      <c r="U75" s="19" t="b">
        <f t="shared" si="21"/>
        <v>0</v>
      </c>
      <c r="V75" s="19" t="b">
        <f t="shared" ca="1" si="22"/>
        <v>0</v>
      </c>
      <c r="AI75" s="59"/>
      <c r="AJ75" s="70"/>
      <c r="AK75" s="100"/>
      <c r="AL75" s="87"/>
      <c r="AM75" s="87"/>
      <c r="AN75" s="87"/>
      <c r="AO75" s="87"/>
      <c r="AP75" s="87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0"/>
        <v>0</v>
      </c>
      <c r="U76" s="19" t="b">
        <f t="shared" si="21"/>
        <v>0</v>
      </c>
      <c r="V76" s="19" t="b">
        <f t="shared" ca="1" si="22"/>
        <v>0</v>
      </c>
      <c r="AI76" s="59"/>
      <c r="AJ76" s="70"/>
      <c r="AK76" s="100"/>
      <c r="AL76" s="87"/>
      <c r="AM76" s="87"/>
      <c r="AN76" s="87"/>
      <c r="AO76" s="87"/>
      <c r="AP76" s="87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0"/>
        <v>0</v>
      </c>
      <c r="U77" s="19" t="b">
        <f t="shared" si="21"/>
        <v>0</v>
      </c>
      <c r="V77" s="19" t="b">
        <f t="shared" ca="1" si="22"/>
        <v>0</v>
      </c>
      <c r="AI77" s="59"/>
      <c r="AJ77" s="70"/>
      <c r="AK77" s="100"/>
      <c r="AL77" s="87"/>
      <c r="AM77" s="87"/>
      <c r="AN77" s="87"/>
      <c r="AO77" s="87"/>
      <c r="AP77" s="87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0"/>
        <v>0</v>
      </c>
      <c r="U78" s="19" t="b">
        <f t="shared" si="21"/>
        <v>0</v>
      </c>
      <c r="V78" s="19" t="b">
        <f t="shared" ca="1" si="22"/>
        <v>0</v>
      </c>
      <c r="AI78" s="59"/>
      <c r="AJ78" s="70"/>
      <c r="AK78" s="100"/>
      <c r="AL78" s="87"/>
      <c r="AM78" s="87"/>
      <c r="AN78" s="87"/>
      <c r="AO78" s="87"/>
      <c r="AP78" s="87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0"/>
        <v>0</v>
      </c>
      <c r="U79" s="19" t="b">
        <f t="shared" si="21"/>
        <v>0</v>
      </c>
      <c r="V79" s="19" t="b">
        <f t="shared" ca="1" si="22"/>
        <v>0</v>
      </c>
      <c r="AI79" s="59"/>
      <c r="AJ79" s="70"/>
      <c r="AK79" s="100"/>
      <c r="AL79" s="87"/>
      <c r="AM79" s="87"/>
      <c r="AN79" s="87"/>
      <c r="AO79" s="87"/>
      <c r="AP79" s="87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0"/>
        <v>0</v>
      </c>
      <c r="U80" s="19" t="b">
        <f t="shared" si="21"/>
        <v>0</v>
      </c>
      <c r="V80" s="19" t="b">
        <f t="shared" ca="1" si="22"/>
        <v>0</v>
      </c>
      <c r="AI80" s="59"/>
      <c r="AJ80" s="70"/>
      <c r="AK80" s="100"/>
      <c r="AL80" s="87"/>
      <c r="AM80" s="87"/>
      <c r="AN80" s="87"/>
      <c r="AO80" s="87"/>
      <c r="AP80" s="87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0"/>
        <v>0</v>
      </c>
      <c r="U81" s="19" t="b">
        <f t="shared" si="21"/>
        <v>0</v>
      </c>
      <c r="V81" s="19" t="b">
        <f t="shared" ca="1" si="22"/>
        <v>0</v>
      </c>
      <c r="AI81" s="59"/>
      <c r="AJ81" s="70"/>
      <c r="AK81" s="100"/>
      <c r="AL81" s="87"/>
      <c r="AM81" s="87"/>
      <c r="AN81" s="87"/>
      <c r="AO81" s="87"/>
      <c r="AP81" s="87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0"/>
        <v>0</v>
      </c>
      <c r="U82" s="19" t="b">
        <f t="shared" si="21"/>
        <v>0</v>
      </c>
      <c r="V82" s="19" t="b">
        <f t="shared" ca="1" si="22"/>
        <v>0</v>
      </c>
      <c r="AI82" s="59"/>
      <c r="AJ82" s="70"/>
      <c r="AK82" s="100"/>
      <c r="AL82" s="87"/>
      <c r="AM82" s="87"/>
      <c r="AN82" s="87"/>
      <c r="AO82" s="87"/>
      <c r="AP82" s="87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0"/>
        <v>0</v>
      </c>
      <c r="U83" s="19" t="b">
        <f t="shared" si="21"/>
        <v>0</v>
      </c>
      <c r="V83" s="19" t="b">
        <f t="shared" ca="1" si="22"/>
        <v>0</v>
      </c>
      <c r="AI83" s="59"/>
      <c r="AJ83" s="70"/>
      <c r="AK83" s="100"/>
      <c r="AL83" s="87"/>
      <c r="AM83" s="87"/>
      <c r="AN83" s="87"/>
      <c r="AO83" s="87"/>
      <c r="AP83" s="87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0"/>
        <v>0</v>
      </c>
      <c r="U84" s="19" t="b">
        <f t="shared" si="21"/>
        <v>0</v>
      </c>
      <c r="V84" s="19" t="b">
        <f t="shared" ca="1" si="22"/>
        <v>0</v>
      </c>
      <c r="AI84" s="59"/>
      <c r="AJ84" s="70"/>
      <c r="AK84" s="100"/>
      <c r="AL84" s="87"/>
      <c r="AM84" s="87"/>
      <c r="AN84" s="87"/>
      <c r="AO84" s="87"/>
      <c r="AP84" s="87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0"/>
        <v>0</v>
      </c>
      <c r="U85" s="19" t="b">
        <f t="shared" si="21"/>
        <v>0</v>
      </c>
      <c r="V85" s="19" t="b">
        <f t="shared" ca="1" si="22"/>
        <v>0</v>
      </c>
      <c r="AI85" s="59"/>
      <c r="AJ85" s="70"/>
      <c r="AK85" s="100"/>
      <c r="AL85" s="87"/>
      <c r="AM85" s="87"/>
      <c r="AN85" s="87"/>
      <c r="AO85" s="87"/>
      <c r="AP85" s="87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0"/>
        <v>0</v>
      </c>
      <c r="U86" s="19" t="b">
        <f t="shared" si="21"/>
        <v>0</v>
      </c>
      <c r="V86" s="19" t="b">
        <f t="shared" ca="1" si="22"/>
        <v>0</v>
      </c>
      <c r="AI86" s="59"/>
      <c r="AJ86" s="70"/>
      <c r="AK86" s="100"/>
      <c r="AL86" s="87"/>
      <c r="AM86" s="87"/>
      <c r="AN86" s="87"/>
      <c r="AO86" s="87"/>
      <c r="AP86" s="87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0"/>
        <v>0</v>
      </c>
      <c r="U87" s="19" t="b">
        <f t="shared" si="21"/>
        <v>0</v>
      </c>
      <c r="V87" s="19" t="b">
        <f t="shared" ca="1" si="22"/>
        <v>0</v>
      </c>
      <c r="AI87" s="59"/>
      <c r="AJ87" s="70"/>
      <c r="AK87" s="100"/>
      <c r="AL87" s="87"/>
      <c r="AM87" s="87"/>
      <c r="AN87" s="87"/>
      <c r="AO87" s="87"/>
      <c r="AP87" s="87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0"/>
        <v>0</v>
      </c>
      <c r="U88" s="19" t="b">
        <f t="shared" si="21"/>
        <v>0</v>
      </c>
      <c r="V88" s="19" t="b">
        <f t="shared" ca="1" si="22"/>
        <v>0</v>
      </c>
      <c r="AI88" s="59"/>
      <c r="AJ88" s="70"/>
      <c r="AK88" s="100"/>
      <c r="AL88" s="87"/>
      <c r="AM88" s="87"/>
      <c r="AN88" s="87"/>
      <c r="AO88" s="87"/>
      <c r="AP88" s="87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0"/>
        <v>0</v>
      </c>
      <c r="U89" s="19" t="b">
        <f t="shared" si="21"/>
        <v>0</v>
      </c>
      <c r="V89" s="19" t="b">
        <f t="shared" ca="1" si="22"/>
        <v>0</v>
      </c>
      <c r="AI89" s="59"/>
      <c r="AJ89" s="70"/>
      <c r="AK89" s="100"/>
      <c r="AL89" s="87"/>
      <c r="AM89" s="87"/>
      <c r="AN89" s="87"/>
      <c r="AO89" s="87"/>
      <c r="AP89" s="87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0"/>
        <v>0</v>
      </c>
      <c r="U90" s="19" t="b">
        <f t="shared" si="21"/>
        <v>0</v>
      </c>
      <c r="V90" s="19" t="b">
        <f t="shared" ca="1" si="22"/>
        <v>0</v>
      </c>
      <c r="AI90" s="59"/>
      <c r="AJ90" s="70"/>
      <c r="AK90" s="100"/>
      <c r="AL90" s="87"/>
      <c r="AM90" s="87"/>
      <c r="AN90" s="87"/>
      <c r="AO90" s="87"/>
      <c r="AP90" s="87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0"/>
        <v>0</v>
      </c>
      <c r="U91" s="19" t="b">
        <f t="shared" si="21"/>
        <v>0</v>
      </c>
      <c r="V91" s="19" t="b">
        <f t="shared" ca="1" si="22"/>
        <v>0</v>
      </c>
      <c r="AI91" s="59"/>
      <c r="AJ91" s="70"/>
      <c r="AK91" s="100"/>
      <c r="AL91" s="87"/>
      <c r="AM91" s="87"/>
      <c r="AN91" s="87"/>
      <c r="AO91" s="87"/>
      <c r="AP91" s="87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0"/>
        <v>0</v>
      </c>
      <c r="U92" s="19" t="b">
        <f t="shared" si="21"/>
        <v>0</v>
      </c>
      <c r="V92" s="19" t="b">
        <f t="shared" ca="1" si="22"/>
        <v>0</v>
      </c>
      <c r="AI92" s="59"/>
      <c r="AJ92" s="70"/>
      <c r="AK92" s="100"/>
      <c r="AL92" s="87"/>
      <c r="AM92" s="87"/>
      <c r="AN92" s="87"/>
      <c r="AO92" s="87"/>
      <c r="AP92" s="87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0"/>
        <v>0</v>
      </c>
      <c r="U93" s="19" t="b">
        <f t="shared" si="21"/>
        <v>0</v>
      </c>
      <c r="V93" s="19" t="b">
        <f t="shared" ca="1" si="22"/>
        <v>0</v>
      </c>
      <c r="AI93" s="59"/>
      <c r="AJ93" s="70"/>
      <c r="AK93" s="100"/>
      <c r="AL93" s="87"/>
      <c r="AM93" s="87"/>
      <c r="AN93" s="87"/>
      <c r="AO93" s="87"/>
      <c r="AP93" s="87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0"/>
        <v>0</v>
      </c>
      <c r="U94" s="19" t="b">
        <f t="shared" si="21"/>
        <v>0</v>
      </c>
      <c r="V94" s="19" t="b">
        <f t="shared" ca="1" si="22"/>
        <v>0</v>
      </c>
      <c r="AI94" s="59"/>
      <c r="AJ94" s="70"/>
      <c r="AK94" s="100"/>
      <c r="AL94" s="87"/>
      <c r="AM94" s="87"/>
      <c r="AN94" s="87"/>
      <c r="AO94" s="87"/>
      <c r="AP94" s="87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0"/>
        <v>0</v>
      </c>
      <c r="U95" s="19" t="b">
        <f t="shared" si="21"/>
        <v>0</v>
      </c>
      <c r="V95" s="19" t="b">
        <f t="shared" ca="1" si="22"/>
        <v>0</v>
      </c>
      <c r="AI95" s="59"/>
      <c r="AJ95" s="70"/>
      <c r="AK95" s="100"/>
      <c r="AL95" s="87"/>
      <c r="AM95" s="87"/>
      <c r="AN95" s="87"/>
      <c r="AO95" s="87"/>
      <c r="AP95" s="87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0"/>
        <v>0</v>
      </c>
      <c r="U96" s="19" t="b">
        <f t="shared" si="21"/>
        <v>0</v>
      </c>
      <c r="V96" s="19" t="b">
        <f t="shared" ca="1" si="22"/>
        <v>0</v>
      </c>
      <c r="AI96" s="59"/>
      <c r="AJ96" s="70"/>
      <c r="AK96" s="100"/>
      <c r="AL96" s="87"/>
      <c r="AM96" s="87"/>
      <c r="AN96" s="87"/>
      <c r="AO96" s="87"/>
      <c r="AP96" s="87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0"/>
        <v>0</v>
      </c>
      <c r="U97" s="19" t="b">
        <f t="shared" si="21"/>
        <v>0</v>
      </c>
      <c r="V97" s="19" t="b">
        <f t="shared" ca="1" si="22"/>
        <v>0</v>
      </c>
      <c r="AI97" s="59"/>
      <c r="AJ97" s="70"/>
      <c r="AK97" s="100"/>
      <c r="AL97" s="87"/>
      <c r="AM97" s="87"/>
      <c r="AN97" s="87"/>
      <c r="AO97" s="87"/>
      <c r="AP97" s="87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0"/>
        <v>0</v>
      </c>
      <c r="U98" s="19" t="b">
        <f t="shared" si="21"/>
        <v>0</v>
      </c>
      <c r="V98" s="19" t="b">
        <f t="shared" ca="1" si="22"/>
        <v>0</v>
      </c>
      <c r="AI98" s="59"/>
      <c r="AJ98" s="70"/>
      <c r="AK98" s="100"/>
      <c r="AL98" s="87"/>
      <c r="AM98" s="87"/>
      <c r="AN98" s="87"/>
      <c r="AO98" s="87"/>
      <c r="AP98" s="87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0"/>
        <v>0</v>
      </c>
      <c r="U99" s="19" t="b">
        <f t="shared" si="21"/>
        <v>0</v>
      </c>
      <c r="V99" s="19" t="b">
        <f t="shared" ca="1" si="22"/>
        <v>0</v>
      </c>
      <c r="AI99" s="59"/>
      <c r="AJ99" s="70"/>
      <c r="AK99" s="100"/>
      <c r="AL99" s="87"/>
      <c r="AM99" s="87"/>
      <c r="AN99" s="87"/>
      <c r="AO99" s="87"/>
      <c r="AP99" s="87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0"/>
        <v>0</v>
      </c>
      <c r="U100" s="19" t="b">
        <f t="shared" si="21"/>
        <v>0</v>
      </c>
      <c r="V100" s="19" t="b">
        <f t="shared" ca="1" si="22"/>
        <v>0</v>
      </c>
      <c r="AI100" s="59"/>
      <c r="AJ100" s="70"/>
      <c r="AK100" s="100"/>
      <c r="AL100" s="87"/>
      <c r="AM100" s="87"/>
      <c r="AN100" s="87"/>
      <c r="AO100" s="87"/>
      <c r="AP100" s="87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0"/>
        <v>0</v>
      </c>
      <c r="U101" s="19" t="b">
        <f t="shared" si="21"/>
        <v>0</v>
      </c>
      <c r="V101" s="19" t="b">
        <f t="shared" ca="1" si="22"/>
        <v>0</v>
      </c>
      <c r="AI101" s="59"/>
      <c r="AJ101" s="70"/>
      <c r="AK101" s="100"/>
      <c r="AL101" s="87"/>
      <c r="AM101" s="87"/>
      <c r="AN101" s="87"/>
      <c r="AO101" s="87"/>
      <c r="AP101" s="87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0"/>
        <v>0</v>
      </c>
      <c r="U102" s="19" t="b">
        <f t="shared" si="21"/>
        <v>0</v>
      </c>
      <c r="V102" s="19" t="b">
        <f t="shared" ca="1" si="22"/>
        <v>0</v>
      </c>
      <c r="AI102" s="59"/>
      <c r="AJ102" s="70"/>
      <c r="AK102" s="100"/>
      <c r="AL102" s="87"/>
      <c r="AM102" s="87"/>
      <c r="AN102" s="87"/>
      <c r="AO102" s="87"/>
      <c r="AP102" s="87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0"/>
        <v>0</v>
      </c>
      <c r="U103" s="19" t="b">
        <f t="shared" si="21"/>
        <v>0</v>
      </c>
      <c r="V103" s="19" t="b">
        <f t="shared" ca="1" si="22"/>
        <v>0</v>
      </c>
      <c r="AI103" s="59"/>
      <c r="AJ103" s="70"/>
      <c r="AK103" s="100"/>
      <c r="AL103" s="87"/>
      <c r="AM103" s="87"/>
      <c r="AN103" s="87"/>
      <c r="AO103" s="87"/>
      <c r="AP103" s="87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0"/>
        <v>0</v>
      </c>
      <c r="U104" s="19" t="b">
        <f t="shared" si="21"/>
        <v>0</v>
      </c>
      <c r="V104" s="19" t="b">
        <f t="shared" ca="1" si="22"/>
        <v>0</v>
      </c>
      <c r="AI104" s="59"/>
      <c r="AJ104" s="70"/>
      <c r="AK104" s="100"/>
      <c r="AL104" s="87"/>
      <c r="AM104" s="87"/>
      <c r="AN104" s="87"/>
      <c r="AO104" s="87"/>
      <c r="AP104" s="87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0"/>
        <v>0</v>
      </c>
      <c r="U105" s="19" t="b">
        <f t="shared" si="21"/>
        <v>0</v>
      </c>
      <c r="V105" s="19" t="b">
        <f t="shared" ca="1" si="22"/>
        <v>0</v>
      </c>
      <c r="AI105" s="59"/>
      <c r="AJ105" s="70"/>
      <c r="AK105" s="100"/>
      <c r="AL105" s="87"/>
      <c r="AM105" s="87"/>
      <c r="AN105" s="87"/>
      <c r="AO105" s="87"/>
      <c r="AP105" s="87"/>
    </row>
  </sheetData>
  <phoneticPr fontId="2"/>
  <conditionalFormatting sqref="B2:C2">
    <cfRule type="expression" dxfId="84" priority="23">
      <formula>ISERROR(B2)</formula>
    </cfRule>
  </conditionalFormatting>
  <conditionalFormatting sqref="B6:B105">
    <cfRule type="expression" dxfId="83" priority="21">
      <formula>COUNTIF(FIELD_NAME,B6)&gt;1</formula>
    </cfRule>
    <cfRule type="expression" dxfId="82" priority="22">
      <formula>AND($B6&lt;&gt;"",ISNA(MATCH($B6,項目リスト,0)))</formula>
    </cfRule>
  </conditionalFormatting>
  <conditionalFormatting sqref="B6">
    <cfRule type="expression" dxfId="81" priority="20">
      <formula>$AI$6="N/A"</formula>
    </cfRule>
  </conditionalFormatting>
  <conditionalFormatting sqref="D1">
    <cfRule type="cellIs" dxfId="80" priority="19" operator="greaterThan">
      <formula>0</formula>
    </cfRule>
  </conditionalFormatting>
  <conditionalFormatting sqref="L8:P8">
    <cfRule type="expression" dxfId="79" priority="25">
      <formula>Y8</formula>
    </cfRule>
    <cfRule type="expression" dxfId="78" priority="26">
      <formula>Y7</formula>
    </cfRule>
  </conditionalFormatting>
  <conditionalFormatting sqref="L13:P22">
    <cfRule type="expression" dxfId="77" priority="17">
      <formula>Y13</formula>
    </cfRule>
    <cfRule type="expression" dxfId="76" priority="18">
      <formula>$AD13</formula>
    </cfRule>
  </conditionalFormatting>
  <conditionalFormatting sqref="L8">
    <cfRule type="expression" dxfId="75" priority="24">
      <formula>$AG$7</formula>
    </cfRule>
  </conditionalFormatting>
  <conditionalFormatting sqref="L55:P64">
    <cfRule type="expression" dxfId="74" priority="15">
      <formula>Y55</formula>
    </cfRule>
    <cfRule type="expression" dxfId="73" priority="16">
      <formula>$AD55</formula>
    </cfRule>
  </conditionalFormatting>
  <conditionalFormatting sqref="L43:P44">
    <cfRule type="expression" dxfId="72" priority="14">
      <formula>Y42</formula>
    </cfRule>
  </conditionalFormatting>
  <conditionalFormatting sqref="L43:P43">
    <cfRule type="expression" dxfId="71" priority="12">
      <formula>$AD42</formula>
    </cfRule>
    <cfRule type="expression" dxfId="70" priority="28">
      <formula>Y41</formula>
    </cfRule>
  </conditionalFormatting>
  <conditionalFormatting sqref="L26">
    <cfRule type="expression" dxfId="69" priority="29">
      <formula>X28</formula>
    </cfRule>
    <cfRule type="expression" dxfId="68" priority="30">
      <formula>$AD27</formula>
    </cfRule>
  </conditionalFormatting>
  <conditionalFormatting sqref="L43">
    <cfRule type="expression" dxfId="67" priority="13">
      <formula>$AD41</formula>
    </cfRule>
  </conditionalFormatting>
  <conditionalFormatting sqref="L28:P29 L33:P34 L38:P39 L48:P49 L43:P44">
    <cfRule type="expression" dxfId="66" priority="31">
      <formula>Y27</formula>
    </cfRule>
  </conditionalFormatting>
  <conditionalFormatting sqref="L29:P29 L34:P34 L39:P39 L49:P49">
    <cfRule type="expression" dxfId="65" priority="32">
      <formula>$AD27</formula>
    </cfRule>
    <cfRule type="expression" dxfId="64" priority="33">
      <formula>Y26</formula>
    </cfRule>
  </conditionalFormatting>
  <conditionalFormatting sqref="L28 L33 L38 L48 L43">
    <cfRule type="expression" dxfId="63" priority="34">
      <formula>$AD26</formula>
    </cfRule>
  </conditionalFormatting>
  <conditionalFormatting sqref="L31 L36 L41 L46">
    <cfRule type="expression" dxfId="62" priority="35">
      <formula>X33</formula>
    </cfRule>
    <cfRule type="expression" dxfId="61" priority="36">
      <formula>$AD33</formula>
    </cfRule>
  </conditionalFormatting>
  <conditionalFormatting sqref="L44:P44">
    <cfRule type="expression" dxfId="60" priority="37">
      <formula>$AD42</formula>
    </cfRule>
    <cfRule type="expression" dxfId="59" priority="38">
      <formula>Y41</formula>
    </cfRule>
  </conditionalFormatting>
  <conditionalFormatting sqref="L28:P28 L33:P33 L38:P38 L43:P43 L48:P48">
    <cfRule type="expression" dxfId="58" priority="11">
      <formula>$AD27</formula>
    </cfRule>
    <cfRule type="expression" dxfId="57" priority="27">
      <formula>Y26</formula>
    </cfRule>
  </conditionalFormatting>
  <conditionalFormatting sqref="K56">
    <cfRule type="expression" dxfId="56" priority="9">
      <formula>X56</formula>
    </cfRule>
    <cfRule type="expression" dxfId="55" priority="10">
      <formula>$AD56</formula>
    </cfRule>
  </conditionalFormatting>
  <conditionalFormatting sqref="K58">
    <cfRule type="expression" dxfId="54" priority="7">
      <formula>X58</formula>
    </cfRule>
    <cfRule type="expression" dxfId="53" priority="8">
      <formula>$AD58</formula>
    </cfRule>
  </conditionalFormatting>
  <conditionalFormatting sqref="K60">
    <cfRule type="expression" dxfId="52" priority="5">
      <formula>X60</formula>
    </cfRule>
    <cfRule type="expression" dxfId="51" priority="6">
      <formula>$AD60</formula>
    </cfRule>
  </conditionalFormatting>
  <conditionalFormatting sqref="K62">
    <cfRule type="expression" dxfId="50" priority="3">
      <formula>X62</formula>
    </cfRule>
    <cfRule type="expression" dxfId="49" priority="4">
      <formula>$AD62</formula>
    </cfRule>
  </conditionalFormatting>
  <conditionalFormatting sqref="K64">
    <cfRule type="expression" dxfId="48" priority="1">
      <formula>X64</formula>
    </cfRule>
    <cfRule type="expression" dxfId="47" priority="2">
      <formula>$AD64</formula>
    </cfRule>
  </conditionalFormatting>
  <conditionalFormatting sqref="E6">
    <cfRule type="expression" dxfId="46" priority="39" stopIfTrue="1">
      <formula>$V6</formula>
    </cfRule>
  </conditionalFormatting>
  <conditionalFormatting sqref="E7">
    <cfRule type="expression" dxfId="45" priority="40" stopIfTrue="1">
      <formula>$V7</formula>
    </cfRule>
  </conditionalFormatting>
  <conditionalFormatting sqref="E8">
    <cfRule type="expression" dxfId="44" priority="41" stopIfTrue="1">
      <formula>$V8</formula>
    </cfRule>
  </conditionalFormatting>
  <conditionalFormatting sqref="E9">
    <cfRule type="expression" dxfId="43" priority="42" stopIfTrue="1">
      <formula>$V9</formula>
    </cfRule>
  </conditionalFormatting>
  <conditionalFormatting sqref="E10">
    <cfRule type="expression" dxfId="42" priority="43" stopIfTrue="1">
      <formula>$V10</formula>
    </cfRule>
  </conditionalFormatting>
  <dataValidations count="16">
    <dataValidation imeMode="off" allowBlank="1" showInputMessage="1" showErrorMessage="1" sqref="D5:F5 C2" xr:uid="{18D52147-4C96-452A-9F2A-E6B3B7BEA451}"/>
    <dataValidation type="whole" imeMode="off" operator="equal" allowBlank="1" showInputMessage="1" showErrorMessage="1" error="DESC指定の場合に‐1を入力" sqref="L56:P56 L58:P58 L60:P60 L62:P62 L64:P64" xr:uid="{670379CA-7444-4BD2-B7B8-8AD8EB2DD0BF}">
      <formula1>-1</formula1>
    </dataValidation>
    <dataValidation type="whole" imeMode="off" operator="equal" allowBlank="1" showInputMessage="1" showErrorMessage="1" error="Unique indexの場合に1を入力" sqref="K56 K58 K60 K62 K64" xr:uid="{6B67439B-404E-4B06-B1D4-523CA30E1BB7}">
      <formula1>1</formula1>
    </dataValidation>
    <dataValidation type="list" allowBlank="1" showInputMessage="1" showErrorMessage="1" sqref="N26 P26 N31 P31 N36 P36 N41 P41 N46 P46" xr:uid="{9A97748A-1900-4A9C-8419-C244B6193FD7}">
      <formula1>FK_OPTION</formula1>
    </dataValidation>
    <dataValidation type="list" allowBlank="1" showInputMessage="1" showErrorMessage="1" sqref="L49:P49" xr:uid="{66123A9A-17B1-4C89-99E7-9F8A0644359D}">
      <formula1>FK_FIELD_5</formula1>
    </dataValidation>
    <dataValidation type="list" allowBlank="1" showInputMessage="1" showErrorMessage="1" sqref="L44:P44" xr:uid="{06B484A4-8455-4FBA-889A-8A51239563BD}">
      <formula1>FK_FIELD_4</formula1>
    </dataValidation>
    <dataValidation type="list" allowBlank="1" showInputMessage="1" showErrorMessage="1" sqref="L39:P39" xr:uid="{9D933B78-3BF1-49AC-B8FD-2CDE3211597F}">
      <formula1>FK_FIELD_3</formula1>
    </dataValidation>
    <dataValidation type="list" allowBlank="1" showInputMessage="1" showErrorMessage="1" sqref="L34:P34" xr:uid="{721CEAEE-3AF8-4A5B-9626-4C0E570F8CCB}">
      <formula1>FK_FIELD_2</formula1>
    </dataValidation>
    <dataValidation type="list" allowBlank="1" showInputMessage="1" showErrorMessage="1" sqref="L29:P29" xr:uid="{B6894B17-CABF-492E-9B5E-C44CEAFA975B}">
      <formula1>FK_FIELD_1</formula1>
    </dataValidation>
    <dataValidation type="list" allowBlank="1" showInputMessage="1" showErrorMessage="1" sqref="L26 L31 L36 L41 L46" xr:uid="{7E80759D-1A9A-4EDF-8CF7-B0B87CC4C848}">
      <formula1>TABLEリスト</formula1>
    </dataValidation>
    <dataValidation type="list" allowBlank="1" showInputMessage="1" showErrorMessage="1" sqref="F2" xr:uid="{8B7DE5F1-17B2-48F6-AD66-45B56AE29FF5}">
      <formula1>"○,-"</formula1>
    </dataValidation>
    <dataValidation type="list" allowBlank="1" showInputMessage="1" showErrorMessage="1" sqref="L13:P22 L43:P43 L48:P48 L33:P33 L38:P38 L28:P28 L55:P55 L57:P57 L59:P59 L61:P61 L63:P63" xr:uid="{1E48DF64-1903-4787-B1FD-79F5D7D48DA4}">
      <formula1>FIELDリスト</formula1>
    </dataValidation>
    <dataValidation type="list" allowBlank="1" showInputMessage="1" showErrorMessage="1" sqref="L8:P8" xr:uid="{8722113C-ABB7-4360-A931-662AD0123BD2}">
      <formula1>FIELDリストNN</formula1>
    </dataValidation>
    <dataValidation type="whole" imeMode="off" operator="equal" allowBlank="1" showInputMessage="1" showErrorMessage="1" error="NotNullの場合は[1]を入力する。" sqref="E6:E105" xr:uid="{B4DE2729-AF59-4801-90AE-235EF0B2B7DD}">
      <formula1>1</formula1>
    </dataValidation>
    <dataValidation type="list" allowBlank="1" showInputMessage="1" showErrorMessage="1" sqref="B6:B105" xr:uid="{62B2F0BD-041E-4552-8FA4-A7447A82E338}">
      <formula1>項目リスト</formula1>
    </dataValidation>
    <dataValidation imeMode="on" allowBlank="1" showInputMessage="1" showErrorMessage="1" sqref="K12 A5 A1:A2 E2 K7 F6:H105 K54" xr:uid="{8A76C0B7-7B36-460A-9C28-05CDC86FC122}"/>
  </dataValidations>
  <hyperlinks>
    <hyperlink ref="E1" location="一覧!R1C1" display="一覧へ" xr:uid="{8633496C-501E-426E-8593-E1517337100F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2FC50-EF7C-440D-AFD0-265F4E231808}">
  <sheetPr codeName="template3">
    <tabColor rgb="FFFFFFFF"/>
  </sheetPr>
  <dimension ref="A1:AP105"/>
  <sheetViews>
    <sheetView showGridLines="0" workbookViewId="0">
      <pane ySplit="5" topLeftCell="A50" activePane="bottomLeft" state="frozen"/>
      <selection pane="bottomLeft" activeCell="M65" sqref="M65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2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2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95">
        <v>3</v>
      </c>
      <c r="E2" s="89" t="s">
        <v>158</v>
      </c>
      <c r="F2" s="90" t="s">
        <v>173</v>
      </c>
      <c r="G2" s="40"/>
      <c r="AF2" s="7" t="s">
        <v>17</v>
      </c>
      <c r="AG2" s="7" t="b">
        <f>OR(ISERROR(TABLE_JP),ISERROR(TABLE_EN))</f>
        <v>0</v>
      </c>
    </row>
    <row r="3" spans="1:42">
      <c r="AE3" s="7" t="s">
        <v>8</v>
      </c>
      <c r="AF3" s="7" t="s">
        <v>25</v>
      </c>
      <c r="AG3" s="7" t="b">
        <f>AI6="N/A"</f>
        <v>0</v>
      </c>
      <c r="AI3" s="7" t="s">
        <v>180</v>
      </c>
    </row>
    <row r="4" spans="1:42" ht="20">
      <c r="A4" s="10" t="s">
        <v>45</v>
      </c>
      <c r="K4" s="10" t="s">
        <v>46</v>
      </c>
      <c r="T4" s="69" t="s">
        <v>150</v>
      </c>
      <c r="AF4" s="7" t="s">
        <v>19</v>
      </c>
      <c r="AG4" s="7" t="b">
        <f ca="1">OR(T6:T105)</f>
        <v>0</v>
      </c>
      <c r="AI4" s="101" t="s">
        <v>186</v>
      </c>
      <c r="AJ4" s="101" t="s">
        <v>187</v>
      </c>
      <c r="AK4" s="101" t="s">
        <v>8</v>
      </c>
      <c r="AL4" s="101" t="s">
        <v>181</v>
      </c>
      <c r="AM4" s="101" t="s">
        <v>182</v>
      </c>
      <c r="AN4" s="101" t="s">
        <v>183</v>
      </c>
      <c r="AO4" s="101" t="s">
        <v>184</v>
      </c>
      <c r="AP4" s="101" t="s">
        <v>185</v>
      </c>
    </row>
    <row r="5" spans="1:42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T5" s="7" t="s">
        <v>19</v>
      </c>
      <c r="U5" s="7" t="s">
        <v>23</v>
      </c>
      <c r="V5" s="7" t="s">
        <v>44</v>
      </c>
      <c r="AF5" s="7" t="s">
        <v>23</v>
      </c>
      <c r="AG5" s="7" t="b">
        <f>OR(U6:U105)</f>
        <v>0</v>
      </c>
      <c r="AI5" s="59">
        <f>COUNTA(AI6:AI105)</f>
        <v>4</v>
      </c>
      <c r="AJ5" s="70">
        <f>COUNTA(AJ6:AJ105)</f>
        <v>2</v>
      </c>
      <c r="AK5" s="100">
        <f>COUNTA(AK6:AK105)</f>
        <v>2</v>
      </c>
      <c r="AL5" s="87" cm="1">
        <f t="array" aca="1" ref="AL5" ca="1">IFERROR(INDIRECT($L$26&amp;"!R5C35",FALSE),1)</f>
        <v>1</v>
      </c>
      <c r="AM5" s="87" cm="1">
        <f t="array" aca="1" ref="AM5" ca="1">IFERROR(INDIRECT($L$31&amp;"!R5C35",FALSE),1)</f>
        <v>5</v>
      </c>
      <c r="AN5" s="87" cm="1">
        <f t="array" aca="1" ref="AN5" ca="1">IFERROR(INDIRECT($L$36&amp;"!R5C35",FALSE),1)</f>
        <v>1</v>
      </c>
      <c r="AO5" s="87" cm="1">
        <f t="array" aca="1" ref="AO5" ca="1">IFERROR(INDIRECT($L$41&amp;"!R5C35",FALSE),1)</f>
        <v>1</v>
      </c>
      <c r="AP5" s="87" cm="1">
        <f t="array" aca="1" ref="AP5" ca="1">IFERROR(INDIRECT($L$46&amp;"!R5C35",FALSE),1)</f>
        <v>1</v>
      </c>
    </row>
    <row r="6" spans="1:42" ht="15" customHeight="1">
      <c r="A6" s="47">
        <v>1</v>
      </c>
      <c r="B6" s="41" t="s">
        <v>30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178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151</v>
      </c>
      <c r="AF6" s="7" t="s">
        <v>24</v>
      </c>
      <c r="AG6" s="7" t="b">
        <f ca="1">OR(V6:V105)</f>
        <v>0</v>
      </c>
      <c r="AI6" s="59" t="s">
        <v>174</v>
      </c>
      <c r="AJ6" s="70" t="s">
        <v>174</v>
      </c>
      <c r="AK6" s="100" t="s">
        <v>179</v>
      </c>
      <c r="AL6" s="87" t="str" cm="1">
        <f t="array" aca="1" ref="AL6" ca="1">IFERROR(OFFSET(INDIRECT($L$26&amp;"!R6C35",FALSE),,,AL5,),"N/A")</f>
        <v>N/A</v>
      </c>
      <c r="AM6" s="87" t="str" cm="1">
        <f t="array" aca="1" ref="AM6:AM10" ca="1">IFERROR(OFFSET(INDIRECT($L$31&amp;"!R6C35",FALSE),,,AM5,),"N/A")</f>
        <v>受注No</v>
      </c>
      <c r="AN6" s="87" t="str" cm="1">
        <f t="array" aca="1" ref="AN6" ca="1">IFERROR(OFFSET(INDIRECT($L$36&amp;"!R6C35",FALSE),,,AN5,),"N/A")</f>
        <v>N/A</v>
      </c>
      <c r="AO6" s="87" t="str" cm="1">
        <f t="array" aca="1" ref="AO6" ca="1">IFERROR(OFFSET(INDIRECT($L$41&amp;"!R6C35",FALSE),,,AO5,),"N/A")</f>
        <v>N/A</v>
      </c>
      <c r="AP6" s="87" t="str" cm="1">
        <f t="array" aca="1" ref="AP6" ca="1">IFERROR(OFFSET(INDIRECT($L$46&amp;"!R6C35",FALSE),,,AP5,),"N/A")</f>
        <v>N/A</v>
      </c>
    </row>
    <row r="7" spans="1:42">
      <c r="A7" s="48">
        <v>2</v>
      </c>
      <c r="B7" s="42" t="s">
        <v>27</v>
      </c>
      <c r="C7" s="35" t="str">
        <f ca="1">IFERROR(VLOOKUP(B7,項目!DATA_AREA,2,FALSE),"")</f>
        <v>product_no</v>
      </c>
      <c r="D7" s="35" t="str">
        <f ca="1">IFERROR(VLOOKUP(B7,項目!DATA_AREA,3,FALSE),"")</f>
        <v>varchar(10)</v>
      </c>
      <c r="E7" s="51">
        <v>1</v>
      </c>
      <c r="F7" s="45"/>
      <c r="G7" s="38" t="str">
        <f ca="1">IFERROR(VLOOKUP(B7,項目!DATA_AREA,4,FALSE),"")</f>
        <v>(LENGTH(product_no) &gt;= 9)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ref="U7:U38" si="3">COUNTIF(FIELD_NAME,B7)&gt;1</f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I7" s="59" t="s">
        <v>27</v>
      </c>
      <c r="AJ7" s="70" t="s">
        <v>27</v>
      </c>
      <c r="AK7" s="100" t="s">
        <v>166</v>
      </c>
      <c r="AL7" s="87"/>
      <c r="AM7" s="87" t="str">
        <f ca="1"/>
        <v>受注日</v>
      </c>
      <c r="AN7" s="87"/>
      <c r="AO7" s="87"/>
      <c r="AP7" s="87"/>
    </row>
    <row r="8" spans="1:42">
      <c r="A8" s="48">
        <v>3</v>
      </c>
      <c r="B8" s="42" t="s">
        <v>29</v>
      </c>
      <c r="C8" s="35" t="str">
        <f ca="1">IFERROR(VLOOKUP(B8,項目!DATA_AREA,2,FALSE),"")</f>
        <v>quantity</v>
      </c>
      <c r="D8" s="35" t="str">
        <f ca="1">IFERROR(VLOOKUP(B8,項目!DATA_AREA,3,FALSE),"")</f>
        <v>integer</v>
      </c>
      <c r="E8" s="51"/>
      <c r="F8" s="45"/>
      <c r="G8" s="38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K8" s="71" t="s">
        <v>14</v>
      </c>
      <c r="L8" s="72" t="s">
        <v>30</v>
      </c>
      <c r="M8" s="73" t="s">
        <v>27</v>
      </c>
      <c r="N8" s="73"/>
      <c r="O8" s="73"/>
      <c r="P8" s="74"/>
      <c r="T8" s="19" t="b">
        <f t="shared" ca="1" si="0"/>
        <v>0</v>
      </c>
      <c r="U8" s="19" t="b">
        <f t="shared" si="3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29</v>
      </c>
      <c r="AJ8" s="70"/>
      <c r="AK8" s="100"/>
      <c r="AL8" s="87"/>
      <c r="AM8" s="87" t="str">
        <f ca="1"/>
        <v>担当者名</v>
      </c>
      <c r="AN8" s="87"/>
      <c r="AO8" s="87"/>
      <c r="AP8" s="87"/>
    </row>
    <row r="9" spans="1:42">
      <c r="A9" s="48">
        <v>4</v>
      </c>
      <c r="B9" s="42" t="s">
        <v>4</v>
      </c>
      <c r="C9" s="35" t="str">
        <f ca="1">IFERROR(VLOOKUP(B9,項目!DATA_AREA,2,FALSE),"")</f>
        <v>price</v>
      </c>
      <c r="D9" s="35" t="str">
        <f ca="1">IFERROR(VLOOKUP(B9,項目!DATA_AREA,3,FALSE),"")</f>
        <v>integer</v>
      </c>
      <c r="E9" s="51"/>
      <c r="F9" s="45"/>
      <c r="G9" s="38" t="str">
        <f ca="1">IFERROR(VLOOKUP(B9,項目!DATA_AREA,4,FALSE),"")</f>
        <v>(price &gt;= 0)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3"/>
        <v>0</v>
      </c>
      <c r="V9" s="19" t="b">
        <f t="shared" ref="V9:V72" ca="1" si="4">AND(E9="",H9&lt;&gt;"",H9)</f>
        <v>0</v>
      </c>
      <c r="AF9" s="7" t="s">
        <v>23</v>
      </c>
      <c r="AG9" s="7" t="b">
        <f>OR(Y8:AC8)</f>
        <v>0</v>
      </c>
      <c r="AI9" s="59" t="s">
        <v>4</v>
      </c>
      <c r="AJ9" s="70"/>
      <c r="AK9" s="100"/>
      <c r="AL9" s="87"/>
      <c r="AM9" s="87" t="str">
        <f ca="1"/>
        <v>得意先ID</v>
      </c>
      <c r="AN9" s="87"/>
      <c r="AO9" s="87"/>
      <c r="AP9" s="87"/>
    </row>
    <row r="10" spans="1:42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T10" s="19" t="b">
        <f t="shared" ca="1" si="0"/>
        <v>0</v>
      </c>
      <c r="U10" s="19" t="b">
        <f t="shared" si="3"/>
        <v>0</v>
      </c>
      <c r="V10" s="19" t="b">
        <f t="shared" ca="1" si="4"/>
        <v>0</v>
      </c>
      <c r="AE10" s="7" t="s">
        <v>49</v>
      </c>
      <c r="AF10" s="7" t="s">
        <v>154</v>
      </c>
      <c r="AG10" s="7" t="b">
        <f ca="1">OR($Y$13:$AC$22)</f>
        <v>0</v>
      </c>
      <c r="AI10" s="59"/>
      <c r="AJ10" s="70"/>
      <c r="AK10" s="100"/>
      <c r="AL10" s="87"/>
      <c r="AM10" s="87" t="str">
        <f ca="1"/>
        <v>コメント</v>
      </c>
      <c r="AN10" s="87"/>
      <c r="AO10" s="87"/>
      <c r="AP10" s="87"/>
    </row>
    <row r="11" spans="1:42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48</v>
      </c>
      <c r="L11" s="63" t="s">
        <v>50</v>
      </c>
      <c r="T11" s="19" t="b">
        <f t="shared" ca="1" si="0"/>
        <v>0</v>
      </c>
      <c r="U11" s="19" t="b">
        <f t="shared" si="3"/>
        <v>0</v>
      </c>
      <c r="V11" s="19" t="b">
        <f t="shared" ca="1" si="4"/>
        <v>0</v>
      </c>
      <c r="AF11" s="7" t="s">
        <v>153</v>
      </c>
      <c r="AG11" s="7" t="b">
        <f>OR($AD$13:$AD$22)</f>
        <v>0</v>
      </c>
      <c r="AI11" s="59"/>
      <c r="AJ11" s="70"/>
      <c r="AK11" s="100"/>
      <c r="AL11" s="87"/>
      <c r="AM11" s="87"/>
      <c r="AN11" s="87"/>
      <c r="AO11" s="87"/>
      <c r="AP11" s="87"/>
    </row>
    <row r="12" spans="1:42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3"/>
        <v>0</v>
      </c>
      <c r="V12" s="19" t="b">
        <f t="shared" ca="1" si="4"/>
        <v>0</v>
      </c>
      <c r="X12" s="69" t="s">
        <v>152</v>
      </c>
      <c r="AD12" s="7" t="s">
        <v>153</v>
      </c>
      <c r="AE12" s="7" t="s">
        <v>194</v>
      </c>
      <c r="AF12" s="7" t="s">
        <v>193</v>
      </c>
      <c r="AG12" s="7" t="b">
        <f ca="1">OR($Y$26:$AC$26,$Y$31:$AC$31,$Y$36:$AC$36,$Y$41:$AC$41,$Y$46:$AC$46)</f>
        <v>0</v>
      </c>
      <c r="AI12" s="59"/>
      <c r="AJ12" s="70"/>
      <c r="AK12" s="100"/>
      <c r="AL12" s="87"/>
      <c r="AM12" s="87"/>
      <c r="AN12" s="87"/>
      <c r="AO12" s="87"/>
      <c r="AP12" s="87"/>
    </row>
    <row r="13" spans="1:42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3"/>
        <v>0</v>
      </c>
      <c r="V13" s="19" t="b">
        <f t="shared" ca="1" si="4"/>
        <v>0</v>
      </c>
      <c r="X13" s="7" t="s">
        <v>155</v>
      </c>
      <c r="Y13" s="19" t="b">
        <f t="shared" ref="Y13:Y22" ca="1" si="5">OR(AND(L13&lt;&gt;"",ISNA(MATCH(L13,FIELDリスト,0))),COUNTIF($L13:$P13,L13)&gt;1)</f>
        <v>0</v>
      </c>
      <c r="Z13" s="19" t="b">
        <f t="shared" ref="Z13:Z22" ca="1" si="6">OR(AND(M13&lt;&gt;"",ISNA(MATCH(M13,FIELDリスト,0))),COUNTIF($L13:$P13,M13)&gt;1)</f>
        <v>0</v>
      </c>
      <c r="AA13" s="19" t="b">
        <f t="shared" ref="AA13:AA22" ca="1" si="7">OR(AND(N13&lt;&gt;"",ISNA(MATCH(N13,FIELDリスト,0))),COUNTIF($L13:$P13,N13)&gt;1)</f>
        <v>0</v>
      </c>
      <c r="AB13" s="19" t="b">
        <f t="shared" ref="AB13:AB22" ca="1" si="8">OR(AND(O13&lt;&gt;"",ISNA(MATCH(O13,FIELDリスト,0))),COUNTIF($L13:$P13,O13)&gt;1)</f>
        <v>0</v>
      </c>
      <c r="AC13" s="19" t="b">
        <f t="shared" ref="AC13:AC22" ca="1" si="9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154</v>
      </c>
      <c r="AG13" s="7" t="b">
        <f ca="1">OR($Y$27:$AC$28,$Y$32:$AC$33,$Y$37:$AC$38,$Y$42:$AC$43,$Y$47:$AC$48)</f>
        <v>0</v>
      </c>
      <c r="AI13" s="59"/>
      <c r="AJ13" s="70"/>
      <c r="AK13" s="100"/>
      <c r="AL13" s="87"/>
      <c r="AM13" s="87"/>
      <c r="AN13" s="87"/>
      <c r="AO13" s="87"/>
      <c r="AP13" s="87"/>
    </row>
    <row r="14" spans="1:42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10">_xlfn.CONCAT(L14:P14)</f>
        <v/>
      </c>
      <c r="T14" s="19" t="b">
        <f t="shared" ca="1" si="0"/>
        <v>0</v>
      </c>
      <c r="U14" s="19" t="b">
        <f t="shared" si="3"/>
        <v>0</v>
      </c>
      <c r="V14" s="19" t="b">
        <f t="shared" ca="1" si="4"/>
        <v>0</v>
      </c>
      <c r="X14" s="7" t="s">
        <v>156</v>
      </c>
      <c r="Y14" s="19" t="b">
        <f t="shared" ca="1" si="5"/>
        <v>0</v>
      </c>
      <c r="Z14" s="19" t="b">
        <f t="shared" ca="1" si="6"/>
        <v>0</v>
      </c>
      <c r="AA14" s="19" t="b">
        <f t="shared" ca="1" si="7"/>
        <v>0</v>
      </c>
      <c r="AB14" s="19" t="b">
        <f t="shared" ca="1" si="8"/>
        <v>0</v>
      </c>
      <c r="AC14" s="19" t="b">
        <f t="shared" ca="1" si="9"/>
        <v>0</v>
      </c>
      <c r="AD14" s="19" t="b">
        <f t="shared" ref="AD14:AD22" si="11">AND(R14&lt;&gt;"",COUNTIF(R$13:R$22,R14)&gt;1)</f>
        <v>0</v>
      </c>
      <c r="AF14" s="7" t="s">
        <v>195</v>
      </c>
      <c r="AG14" s="7" t="b">
        <f>OR($AD$26,$AD$31,$AD$36,$AD$41,$AD$46)</f>
        <v>0</v>
      </c>
      <c r="AI14" s="59"/>
      <c r="AJ14" s="70"/>
      <c r="AK14" s="100"/>
      <c r="AL14" s="87"/>
      <c r="AM14" s="87"/>
      <c r="AN14" s="87"/>
      <c r="AO14" s="87"/>
      <c r="AP14" s="87"/>
    </row>
    <row r="15" spans="1:42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0"/>
        <v/>
      </c>
      <c r="T15" s="19" t="b">
        <f t="shared" ca="1" si="0"/>
        <v>0</v>
      </c>
      <c r="U15" s="19" t="b">
        <f t="shared" si="3"/>
        <v>0</v>
      </c>
      <c r="V15" s="19" t="b">
        <f t="shared" ca="1" si="4"/>
        <v>0</v>
      </c>
      <c r="Y15" s="19" t="b">
        <f t="shared" ca="1" si="5"/>
        <v>0</v>
      </c>
      <c r="Z15" s="19" t="b">
        <f t="shared" ca="1" si="6"/>
        <v>0</v>
      </c>
      <c r="AA15" s="19" t="b">
        <f t="shared" ca="1" si="7"/>
        <v>0</v>
      </c>
      <c r="AB15" s="19" t="b">
        <f t="shared" ca="1" si="8"/>
        <v>0</v>
      </c>
      <c r="AC15" s="19" t="b">
        <f t="shared" ca="1" si="9"/>
        <v>0</v>
      </c>
      <c r="AD15" s="19" t="b">
        <f t="shared" si="11"/>
        <v>0</v>
      </c>
      <c r="AF15" s="7" t="s">
        <v>153</v>
      </c>
      <c r="AG15" s="7" t="b">
        <f>OR($AD$27,$AD$32,$AD$37,$AD$42,$AD$47)</f>
        <v>0</v>
      </c>
      <c r="AI15" s="59"/>
      <c r="AJ15" s="70"/>
      <c r="AK15" s="100"/>
      <c r="AL15" s="87"/>
      <c r="AM15" s="87"/>
      <c r="AN15" s="87"/>
      <c r="AO15" s="87"/>
      <c r="AP15" s="87"/>
    </row>
    <row r="16" spans="1:42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0"/>
        <v/>
      </c>
      <c r="T16" s="19" t="b">
        <f t="shared" ca="1" si="0"/>
        <v>0</v>
      </c>
      <c r="U16" s="19" t="b">
        <f t="shared" si="3"/>
        <v>0</v>
      </c>
      <c r="V16" s="19" t="b">
        <f t="shared" ca="1" si="4"/>
        <v>0</v>
      </c>
      <c r="Y16" s="19" t="b">
        <f t="shared" ca="1" si="5"/>
        <v>0</v>
      </c>
      <c r="Z16" s="19" t="b">
        <f t="shared" ca="1" si="6"/>
        <v>0</v>
      </c>
      <c r="AA16" s="19" t="b">
        <f t="shared" ca="1" si="7"/>
        <v>0</v>
      </c>
      <c r="AB16" s="19" t="b">
        <f t="shared" ca="1" si="8"/>
        <v>0</v>
      </c>
      <c r="AC16" s="19" t="b">
        <f t="shared" ca="1" si="9"/>
        <v>0</v>
      </c>
      <c r="AD16" s="19" t="b">
        <f t="shared" si="11"/>
        <v>0</v>
      </c>
      <c r="AE16" s="7" t="s">
        <v>13</v>
      </c>
      <c r="AF16" s="7" t="s">
        <v>154</v>
      </c>
      <c r="AG16" s="7" t="b">
        <f ca="1">OR($Y$55:$AC$64)</f>
        <v>0</v>
      </c>
      <c r="AI16" s="59"/>
      <c r="AJ16" s="70"/>
      <c r="AK16" s="100"/>
      <c r="AL16" s="87"/>
      <c r="AM16" s="87"/>
      <c r="AN16" s="87"/>
      <c r="AO16" s="87"/>
      <c r="AP16" s="87"/>
    </row>
    <row r="17" spans="1:42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0"/>
        <v/>
      </c>
      <c r="T17" s="19" t="b">
        <f t="shared" ca="1" si="0"/>
        <v>0</v>
      </c>
      <c r="U17" s="19" t="b">
        <f t="shared" si="3"/>
        <v>0</v>
      </c>
      <c r="V17" s="19" t="b">
        <f t="shared" ca="1" si="4"/>
        <v>0</v>
      </c>
      <c r="Y17" s="19" t="b">
        <f t="shared" ca="1" si="5"/>
        <v>0</v>
      </c>
      <c r="Z17" s="19" t="b">
        <f t="shared" ca="1" si="6"/>
        <v>0</v>
      </c>
      <c r="AA17" s="19" t="b">
        <f t="shared" ca="1" si="7"/>
        <v>0</v>
      </c>
      <c r="AB17" s="19" t="b">
        <f t="shared" ca="1" si="8"/>
        <v>0</v>
      </c>
      <c r="AC17" s="19" t="b">
        <f t="shared" ca="1" si="9"/>
        <v>0</v>
      </c>
      <c r="AD17" s="19" t="b">
        <f t="shared" si="11"/>
        <v>0</v>
      </c>
      <c r="AF17" s="7" t="s">
        <v>153</v>
      </c>
      <c r="AG17" s="7" t="b">
        <f>OR($AD$55:$AD$64)</f>
        <v>0</v>
      </c>
      <c r="AI17" s="59"/>
      <c r="AJ17" s="70"/>
      <c r="AK17" s="100"/>
      <c r="AL17" s="87"/>
      <c r="AM17" s="87"/>
      <c r="AN17" s="87"/>
      <c r="AO17" s="87"/>
      <c r="AP17" s="87"/>
    </row>
    <row r="18" spans="1:42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0"/>
        <v/>
      </c>
      <c r="T18" s="19" t="b">
        <f t="shared" ca="1" si="0"/>
        <v>0</v>
      </c>
      <c r="U18" s="19" t="b">
        <f t="shared" si="3"/>
        <v>0</v>
      </c>
      <c r="V18" s="19" t="b">
        <f t="shared" ca="1" si="4"/>
        <v>0</v>
      </c>
      <c r="Y18" s="19" t="b">
        <f t="shared" ca="1" si="5"/>
        <v>0</v>
      </c>
      <c r="Z18" s="19" t="b">
        <f t="shared" ca="1" si="6"/>
        <v>0</v>
      </c>
      <c r="AA18" s="19" t="b">
        <f t="shared" ca="1" si="7"/>
        <v>0</v>
      </c>
      <c r="AB18" s="19" t="b">
        <f t="shared" ca="1" si="8"/>
        <v>0</v>
      </c>
      <c r="AC18" s="19" t="b">
        <f t="shared" ca="1" si="9"/>
        <v>0</v>
      </c>
      <c r="AD18" s="19" t="b">
        <f t="shared" si="11"/>
        <v>0</v>
      </c>
      <c r="AI18" s="59"/>
      <c r="AJ18" s="70"/>
      <c r="AK18" s="100"/>
      <c r="AL18" s="87"/>
      <c r="AM18" s="87"/>
      <c r="AN18" s="87"/>
      <c r="AO18" s="87"/>
      <c r="AP18" s="87"/>
    </row>
    <row r="19" spans="1:42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0"/>
        <v/>
      </c>
      <c r="T19" s="19" t="b">
        <f t="shared" ca="1" si="0"/>
        <v>0</v>
      </c>
      <c r="U19" s="19" t="b">
        <f t="shared" si="3"/>
        <v>0</v>
      </c>
      <c r="V19" s="19" t="b">
        <f t="shared" ca="1" si="4"/>
        <v>0</v>
      </c>
      <c r="Y19" s="19" t="b">
        <f t="shared" ca="1" si="5"/>
        <v>0</v>
      </c>
      <c r="Z19" s="19" t="b">
        <f t="shared" ca="1" si="6"/>
        <v>0</v>
      </c>
      <c r="AA19" s="19" t="b">
        <f t="shared" ca="1" si="7"/>
        <v>0</v>
      </c>
      <c r="AB19" s="19" t="b">
        <f t="shared" ca="1" si="8"/>
        <v>0</v>
      </c>
      <c r="AC19" s="19" t="b">
        <f t="shared" ca="1" si="9"/>
        <v>0</v>
      </c>
      <c r="AD19" s="19" t="b">
        <f t="shared" si="11"/>
        <v>0</v>
      </c>
      <c r="AI19" s="59"/>
      <c r="AJ19" s="70"/>
      <c r="AK19" s="100"/>
      <c r="AL19" s="87"/>
      <c r="AM19" s="87"/>
      <c r="AN19" s="87"/>
      <c r="AO19" s="87"/>
      <c r="AP19" s="87"/>
    </row>
    <row r="20" spans="1:42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0"/>
        <v/>
      </c>
      <c r="T20" s="19" t="b">
        <f t="shared" ca="1" si="0"/>
        <v>0</v>
      </c>
      <c r="U20" s="19" t="b">
        <f t="shared" si="3"/>
        <v>0</v>
      </c>
      <c r="V20" s="19" t="b">
        <f t="shared" ca="1" si="4"/>
        <v>0</v>
      </c>
      <c r="Y20" s="19" t="b">
        <f t="shared" ca="1" si="5"/>
        <v>0</v>
      </c>
      <c r="Z20" s="19" t="b">
        <f t="shared" ca="1" si="6"/>
        <v>0</v>
      </c>
      <c r="AA20" s="19" t="b">
        <f t="shared" ca="1" si="7"/>
        <v>0</v>
      </c>
      <c r="AB20" s="19" t="b">
        <f t="shared" ca="1" si="8"/>
        <v>0</v>
      </c>
      <c r="AC20" s="19" t="b">
        <f t="shared" ca="1" si="9"/>
        <v>0</v>
      </c>
      <c r="AD20" s="19" t="b">
        <f t="shared" si="11"/>
        <v>0</v>
      </c>
      <c r="AI20" s="59"/>
      <c r="AJ20" s="70"/>
      <c r="AK20" s="100"/>
      <c r="AL20" s="87"/>
      <c r="AM20" s="87"/>
      <c r="AN20" s="87"/>
      <c r="AO20" s="87"/>
      <c r="AP20" s="87"/>
    </row>
    <row r="21" spans="1:42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0"/>
        <v/>
      </c>
      <c r="T21" s="19" t="b">
        <f t="shared" ca="1" si="0"/>
        <v>0</v>
      </c>
      <c r="U21" s="19" t="b">
        <f t="shared" si="3"/>
        <v>0</v>
      </c>
      <c r="V21" s="19" t="b">
        <f t="shared" ca="1" si="4"/>
        <v>0</v>
      </c>
      <c r="Y21" s="19" t="b">
        <f t="shared" ca="1" si="5"/>
        <v>0</v>
      </c>
      <c r="Z21" s="19" t="b">
        <f t="shared" ca="1" si="6"/>
        <v>0</v>
      </c>
      <c r="AA21" s="19" t="b">
        <f t="shared" ca="1" si="7"/>
        <v>0</v>
      </c>
      <c r="AB21" s="19" t="b">
        <f t="shared" ca="1" si="8"/>
        <v>0</v>
      </c>
      <c r="AC21" s="19" t="b">
        <f t="shared" ca="1" si="9"/>
        <v>0</v>
      </c>
      <c r="AD21" s="19" t="b">
        <f t="shared" si="11"/>
        <v>0</v>
      </c>
      <c r="AI21" s="59"/>
      <c r="AJ21" s="70"/>
      <c r="AK21" s="100"/>
      <c r="AL21" s="87"/>
      <c r="AM21" s="87"/>
      <c r="AN21" s="87"/>
      <c r="AO21" s="87"/>
      <c r="AP21" s="87"/>
    </row>
    <row r="22" spans="1:42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0"/>
        <v/>
      </c>
      <c r="T22" s="19" t="b">
        <f t="shared" ca="1" si="0"/>
        <v>0</v>
      </c>
      <c r="U22" s="19" t="b">
        <f t="shared" si="3"/>
        <v>0</v>
      </c>
      <c r="V22" s="19" t="b">
        <f t="shared" ca="1" si="4"/>
        <v>0</v>
      </c>
      <c r="Y22" s="19" t="b">
        <f t="shared" ca="1" si="5"/>
        <v>0</v>
      </c>
      <c r="Z22" s="19" t="b">
        <f t="shared" ca="1" si="6"/>
        <v>0</v>
      </c>
      <c r="AA22" s="19" t="b">
        <f t="shared" ca="1" si="7"/>
        <v>0</v>
      </c>
      <c r="AB22" s="19" t="b">
        <f t="shared" ca="1" si="8"/>
        <v>0</v>
      </c>
      <c r="AC22" s="19" t="b">
        <f t="shared" ca="1" si="9"/>
        <v>0</v>
      </c>
      <c r="AD22" s="19" t="b">
        <f t="shared" si="11"/>
        <v>0</v>
      </c>
      <c r="AI22" s="59"/>
      <c r="AJ22" s="70"/>
      <c r="AK22" s="100"/>
      <c r="AL22" s="87"/>
      <c r="AM22" s="87"/>
      <c r="AN22" s="87"/>
      <c r="AO22" s="87"/>
      <c r="AP22" s="87"/>
    </row>
    <row r="23" spans="1:42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3"/>
        <v>0</v>
      </c>
      <c r="V23" s="19" t="b">
        <f t="shared" ca="1" si="4"/>
        <v>0</v>
      </c>
      <c r="AI23" s="59"/>
      <c r="AJ23" s="70"/>
      <c r="AK23" s="100"/>
      <c r="AL23" s="87"/>
      <c r="AM23" s="87"/>
      <c r="AN23" s="87"/>
      <c r="AO23" s="87"/>
      <c r="AP23" s="87"/>
    </row>
    <row r="24" spans="1:42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3"/>
        <v>0</v>
      </c>
      <c r="V24" s="19" t="b">
        <f t="shared" ca="1" si="4"/>
        <v>0</v>
      </c>
      <c r="X24" s="69" t="s">
        <v>192</v>
      </c>
      <c r="AI24" s="59"/>
      <c r="AJ24" s="70"/>
      <c r="AK24" s="100"/>
      <c r="AL24" s="87"/>
      <c r="AM24" s="87"/>
      <c r="AN24" s="87"/>
      <c r="AO24" s="87"/>
      <c r="AP24" s="87"/>
    </row>
    <row r="25" spans="1:42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177</v>
      </c>
      <c r="T25" s="19" t="b">
        <f t="shared" ca="1" si="0"/>
        <v>0</v>
      </c>
      <c r="U25" s="19" t="b">
        <f t="shared" si="3"/>
        <v>0</v>
      </c>
      <c r="V25" s="19" t="b">
        <f t="shared" ca="1" si="4"/>
        <v>0</v>
      </c>
      <c r="X25" s="7" t="s">
        <v>193</v>
      </c>
      <c r="AD25" s="7" t="s">
        <v>195</v>
      </c>
      <c r="AI25" s="59"/>
      <c r="AJ25" s="70"/>
      <c r="AK25" s="100"/>
      <c r="AL25" s="87"/>
      <c r="AM25" s="87"/>
      <c r="AN25" s="87"/>
      <c r="AO25" s="87"/>
      <c r="AP25" s="87"/>
    </row>
    <row r="26" spans="1:42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8" t="s">
        <v>197</v>
      </c>
      <c r="L26" s="105"/>
      <c r="M26" s="109" t="s">
        <v>198</v>
      </c>
      <c r="N26" s="98"/>
      <c r="O26" s="109" t="s">
        <v>199</v>
      </c>
      <c r="P26" s="98"/>
      <c r="T26" s="19" t="b">
        <f t="shared" ca="1" si="0"/>
        <v>0</v>
      </c>
      <c r="U26" s="19" t="b">
        <f t="shared" si="3"/>
        <v>0</v>
      </c>
      <c r="V26" s="19" t="b">
        <f t="shared" ca="1" si="4"/>
        <v>0</v>
      </c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195</v>
      </c>
      <c r="AI26" s="59"/>
      <c r="AJ26" s="70"/>
      <c r="AK26" s="100"/>
      <c r="AL26" s="87"/>
      <c r="AM26" s="87"/>
      <c r="AN26" s="87"/>
      <c r="AO26" s="87"/>
      <c r="AP26" s="87"/>
    </row>
    <row r="27" spans="1:42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104">
        <v>1</v>
      </c>
      <c r="L27" s="103">
        <v>1</v>
      </c>
      <c r="M27" s="57">
        <v>2</v>
      </c>
      <c r="N27" s="57">
        <v>3</v>
      </c>
      <c r="O27" s="57">
        <v>4</v>
      </c>
      <c r="P27" s="58">
        <v>5</v>
      </c>
      <c r="R27" s="87" t="str">
        <f>_xlfn.CONCAT(L28:P28)</f>
        <v/>
      </c>
      <c r="S27" s="70" t="str">
        <f>_xlfn.CONCAT(L26,R27)</f>
        <v/>
      </c>
      <c r="T27" s="19" t="b">
        <f t="shared" ca="1" si="0"/>
        <v>0</v>
      </c>
      <c r="U27" s="19" t="b">
        <f t="shared" si="3"/>
        <v>0</v>
      </c>
      <c r="V27" s="19" t="b">
        <f t="shared" ca="1" si="4"/>
        <v>0</v>
      </c>
      <c r="X27" s="7" t="s">
        <v>155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153</v>
      </c>
      <c r="AI27" s="59"/>
      <c r="AJ27" s="70"/>
      <c r="AK27" s="100"/>
      <c r="AL27" s="87"/>
      <c r="AM27" s="87"/>
      <c r="AN27" s="87"/>
      <c r="AO27" s="87"/>
      <c r="AP27" s="87"/>
    </row>
    <row r="28" spans="1:42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6" t="s">
        <v>200</v>
      </c>
      <c r="L28" s="96"/>
      <c r="M28" s="77"/>
      <c r="N28" s="77"/>
      <c r="O28" s="77"/>
      <c r="P28" s="78"/>
      <c r="T28" s="19" t="b">
        <f t="shared" ca="1" si="0"/>
        <v>0</v>
      </c>
      <c r="U28" s="19" t="b">
        <f t="shared" si="3"/>
        <v>0</v>
      </c>
      <c r="V28" s="19" t="b">
        <f t="shared" ca="1" si="4"/>
        <v>0</v>
      </c>
      <c r="X28" s="7" t="s">
        <v>156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I28" s="59"/>
      <c r="AJ28" s="70"/>
      <c r="AK28" s="100"/>
      <c r="AL28" s="87"/>
      <c r="AM28" s="87"/>
      <c r="AN28" s="87"/>
      <c r="AO28" s="87"/>
      <c r="AP28" s="87"/>
    </row>
    <row r="29" spans="1:42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7" t="s">
        <v>201</v>
      </c>
      <c r="L29" s="97"/>
      <c r="M29" s="85"/>
      <c r="N29" s="85"/>
      <c r="O29" s="85"/>
      <c r="P29" s="86"/>
      <c r="T29" s="19" t="b">
        <f t="shared" ca="1" si="0"/>
        <v>0</v>
      </c>
      <c r="U29" s="19" t="b">
        <f t="shared" si="3"/>
        <v>0</v>
      </c>
      <c r="V29" s="19" t="b">
        <f t="shared" ca="1" si="4"/>
        <v>0</v>
      </c>
      <c r="Y29" s="87" t="str">
        <f ca="1">IFERROR(VLOOKUP(L28,項目!DATA_AREA,8,FALSE),"N/A")</f>
        <v>N/A</v>
      </c>
      <c r="Z29" s="87" t="str">
        <f ca="1">IFERROR(VLOOKUP(M28,項目!DATA_AREA,8,FALSE),"N/A")</f>
        <v>N/A</v>
      </c>
      <c r="AA29" s="87" t="str">
        <f ca="1">IFERROR(VLOOKUP(N28,項目!DATA_AREA,8,FALSE),"N/A")</f>
        <v>N/A</v>
      </c>
      <c r="AB29" s="87" t="str">
        <f ca="1">IFERROR(VLOOKUP(O28,項目!DATA_AREA,8,FALSE),"N/A")</f>
        <v>N/A</v>
      </c>
      <c r="AC29" s="87" t="str">
        <f ca="1">IFERROR(VLOOKUP(P28,項目!DATA_AREA,8,FALSE),"N/A")</f>
        <v>N/A</v>
      </c>
      <c r="AI29" s="59"/>
      <c r="AJ29" s="70"/>
      <c r="AK29" s="100"/>
      <c r="AL29" s="87"/>
      <c r="AM29" s="87"/>
      <c r="AN29" s="87"/>
      <c r="AO29" s="87"/>
      <c r="AP29" s="87"/>
    </row>
    <row r="30" spans="1:42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3"/>
        <v>0</v>
      </c>
      <c r="V30" s="19" t="b">
        <f t="shared" ca="1" si="4"/>
        <v>0</v>
      </c>
      <c r="Y30" s="87" t="str">
        <f ca="1">IFERROR(VLOOKUP(L29,項目!DATA_AREA,8,FALSE),"N/A")</f>
        <v>N/A</v>
      </c>
      <c r="Z30" s="87" t="str">
        <f ca="1">IFERROR(VLOOKUP(M29,項目!DATA_AREA,8,FALSE),"N/A")</f>
        <v>N/A</v>
      </c>
      <c r="AA30" s="87" t="str">
        <f ca="1">IFERROR(VLOOKUP(N29,項目!DATA_AREA,8,FALSE),"N/A")</f>
        <v>N/A</v>
      </c>
      <c r="AB30" s="87" t="str">
        <f ca="1">IFERROR(VLOOKUP(O29,項目!DATA_AREA,8,FALSE),"N/A")</f>
        <v>N/A</v>
      </c>
      <c r="AC30" s="87" t="str">
        <f ca="1">IFERROR(VLOOKUP(P29,項目!DATA_AREA,8,FALSE),"N/A")</f>
        <v>N/A</v>
      </c>
      <c r="AI30" s="59"/>
      <c r="AJ30" s="70"/>
      <c r="AK30" s="100"/>
      <c r="AL30" s="87"/>
      <c r="AM30" s="87"/>
      <c r="AN30" s="87"/>
      <c r="AO30" s="87"/>
      <c r="AP30" s="87"/>
    </row>
    <row r="31" spans="1:42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8" t="s">
        <v>197</v>
      </c>
      <c r="L31" s="105" t="s">
        <v>166</v>
      </c>
      <c r="M31" s="109" t="s">
        <v>198</v>
      </c>
      <c r="N31" s="98"/>
      <c r="O31" s="109" t="s">
        <v>199</v>
      </c>
      <c r="P31" s="98"/>
      <c r="T31" s="19" t="b">
        <f t="shared" ca="1" si="0"/>
        <v>0</v>
      </c>
      <c r="U31" s="19" t="b">
        <f t="shared" si="3"/>
        <v>0</v>
      </c>
      <c r="V31" s="19" t="b">
        <f t="shared" ca="1" si="4"/>
        <v>0</v>
      </c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9"/>
      <c r="AJ31" s="70"/>
      <c r="AK31" s="100"/>
      <c r="AL31" s="87"/>
      <c r="AM31" s="87"/>
      <c r="AN31" s="87"/>
      <c r="AO31" s="87"/>
      <c r="AP31" s="87"/>
    </row>
    <row r="32" spans="1:42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104">
        <v>2</v>
      </c>
      <c r="L32" s="103">
        <v>1</v>
      </c>
      <c r="M32" s="57">
        <v>2</v>
      </c>
      <c r="N32" s="57">
        <v>3</v>
      </c>
      <c r="O32" s="57">
        <v>4</v>
      </c>
      <c r="P32" s="58">
        <v>5</v>
      </c>
      <c r="R32" s="87" t="str">
        <f>_xlfn.CONCAT(L33:P33)</f>
        <v>受注No</v>
      </c>
      <c r="S32" s="70" t="str">
        <f>_xlfn.CONCAT(L31,R32)</f>
        <v>受注受注No</v>
      </c>
      <c r="T32" s="19" t="b">
        <f t="shared" ca="1" si="0"/>
        <v>0</v>
      </c>
      <c r="U32" s="19" t="b">
        <f t="shared" si="3"/>
        <v>0</v>
      </c>
      <c r="V32" s="19" t="b">
        <f t="shared" ca="1" si="4"/>
        <v>0</v>
      </c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9"/>
      <c r="AJ32" s="70"/>
      <c r="AK32" s="100"/>
      <c r="AL32" s="87"/>
      <c r="AM32" s="87"/>
      <c r="AN32" s="87"/>
      <c r="AO32" s="87"/>
      <c r="AP32" s="87"/>
    </row>
    <row r="33" spans="1:42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6" t="s">
        <v>200</v>
      </c>
      <c r="L33" s="96" t="s">
        <v>30</v>
      </c>
      <c r="M33" s="77"/>
      <c r="N33" s="77"/>
      <c r="O33" s="77"/>
      <c r="P33" s="78"/>
      <c r="T33" s="19" t="b">
        <f t="shared" ca="1" si="0"/>
        <v>0</v>
      </c>
      <c r="U33" s="19" t="b">
        <f t="shared" si="3"/>
        <v>0</v>
      </c>
      <c r="V33" s="19" t="b">
        <f t="shared" ca="1" si="4"/>
        <v>0</v>
      </c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I33" s="59"/>
      <c r="AJ33" s="70"/>
      <c r="AK33" s="100"/>
      <c r="AL33" s="87"/>
      <c r="AM33" s="87"/>
      <c r="AN33" s="87"/>
      <c r="AO33" s="87"/>
      <c r="AP33" s="87"/>
    </row>
    <row r="34" spans="1:42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7" t="s">
        <v>201</v>
      </c>
      <c r="L34" s="97" t="s">
        <v>30</v>
      </c>
      <c r="M34" s="85"/>
      <c r="N34" s="85"/>
      <c r="O34" s="85"/>
      <c r="P34" s="86"/>
      <c r="T34" s="19" t="b">
        <f t="shared" ca="1" si="0"/>
        <v>0</v>
      </c>
      <c r="U34" s="19" t="b">
        <f t="shared" si="3"/>
        <v>0</v>
      </c>
      <c r="V34" s="19" t="b">
        <f t="shared" ca="1" si="4"/>
        <v>0</v>
      </c>
      <c r="Y34" s="87" t="str">
        <f ca="1">IFERROR(VLOOKUP(L33,項目!DATA_AREA,8,FALSE),"N/A")</f>
        <v>受注No</v>
      </c>
      <c r="Z34" s="87" t="str">
        <f ca="1">IFERROR(VLOOKUP(M33,項目!DATA_AREA,8,FALSE),"N/A")</f>
        <v>N/A</v>
      </c>
      <c r="AA34" s="87" t="str">
        <f ca="1">IFERROR(VLOOKUP(N33,項目!DATA_AREA,8,FALSE),"N/A")</f>
        <v>N/A</v>
      </c>
      <c r="AB34" s="87" t="str">
        <f ca="1">IFERROR(VLOOKUP(O33,項目!DATA_AREA,8,FALSE),"N/A")</f>
        <v>N/A</v>
      </c>
      <c r="AC34" s="87" t="str">
        <f ca="1">IFERROR(VLOOKUP(P33,項目!DATA_AREA,8,FALSE),"N/A")</f>
        <v>N/A</v>
      </c>
      <c r="AI34" s="59"/>
      <c r="AJ34" s="70"/>
      <c r="AK34" s="100"/>
      <c r="AL34" s="87"/>
      <c r="AM34" s="87"/>
      <c r="AN34" s="87"/>
      <c r="AO34" s="87"/>
      <c r="AP34" s="87"/>
    </row>
    <row r="35" spans="1:42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3"/>
        <v>0</v>
      </c>
      <c r="V35" s="19" t="b">
        <f t="shared" ca="1" si="4"/>
        <v>0</v>
      </c>
      <c r="Y35" s="87" t="str">
        <f ca="1">IFERROR(VLOOKUP(L34,項目!DATA_AREA,8,FALSE),"N/A")</f>
        <v>受注No</v>
      </c>
      <c r="Z35" s="87" t="str">
        <f ca="1">IFERROR(VLOOKUP(M34,項目!DATA_AREA,8,FALSE),"N/A")</f>
        <v>N/A</v>
      </c>
      <c r="AA35" s="87" t="str">
        <f ca="1">IFERROR(VLOOKUP(N34,項目!DATA_AREA,8,FALSE),"N/A")</f>
        <v>N/A</v>
      </c>
      <c r="AB35" s="87" t="str">
        <f ca="1">IFERROR(VLOOKUP(O34,項目!DATA_AREA,8,FALSE),"N/A")</f>
        <v>N/A</v>
      </c>
      <c r="AC35" s="87" t="str">
        <f ca="1">IFERROR(VLOOKUP(P34,項目!DATA_AREA,8,FALSE),"N/A")</f>
        <v>N/A</v>
      </c>
      <c r="AI35" s="59"/>
      <c r="AJ35" s="70"/>
      <c r="AK35" s="100"/>
      <c r="AL35" s="87"/>
      <c r="AM35" s="87"/>
      <c r="AN35" s="87"/>
      <c r="AO35" s="87"/>
      <c r="AP35" s="87"/>
    </row>
    <row r="36" spans="1:42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8" t="s">
        <v>197</v>
      </c>
      <c r="L36" s="105"/>
      <c r="M36" s="109" t="s">
        <v>198</v>
      </c>
      <c r="N36" s="98"/>
      <c r="O36" s="109" t="s">
        <v>199</v>
      </c>
      <c r="P36" s="98"/>
      <c r="T36" s="19" t="b">
        <f t="shared" ca="1" si="0"/>
        <v>0</v>
      </c>
      <c r="U36" s="19" t="b">
        <f t="shared" si="3"/>
        <v>0</v>
      </c>
      <c r="V36" s="19" t="b">
        <f t="shared" ca="1" si="4"/>
        <v>0</v>
      </c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9"/>
      <c r="AJ36" s="70"/>
      <c r="AK36" s="100"/>
      <c r="AL36" s="87"/>
      <c r="AM36" s="87"/>
      <c r="AN36" s="87"/>
      <c r="AO36" s="87"/>
      <c r="AP36" s="87"/>
    </row>
    <row r="37" spans="1:42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104">
        <v>3</v>
      </c>
      <c r="L37" s="103">
        <v>1</v>
      </c>
      <c r="M37" s="57">
        <v>2</v>
      </c>
      <c r="N37" s="57">
        <v>3</v>
      </c>
      <c r="O37" s="57">
        <v>4</v>
      </c>
      <c r="P37" s="58">
        <v>5</v>
      </c>
      <c r="R37" s="87" t="str">
        <f>_xlfn.CONCAT(L38:P38)</f>
        <v/>
      </c>
      <c r="S37" s="70" t="str">
        <f>_xlfn.CONCAT(L36,R37)</f>
        <v/>
      </c>
      <c r="T37" s="19" t="b">
        <f t="shared" ca="1" si="0"/>
        <v>0</v>
      </c>
      <c r="U37" s="19" t="b">
        <f t="shared" si="3"/>
        <v>0</v>
      </c>
      <c r="V37" s="19" t="b">
        <f t="shared" ca="1" si="4"/>
        <v>0</v>
      </c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9"/>
      <c r="AJ37" s="70"/>
      <c r="AK37" s="100"/>
      <c r="AL37" s="87"/>
      <c r="AM37" s="87"/>
      <c r="AN37" s="87"/>
      <c r="AO37" s="87"/>
      <c r="AP37" s="87"/>
    </row>
    <row r="38" spans="1:42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6" t="s">
        <v>200</v>
      </c>
      <c r="L38" s="96"/>
      <c r="M38" s="77"/>
      <c r="N38" s="77"/>
      <c r="O38" s="77"/>
      <c r="P38" s="78"/>
      <c r="T38" s="19" t="b">
        <f t="shared" ca="1" si="0"/>
        <v>0</v>
      </c>
      <c r="U38" s="19" t="b">
        <f t="shared" ref="U38:U69" si="12">COUNTIF(FIELD_NAME,B38)&gt;1</f>
        <v>0</v>
      </c>
      <c r="V38" s="19" t="b">
        <f t="shared" ca="1" si="4"/>
        <v>0</v>
      </c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I38" s="59"/>
      <c r="AJ38" s="70"/>
      <c r="AK38" s="100"/>
      <c r="AL38" s="87"/>
      <c r="AM38" s="87"/>
      <c r="AN38" s="87"/>
      <c r="AO38" s="87"/>
      <c r="AP38" s="87"/>
    </row>
    <row r="39" spans="1:42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7" t="s">
        <v>201</v>
      </c>
      <c r="L39" s="97"/>
      <c r="M39" s="85"/>
      <c r="N39" s="85"/>
      <c r="O39" s="85"/>
      <c r="P39" s="86"/>
      <c r="T39" s="19" t="b">
        <f t="shared" ca="1" si="0"/>
        <v>0</v>
      </c>
      <c r="U39" s="19" t="b">
        <f t="shared" si="12"/>
        <v>0</v>
      </c>
      <c r="V39" s="19" t="b">
        <f t="shared" ca="1" si="4"/>
        <v>0</v>
      </c>
      <c r="Y39" s="87" t="str">
        <f ca="1">IFERROR(VLOOKUP(L38,項目!DATA_AREA,8,FALSE),"N/A")</f>
        <v>N/A</v>
      </c>
      <c r="Z39" s="87" t="str">
        <f ca="1">IFERROR(VLOOKUP(M38,項目!DATA_AREA,8,FALSE),"N/A")</f>
        <v>N/A</v>
      </c>
      <c r="AA39" s="87" t="str">
        <f ca="1">IFERROR(VLOOKUP(N38,項目!DATA_AREA,8,FALSE),"N/A")</f>
        <v>N/A</v>
      </c>
      <c r="AB39" s="87" t="str">
        <f ca="1">IFERROR(VLOOKUP(O38,項目!DATA_AREA,8,FALSE),"N/A")</f>
        <v>N/A</v>
      </c>
      <c r="AC39" s="87" t="str">
        <f ca="1">IFERROR(VLOOKUP(P38,項目!DATA_AREA,8,FALSE),"N/A")</f>
        <v>N/A</v>
      </c>
      <c r="AI39" s="59"/>
      <c r="AJ39" s="70"/>
      <c r="AK39" s="100"/>
      <c r="AL39" s="87"/>
      <c r="AM39" s="87"/>
      <c r="AN39" s="87"/>
      <c r="AO39" s="87"/>
      <c r="AP39" s="87"/>
    </row>
    <row r="40" spans="1:42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 t="b">
        <f t="shared" ca="1" si="4"/>
        <v>0</v>
      </c>
      <c r="Y40" s="87" t="str">
        <f ca="1">IFERROR(VLOOKUP(L39,項目!DATA_AREA,8,FALSE),"N/A")</f>
        <v>N/A</v>
      </c>
      <c r="Z40" s="87" t="str">
        <f ca="1">IFERROR(VLOOKUP(M39,項目!DATA_AREA,8,FALSE),"N/A")</f>
        <v>N/A</v>
      </c>
      <c r="AA40" s="87" t="str">
        <f ca="1">IFERROR(VLOOKUP(N39,項目!DATA_AREA,8,FALSE),"N/A")</f>
        <v>N/A</v>
      </c>
      <c r="AB40" s="87" t="str">
        <f ca="1">IFERROR(VLOOKUP(O39,項目!DATA_AREA,8,FALSE),"N/A")</f>
        <v>N/A</v>
      </c>
      <c r="AC40" s="87" t="str">
        <f ca="1">IFERROR(VLOOKUP(P39,項目!DATA_AREA,8,FALSE),"N/A")</f>
        <v>N/A</v>
      </c>
      <c r="AI40" s="59"/>
      <c r="AJ40" s="70"/>
      <c r="AK40" s="100"/>
      <c r="AL40" s="87"/>
      <c r="AM40" s="87"/>
      <c r="AN40" s="87"/>
      <c r="AO40" s="87"/>
      <c r="AP40" s="87"/>
    </row>
    <row r="41" spans="1:42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8" t="s">
        <v>197</v>
      </c>
      <c r="L41" s="105"/>
      <c r="M41" s="109" t="s">
        <v>198</v>
      </c>
      <c r="N41" s="98"/>
      <c r="O41" s="109" t="s">
        <v>199</v>
      </c>
      <c r="P41" s="98"/>
      <c r="T41" s="19" t="b">
        <f t="shared" ca="1" si="0"/>
        <v>0</v>
      </c>
      <c r="U41" s="19" t="b">
        <f t="shared" si="12"/>
        <v>0</v>
      </c>
      <c r="V41" s="19" t="b">
        <f t="shared" ca="1" si="4"/>
        <v>0</v>
      </c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9"/>
      <c r="AJ41" s="70"/>
      <c r="AK41" s="100"/>
      <c r="AL41" s="87"/>
      <c r="AM41" s="87"/>
      <c r="AN41" s="87"/>
      <c r="AO41" s="87"/>
      <c r="AP41" s="87"/>
    </row>
    <row r="42" spans="1:42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104">
        <v>4</v>
      </c>
      <c r="L42" s="103">
        <v>1</v>
      </c>
      <c r="M42" s="57">
        <v>2</v>
      </c>
      <c r="N42" s="57">
        <v>3</v>
      </c>
      <c r="O42" s="57">
        <v>4</v>
      </c>
      <c r="P42" s="58">
        <v>5</v>
      </c>
      <c r="R42" s="87" t="str">
        <f>_xlfn.CONCAT(L43:P43)</f>
        <v/>
      </c>
      <c r="S42" s="70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 t="b">
        <f t="shared" ca="1" si="4"/>
        <v>0</v>
      </c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9"/>
      <c r="AJ42" s="70"/>
      <c r="AK42" s="100"/>
      <c r="AL42" s="87"/>
      <c r="AM42" s="87"/>
      <c r="AN42" s="87"/>
      <c r="AO42" s="87"/>
      <c r="AP42" s="87"/>
    </row>
    <row r="43" spans="1:42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6" t="s">
        <v>200</v>
      </c>
      <c r="L43" s="96"/>
      <c r="M43" s="77"/>
      <c r="N43" s="77"/>
      <c r="O43" s="77"/>
      <c r="P43" s="78"/>
      <c r="T43" s="19" t="b">
        <f t="shared" ca="1" si="0"/>
        <v>0</v>
      </c>
      <c r="U43" s="19" t="b">
        <f t="shared" si="12"/>
        <v>0</v>
      </c>
      <c r="V43" s="19" t="b">
        <f t="shared" ca="1" si="4"/>
        <v>0</v>
      </c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I43" s="59"/>
      <c r="AJ43" s="70"/>
      <c r="AK43" s="100"/>
      <c r="AL43" s="87"/>
      <c r="AM43" s="87"/>
      <c r="AN43" s="87"/>
      <c r="AO43" s="87"/>
      <c r="AP43" s="87"/>
    </row>
    <row r="44" spans="1:42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7" t="s">
        <v>201</v>
      </c>
      <c r="L44" s="97"/>
      <c r="M44" s="85"/>
      <c r="N44" s="85"/>
      <c r="O44" s="85"/>
      <c r="P44" s="86"/>
      <c r="T44" s="19" t="b">
        <f t="shared" ca="1" si="0"/>
        <v>0</v>
      </c>
      <c r="U44" s="19" t="b">
        <f t="shared" si="12"/>
        <v>0</v>
      </c>
      <c r="V44" s="19" t="b">
        <f t="shared" ca="1" si="4"/>
        <v>0</v>
      </c>
      <c r="Y44" s="87" t="str">
        <f ca="1">IFERROR(VLOOKUP(L43,項目!DATA_AREA,8,FALSE),"N/A")</f>
        <v>N/A</v>
      </c>
      <c r="Z44" s="87" t="str">
        <f ca="1">IFERROR(VLOOKUP(M43,項目!DATA_AREA,8,FALSE),"N/A")</f>
        <v>N/A</v>
      </c>
      <c r="AA44" s="87" t="str">
        <f ca="1">IFERROR(VLOOKUP(N43,項目!DATA_AREA,8,FALSE),"N/A")</f>
        <v>N/A</v>
      </c>
      <c r="AB44" s="87" t="str">
        <f ca="1">IFERROR(VLOOKUP(O43,項目!DATA_AREA,8,FALSE),"N/A")</f>
        <v>N/A</v>
      </c>
      <c r="AC44" s="87" t="str">
        <f ca="1">IFERROR(VLOOKUP(P43,項目!DATA_AREA,8,FALSE),"N/A")</f>
        <v>N/A</v>
      </c>
      <c r="AI44" s="59"/>
      <c r="AJ44" s="70"/>
      <c r="AK44" s="100"/>
      <c r="AL44" s="87"/>
      <c r="AM44" s="87"/>
      <c r="AN44" s="87"/>
      <c r="AO44" s="87"/>
      <c r="AP44" s="87"/>
    </row>
    <row r="45" spans="1:42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 t="b">
        <f t="shared" ca="1" si="4"/>
        <v>0</v>
      </c>
      <c r="Y45" s="87" t="str">
        <f ca="1">IFERROR(VLOOKUP(L44,項目!DATA_AREA,8,FALSE),"N/A")</f>
        <v>N/A</v>
      </c>
      <c r="Z45" s="87" t="str">
        <f ca="1">IFERROR(VLOOKUP(M44,項目!DATA_AREA,8,FALSE),"N/A")</f>
        <v>N/A</v>
      </c>
      <c r="AA45" s="87" t="str">
        <f ca="1">IFERROR(VLOOKUP(N44,項目!DATA_AREA,8,FALSE),"N/A")</f>
        <v>N/A</v>
      </c>
      <c r="AB45" s="87" t="str">
        <f ca="1">IFERROR(VLOOKUP(O44,項目!DATA_AREA,8,FALSE),"N/A")</f>
        <v>N/A</v>
      </c>
      <c r="AC45" s="87" t="str">
        <f ca="1">IFERROR(VLOOKUP(P44,項目!DATA_AREA,8,FALSE),"N/A")</f>
        <v>N/A</v>
      </c>
      <c r="AI45" s="59"/>
      <c r="AJ45" s="70"/>
      <c r="AK45" s="100"/>
      <c r="AL45" s="87"/>
      <c r="AM45" s="87"/>
      <c r="AN45" s="87"/>
      <c r="AO45" s="87"/>
      <c r="AP45" s="87"/>
    </row>
    <row r="46" spans="1:42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8" t="s">
        <v>197</v>
      </c>
      <c r="L46" s="105"/>
      <c r="M46" s="109" t="s">
        <v>198</v>
      </c>
      <c r="N46" s="98"/>
      <c r="O46" s="109" t="s">
        <v>199</v>
      </c>
      <c r="P46" s="98"/>
      <c r="T46" s="19" t="b">
        <f t="shared" ca="1" si="0"/>
        <v>0</v>
      </c>
      <c r="U46" s="19" t="b">
        <f t="shared" si="12"/>
        <v>0</v>
      </c>
      <c r="V46" s="19" t="b">
        <f t="shared" ca="1" si="4"/>
        <v>0</v>
      </c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9"/>
      <c r="AJ46" s="70"/>
      <c r="AK46" s="100"/>
      <c r="AL46" s="87"/>
      <c r="AM46" s="87"/>
      <c r="AN46" s="87"/>
      <c r="AO46" s="87"/>
      <c r="AP46" s="87"/>
    </row>
    <row r="47" spans="1:42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104">
        <v>5</v>
      </c>
      <c r="L47" s="103">
        <v>1</v>
      </c>
      <c r="M47" s="57">
        <v>2</v>
      </c>
      <c r="N47" s="57">
        <v>3</v>
      </c>
      <c r="O47" s="57">
        <v>4</v>
      </c>
      <c r="P47" s="58">
        <v>5</v>
      </c>
      <c r="R47" s="87" t="str">
        <f>_xlfn.CONCAT(L48:P48)</f>
        <v/>
      </c>
      <c r="S47" s="70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 t="b">
        <f t="shared" ca="1" si="4"/>
        <v>0</v>
      </c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9"/>
      <c r="AJ47" s="70"/>
      <c r="AK47" s="100"/>
      <c r="AL47" s="87"/>
      <c r="AM47" s="87"/>
      <c r="AN47" s="87"/>
      <c r="AO47" s="87"/>
      <c r="AP47" s="87"/>
    </row>
    <row r="48" spans="1:42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6" t="s">
        <v>200</v>
      </c>
      <c r="L48" s="96"/>
      <c r="M48" s="77"/>
      <c r="N48" s="77"/>
      <c r="O48" s="77"/>
      <c r="P48" s="78"/>
      <c r="T48" s="19" t="b">
        <f t="shared" ca="1" si="0"/>
        <v>0</v>
      </c>
      <c r="U48" s="19" t="b">
        <f t="shared" si="12"/>
        <v>0</v>
      </c>
      <c r="V48" s="19" t="b">
        <f t="shared" ca="1" si="4"/>
        <v>0</v>
      </c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I48" s="59"/>
      <c r="AJ48" s="70"/>
      <c r="AK48" s="100"/>
      <c r="AL48" s="87"/>
      <c r="AM48" s="87"/>
      <c r="AN48" s="87"/>
      <c r="AO48" s="87"/>
      <c r="AP48" s="87"/>
    </row>
    <row r="49" spans="1:42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7" t="s">
        <v>201</v>
      </c>
      <c r="L49" s="97"/>
      <c r="M49" s="85"/>
      <c r="N49" s="85"/>
      <c r="O49" s="85"/>
      <c r="P49" s="86"/>
      <c r="T49" s="19" t="b">
        <f t="shared" ca="1" si="0"/>
        <v>0</v>
      </c>
      <c r="U49" s="19" t="b">
        <f t="shared" si="12"/>
        <v>0</v>
      </c>
      <c r="V49" s="19" t="b">
        <f t="shared" ca="1" si="4"/>
        <v>0</v>
      </c>
      <c r="Y49" s="87" t="str">
        <f ca="1">IFERROR(VLOOKUP(L48,項目!DATA_AREA,8,FALSE),"N/A")</f>
        <v>N/A</v>
      </c>
      <c r="Z49" s="87" t="str">
        <f ca="1">IFERROR(VLOOKUP(M48,項目!DATA_AREA,8,FALSE),"N/A")</f>
        <v>N/A</v>
      </c>
      <c r="AA49" s="87" t="str">
        <f ca="1">IFERROR(VLOOKUP(N48,項目!DATA_AREA,8,FALSE),"N/A")</f>
        <v>N/A</v>
      </c>
      <c r="AB49" s="87" t="str">
        <f ca="1">IFERROR(VLOOKUP(O48,項目!DATA_AREA,8,FALSE),"N/A")</f>
        <v>N/A</v>
      </c>
      <c r="AC49" s="87" t="str">
        <f ca="1">IFERROR(VLOOKUP(P48,項目!DATA_AREA,8,FALSE),"N/A")</f>
        <v>N/A</v>
      </c>
      <c r="AI49" s="59"/>
      <c r="AJ49" s="70"/>
      <c r="AK49" s="100"/>
      <c r="AL49" s="87"/>
      <c r="AM49" s="87"/>
      <c r="AN49" s="87"/>
      <c r="AO49" s="87"/>
      <c r="AP49" s="87"/>
    </row>
    <row r="50" spans="1:42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 t="b">
        <f t="shared" ca="1" si="4"/>
        <v>0</v>
      </c>
      <c r="Y50" s="87" t="str">
        <f ca="1">IFERROR(VLOOKUP(L49,項目!DATA_AREA,8,FALSE),"N/A")</f>
        <v>N/A</v>
      </c>
      <c r="Z50" s="87" t="str">
        <f ca="1">IFERROR(VLOOKUP(M49,項目!DATA_AREA,8,FALSE),"N/A")</f>
        <v>N/A</v>
      </c>
      <c r="AA50" s="87" t="str">
        <f ca="1">IFERROR(VLOOKUP(N49,項目!DATA_AREA,8,FALSE),"N/A")</f>
        <v>N/A</v>
      </c>
      <c r="AB50" s="87" t="str">
        <f ca="1">IFERROR(VLOOKUP(O49,項目!DATA_AREA,8,FALSE),"N/A")</f>
        <v>N/A</v>
      </c>
      <c r="AC50" s="87" t="str">
        <f ca="1">IFERROR(VLOOKUP(P49,項目!DATA_AREA,8,FALSE),"N/A")</f>
        <v>N/A</v>
      </c>
      <c r="AI50" s="59"/>
      <c r="AJ50" s="70"/>
      <c r="AK50" s="100"/>
      <c r="AL50" s="87"/>
      <c r="AM50" s="87"/>
      <c r="AN50" s="87"/>
      <c r="AO50" s="87"/>
      <c r="AP50" s="87"/>
    </row>
    <row r="51" spans="1:42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9"/>
      <c r="L51" s="99"/>
      <c r="M51" s="99"/>
      <c r="N51" s="99"/>
      <c r="O51" s="99"/>
      <c r="P51" s="99"/>
      <c r="T51" s="19" t="b">
        <f t="shared" ca="1" si="0"/>
        <v>0</v>
      </c>
      <c r="U51" s="19" t="b">
        <f t="shared" si="12"/>
        <v>0</v>
      </c>
      <c r="V51" s="19" t="b">
        <f t="shared" ca="1" si="4"/>
        <v>0</v>
      </c>
      <c r="AI51" s="59"/>
      <c r="AJ51" s="70"/>
      <c r="AK51" s="100"/>
      <c r="AL51" s="87"/>
      <c r="AM51" s="87"/>
      <c r="AN51" s="87"/>
      <c r="AO51" s="87"/>
      <c r="AP51" s="87"/>
    </row>
    <row r="52" spans="1:42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2"/>
        <v>0</v>
      </c>
      <c r="V52" s="19" t="b">
        <f t="shared" ca="1" si="4"/>
        <v>0</v>
      </c>
      <c r="AI52" s="59"/>
      <c r="AJ52" s="70"/>
      <c r="AK52" s="100"/>
      <c r="AL52" s="87"/>
      <c r="AM52" s="87"/>
      <c r="AN52" s="87"/>
      <c r="AO52" s="87"/>
      <c r="AP52" s="87"/>
    </row>
    <row r="53" spans="1:42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202</v>
      </c>
      <c r="T53" s="19" t="b">
        <f t="shared" ca="1" si="0"/>
        <v>0</v>
      </c>
      <c r="U53" s="19" t="b">
        <f t="shared" si="12"/>
        <v>0</v>
      </c>
      <c r="V53" s="19" t="b">
        <f t="shared" ca="1" si="4"/>
        <v>0</v>
      </c>
      <c r="AI53" s="59"/>
      <c r="AJ53" s="70"/>
      <c r="AK53" s="100"/>
      <c r="AL53" s="87"/>
      <c r="AM53" s="87"/>
      <c r="AN53" s="87"/>
      <c r="AO53" s="87"/>
      <c r="AP53" s="87"/>
    </row>
    <row r="54" spans="1:42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2"/>
        <v>0</v>
      </c>
      <c r="V54" s="19" t="b">
        <f t="shared" ca="1" si="4"/>
        <v>0</v>
      </c>
      <c r="X54" s="69" t="s">
        <v>196</v>
      </c>
      <c r="AD54" s="7" t="s">
        <v>153</v>
      </c>
      <c r="AI54" s="59"/>
      <c r="AJ54" s="70"/>
      <c r="AK54" s="100"/>
      <c r="AL54" s="87"/>
      <c r="AM54" s="87"/>
      <c r="AN54" s="87"/>
      <c r="AO54" s="87"/>
      <c r="AP54" s="87"/>
    </row>
    <row r="55" spans="1:42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111" t="s">
        <v>27</v>
      </c>
      <c r="M55" s="112" t="s">
        <v>29</v>
      </c>
      <c r="N55" s="112"/>
      <c r="O55" s="112"/>
      <c r="P55" s="113"/>
      <c r="R55" s="87" t="str">
        <f t="shared" ref="R55:R64" si="13">_xlfn.CONCAT(L55:P55)</f>
        <v>商品No数量</v>
      </c>
      <c r="T55" s="19" t="b">
        <f t="shared" ca="1" si="0"/>
        <v>0</v>
      </c>
      <c r="U55" s="19" t="b">
        <f t="shared" si="12"/>
        <v>0</v>
      </c>
      <c r="V55" s="19" t="b">
        <f t="shared" ca="1" si="4"/>
        <v>0</v>
      </c>
      <c r="X55" s="7" t="s">
        <v>155</v>
      </c>
      <c r="Y55" s="19" t="b">
        <f ca="1">OR(AND(L55&lt;&gt;"",ISNA(MATCH(L55,FIELDリスト,0))),COUNTIF($L55:$P55,L55)&gt;1)</f>
        <v>0</v>
      </c>
      <c r="Z55" s="19" t="b">
        <f t="shared" ref="Z55:Z64" ca="1" si="14">OR(AND(M55&lt;&gt;"",ISNA(MATCH(M55,FIELDリスト,0))),COUNTIF($L55:$P55,M55)&gt;1)</f>
        <v>0</v>
      </c>
      <c r="AA55" s="19" t="b">
        <f t="shared" ref="AA55:AA64" ca="1" si="15">OR(AND(N55&lt;&gt;"",ISNA(MATCH(N55,FIELDリスト,0))),COUNTIF($L55:$P55,N55)&gt;1)</f>
        <v>0</v>
      </c>
      <c r="AB55" s="19" t="b">
        <f t="shared" ref="AB55:AB64" ca="1" si="16">OR(AND(O55&lt;&gt;"",ISNA(MATCH(O55,FIELDリスト,0))),COUNTIF($L55:$P55,O55)&gt;1)</f>
        <v>0</v>
      </c>
      <c r="AC55" s="19" t="b">
        <f t="shared" ref="AC55:AC64" ca="1" si="17">OR(AND(P55&lt;&gt;"",ISNA(MATCH(P55,FIELDリスト,0))),COUNTIF($L55:$P55,P55)&gt;1)</f>
        <v>0</v>
      </c>
      <c r="AD55" s="19" t="b">
        <f>AND(R55&lt;&gt;"",COUNTIF(R$13:R$22,R55)&gt;1)</f>
        <v>0</v>
      </c>
      <c r="AI55" s="59"/>
      <c r="AJ55" s="70"/>
      <c r="AK55" s="100"/>
      <c r="AL55" s="87"/>
      <c r="AM55" s="87"/>
      <c r="AN55" s="87"/>
      <c r="AO55" s="87"/>
      <c r="AP55" s="87"/>
    </row>
    <row r="56" spans="1:42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10"/>
      <c r="L56" s="114"/>
      <c r="M56" s="115">
        <v>-1</v>
      </c>
      <c r="N56" s="115"/>
      <c r="O56" s="115"/>
      <c r="P56" s="116"/>
      <c r="T56" s="19" t="b">
        <f t="shared" ca="1" si="0"/>
        <v>0</v>
      </c>
      <c r="U56" s="19" t="b">
        <f t="shared" si="12"/>
        <v>0</v>
      </c>
      <c r="V56" s="19" t="b">
        <f t="shared" ca="1" si="4"/>
        <v>0</v>
      </c>
      <c r="X56" s="7" t="s">
        <v>156</v>
      </c>
      <c r="AI56" s="59"/>
      <c r="AJ56" s="70"/>
      <c r="AK56" s="100"/>
      <c r="AL56" s="87"/>
      <c r="AM56" s="87"/>
      <c r="AN56" s="87"/>
      <c r="AO56" s="87"/>
      <c r="AP56" s="87"/>
    </row>
    <row r="57" spans="1:42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5">
        <v>2</v>
      </c>
      <c r="L57" s="111"/>
      <c r="M57" s="112"/>
      <c r="N57" s="112"/>
      <c r="O57" s="112"/>
      <c r="P57" s="113"/>
      <c r="R57" s="87" t="str">
        <f t="shared" si="13"/>
        <v/>
      </c>
      <c r="T57" s="19" t="b">
        <f t="shared" ca="1" si="0"/>
        <v>0</v>
      </c>
      <c r="U57" s="19" t="b">
        <f t="shared" si="12"/>
        <v>0</v>
      </c>
      <c r="V57" s="19" t="b">
        <f t="shared" ca="1" si="4"/>
        <v>0</v>
      </c>
      <c r="Y57" s="19" t="b">
        <f t="shared" ref="Y57:Y66" ca="1" si="18">OR(AND(L57&lt;&gt;"",ISNA(MATCH(L57,FIELDリスト,0))),COUNTIF($L57:$P57,L57)&gt;1)</f>
        <v>0</v>
      </c>
      <c r="Z57" s="19" t="b">
        <f t="shared" ca="1" si="14"/>
        <v>0</v>
      </c>
      <c r="AA57" s="19" t="b">
        <f t="shared" ca="1" si="15"/>
        <v>0</v>
      </c>
      <c r="AB57" s="19" t="b">
        <f t="shared" ca="1" si="16"/>
        <v>0</v>
      </c>
      <c r="AC57" s="19" t="b">
        <f t="shared" ca="1" si="17"/>
        <v>0</v>
      </c>
      <c r="AD57" s="19" t="b">
        <f t="shared" ref="AD57:AD65" si="19">AND(R57&lt;&gt;"",COUNTIF(R$13:R$22,R57)&gt;1)</f>
        <v>0</v>
      </c>
      <c r="AI57" s="59"/>
      <c r="AJ57" s="70"/>
      <c r="AK57" s="100"/>
      <c r="AL57" s="87"/>
      <c r="AM57" s="87"/>
      <c r="AN57" s="87"/>
      <c r="AO57" s="87"/>
      <c r="AP57" s="87"/>
    </row>
    <row r="58" spans="1:42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10"/>
      <c r="L58" s="114"/>
      <c r="M58" s="115"/>
      <c r="N58" s="115"/>
      <c r="O58" s="115"/>
      <c r="P58" s="116"/>
      <c r="T58" s="19" t="b">
        <f t="shared" ca="1" si="0"/>
        <v>0</v>
      </c>
      <c r="U58" s="19" t="b">
        <f t="shared" si="12"/>
        <v>0</v>
      </c>
      <c r="V58" s="19" t="b">
        <f t="shared" ca="1" si="4"/>
        <v>0</v>
      </c>
      <c r="AI58" s="59"/>
      <c r="AJ58" s="70"/>
      <c r="AK58" s="100"/>
      <c r="AL58" s="87"/>
      <c r="AM58" s="87"/>
      <c r="AN58" s="87"/>
      <c r="AO58" s="87"/>
      <c r="AP58" s="87"/>
    </row>
    <row r="59" spans="1:42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5">
        <v>3</v>
      </c>
      <c r="L59" s="111"/>
      <c r="M59" s="112"/>
      <c r="N59" s="112"/>
      <c r="O59" s="112"/>
      <c r="P59" s="113"/>
      <c r="R59" s="87" t="str">
        <f t="shared" si="13"/>
        <v/>
      </c>
      <c r="T59" s="19" t="b">
        <f t="shared" ca="1" si="0"/>
        <v>0</v>
      </c>
      <c r="U59" s="19" t="b">
        <f t="shared" si="12"/>
        <v>0</v>
      </c>
      <c r="V59" s="19" t="b">
        <f t="shared" ca="1" si="4"/>
        <v>0</v>
      </c>
      <c r="Y59" s="19" t="b">
        <f t="shared" ca="1" si="18"/>
        <v>0</v>
      </c>
      <c r="Z59" s="19" t="b">
        <f t="shared" ca="1" si="14"/>
        <v>0</v>
      </c>
      <c r="AA59" s="19" t="b">
        <f t="shared" ca="1" si="15"/>
        <v>0</v>
      </c>
      <c r="AB59" s="19" t="b">
        <f t="shared" ca="1" si="16"/>
        <v>0</v>
      </c>
      <c r="AC59" s="19" t="b">
        <f t="shared" ca="1" si="17"/>
        <v>0</v>
      </c>
      <c r="AD59" s="19" t="b">
        <f t="shared" si="19"/>
        <v>0</v>
      </c>
      <c r="AI59" s="59"/>
      <c r="AJ59" s="70"/>
      <c r="AK59" s="100"/>
      <c r="AL59" s="87"/>
      <c r="AM59" s="87"/>
      <c r="AN59" s="87"/>
      <c r="AO59" s="87"/>
      <c r="AP59" s="87"/>
    </row>
    <row r="60" spans="1:42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10"/>
      <c r="L60" s="114"/>
      <c r="M60" s="115"/>
      <c r="N60" s="115"/>
      <c r="O60" s="115"/>
      <c r="P60" s="116"/>
      <c r="T60" s="19" t="b">
        <f t="shared" ca="1" si="0"/>
        <v>0</v>
      </c>
      <c r="U60" s="19" t="b">
        <f t="shared" si="12"/>
        <v>0</v>
      </c>
      <c r="V60" s="19" t="b">
        <f t="shared" ca="1" si="4"/>
        <v>0</v>
      </c>
      <c r="AI60" s="59"/>
      <c r="AJ60" s="70"/>
      <c r="AK60" s="100"/>
      <c r="AL60" s="87"/>
      <c r="AM60" s="87"/>
      <c r="AN60" s="87"/>
      <c r="AO60" s="87"/>
      <c r="AP60" s="87"/>
    </row>
    <row r="61" spans="1:42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5">
        <v>4</v>
      </c>
      <c r="L61" s="111"/>
      <c r="M61" s="112"/>
      <c r="N61" s="112"/>
      <c r="O61" s="112"/>
      <c r="P61" s="113"/>
      <c r="R61" s="87" t="str">
        <f t="shared" si="13"/>
        <v/>
      </c>
      <c r="T61" s="19" t="b">
        <f t="shared" ca="1" si="0"/>
        <v>0</v>
      </c>
      <c r="U61" s="19" t="b">
        <f t="shared" si="12"/>
        <v>0</v>
      </c>
      <c r="V61" s="19" t="b">
        <f t="shared" ca="1" si="4"/>
        <v>0</v>
      </c>
      <c r="Y61" s="19" t="b">
        <f t="shared" ca="1" si="18"/>
        <v>0</v>
      </c>
      <c r="Z61" s="19" t="b">
        <f t="shared" ca="1" si="14"/>
        <v>0</v>
      </c>
      <c r="AA61" s="19" t="b">
        <f t="shared" ca="1" si="15"/>
        <v>0</v>
      </c>
      <c r="AB61" s="19" t="b">
        <f t="shared" ca="1" si="16"/>
        <v>0</v>
      </c>
      <c r="AC61" s="19" t="b">
        <f t="shared" ca="1" si="17"/>
        <v>0</v>
      </c>
      <c r="AD61" s="19" t="b">
        <f t="shared" si="19"/>
        <v>0</v>
      </c>
      <c r="AI61" s="59"/>
      <c r="AJ61" s="70"/>
      <c r="AK61" s="100"/>
      <c r="AL61" s="87"/>
      <c r="AM61" s="87"/>
      <c r="AN61" s="87"/>
      <c r="AO61" s="87"/>
      <c r="AP61" s="87"/>
    </row>
    <row r="62" spans="1:42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10"/>
      <c r="L62" s="114"/>
      <c r="M62" s="115"/>
      <c r="N62" s="115"/>
      <c r="O62" s="115"/>
      <c r="P62" s="116"/>
      <c r="T62" s="19" t="b">
        <f t="shared" ca="1" si="0"/>
        <v>0</v>
      </c>
      <c r="U62" s="19" t="b">
        <f t="shared" si="12"/>
        <v>0</v>
      </c>
      <c r="V62" s="19" t="b">
        <f t="shared" ca="1" si="4"/>
        <v>0</v>
      </c>
      <c r="AI62" s="59"/>
      <c r="AJ62" s="70"/>
      <c r="AK62" s="100"/>
      <c r="AL62" s="87"/>
      <c r="AM62" s="87"/>
      <c r="AN62" s="87"/>
      <c r="AO62" s="87"/>
      <c r="AP62" s="87"/>
    </row>
    <row r="63" spans="1:42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5">
        <v>5</v>
      </c>
      <c r="L63" s="111"/>
      <c r="M63" s="112"/>
      <c r="N63" s="112"/>
      <c r="O63" s="112"/>
      <c r="P63" s="113"/>
      <c r="R63" s="87" t="str">
        <f t="shared" si="13"/>
        <v/>
      </c>
      <c r="T63" s="19" t="b">
        <f t="shared" ca="1" si="0"/>
        <v>0</v>
      </c>
      <c r="U63" s="19" t="b">
        <f t="shared" si="12"/>
        <v>0</v>
      </c>
      <c r="V63" s="19" t="b">
        <f t="shared" ca="1" si="4"/>
        <v>0</v>
      </c>
      <c r="Y63" s="19" t="b">
        <f t="shared" ca="1" si="18"/>
        <v>0</v>
      </c>
      <c r="Z63" s="19" t="b">
        <f t="shared" ca="1" si="14"/>
        <v>0</v>
      </c>
      <c r="AA63" s="19" t="b">
        <f t="shared" ca="1" si="15"/>
        <v>0</v>
      </c>
      <c r="AB63" s="19" t="b">
        <f t="shared" ca="1" si="16"/>
        <v>0</v>
      </c>
      <c r="AC63" s="19" t="b">
        <f t="shared" ca="1" si="17"/>
        <v>0</v>
      </c>
      <c r="AD63" s="19" t="b">
        <f>AND(R63&lt;&gt;"",COUNTIF(R$13:R$22,R63)&gt;1)</f>
        <v>0</v>
      </c>
      <c r="AI63" s="59"/>
      <c r="AJ63" s="70"/>
      <c r="AK63" s="100"/>
      <c r="AL63" s="87"/>
      <c r="AM63" s="87"/>
      <c r="AN63" s="87"/>
      <c r="AO63" s="87"/>
      <c r="AP63" s="87"/>
    </row>
    <row r="64" spans="1:42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10"/>
      <c r="L64" s="114"/>
      <c r="M64" s="115"/>
      <c r="N64" s="115"/>
      <c r="O64" s="115"/>
      <c r="P64" s="116"/>
      <c r="T64" s="19" t="b">
        <f t="shared" ca="1" si="0"/>
        <v>0</v>
      </c>
      <c r="U64" s="19" t="b">
        <f t="shared" si="12"/>
        <v>0</v>
      </c>
      <c r="V64" s="19" t="b">
        <f t="shared" ca="1" si="4"/>
        <v>0</v>
      </c>
      <c r="AI64" s="59"/>
      <c r="AJ64" s="70"/>
      <c r="AK64" s="100"/>
      <c r="AL64" s="87"/>
      <c r="AM64" s="87"/>
      <c r="AN64" s="87"/>
      <c r="AO64" s="87"/>
      <c r="AP64" s="87"/>
    </row>
    <row r="65" spans="1:42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 t="b">
        <f t="shared" ca="1" si="4"/>
        <v>0</v>
      </c>
      <c r="AI65" s="59"/>
      <c r="AJ65" s="70"/>
      <c r="AK65" s="100"/>
      <c r="AL65" s="87"/>
      <c r="AM65" s="87"/>
      <c r="AN65" s="87"/>
      <c r="AO65" s="87"/>
      <c r="AP65" s="87"/>
    </row>
    <row r="66" spans="1:42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 t="b">
        <f t="shared" ca="1" si="4"/>
        <v>0</v>
      </c>
      <c r="AI66" s="59"/>
      <c r="AJ66" s="70"/>
      <c r="AK66" s="100"/>
      <c r="AL66" s="87"/>
      <c r="AM66" s="87"/>
      <c r="AN66" s="87"/>
      <c r="AO66" s="87"/>
      <c r="AP66" s="87"/>
    </row>
    <row r="67" spans="1:42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 t="b">
        <f t="shared" ca="1" si="4"/>
        <v>0</v>
      </c>
      <c r="AI67" s="59"/>
      <c r="AJ67" s="70"/>
      <c r="AK67" s="100"/>
      <c r="AL67" s="87"/>
      <c r="AM67" s="87"/>
      <c r="AN67" s="87"/>
      <c r="AO67" s="87"/>
      <c r="AP67" s="87"/>
    </row>
    <row r="68" spans="1:42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 t="b">
        <f t="shared" ca="1" si="4"/>
        <v>0</v>
      </c>
      <c r="AI68" s="59"/>
      <c r="AJ68" s="70"/>
      <c r="AK68" s="100"/>
      <c r="AL68" s="87"/>
      <c r="AM68" s="87"/>
      <c r="AN68" s="87"/>
      <c r="AO68" s="87"/>
      <c r="AP68" s="87"/>
    </row>
    <row r="69" spans="1:42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 t="b">
        <f t="shared" ca="1" si="4"/>
        <v>0</v>
      </c>
      <c r="AI69" s="59"/>
      <c r="AJ69" s="70"/>
      <c r="AK69" s="100"/>
      <c r="AL69" s="87"/>
      <c r="AM69" s="87"/>
      <c r="AN69" s="87"/>
      <c r="AO69" s="87"/>
      <c r="AP69" s="87"/>
    </row>
    <row r="70" spans="1:42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0">AND(B70&lt;&gt;"",ISNA(MATCH(B70,項目リスト,0)))</f>
        <v>0</v>
      </c>
      <c r="U70" s="19" t="b">
        <f t="shared" ref="U70:U105" si="21">COUNTIF(FIELD_NAME,B70)&gt;1</f>
        <v>0</v>
      </c>
      <c r="V70" s="19" t="b">
        <f t="shared" ca="1" si="4"/>
        <v>0</v>
      </c>
      <c r="AI70" s="59"/>
      <c r="AJ70" s="70"/>
      <c r="AK70" s="100"/>
      <c r="AL70" s="87"/>
      <c r="AM70" s="87"/>
      <c r="AN70" s="87"/>
      <c r="AO70" s="87"/>
      <c r="AP70" s="87"/>
    </row>
    <row r="71" spans="1:42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0"/>
        <v>0</v>
      </c>
      <c r="U71" s="19" t="b">
        <f t="shared" si="21"/>
        <v>0</v>
      </c>
      <c r="V71" s="19" t="b">
        <f t="shared" ca="1" si="4"/>
        <v>0</v>
      </c>
      <c r="AI71" s="59"/>
      <c r="AJ71" s="70"/>
      <c r="AK71" s="100"/>
      <c r="AL71" s="87"/>
      <c r="AM71" s="87"/>
      <c r="AN71" s="87"/>
      <c r="AO71" s="87"/>
      <c r="AP71" s="87"/>
    </row>
    <row r="72" spans="1:42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0"/>
        <v>0</v>
      </c>
      <c r="U72" s="19" t="b">
        <f t="shared" si="21"/>
        <v>0</v>
      </c>
      <c r="V72" s="19" t="b">
        <f t="shared" ca="1" si="4"/>
        <v>0</v>
      </c>
      <c r="AI72" s="59"/>
      <c r="AJ72" s="70"/>
      <c r="AK72" s="100"/>
      <c r="AL72" s="87"/>
      <c r="AM72" s="87"/>
      <c r="AN72" s="87"/>
      <c r="AO72" s="87"/>
      <c r="AP72" s="87"/>
    </row>
    <row r="73" spans="1:42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0"/>
        <v>0</v>
      </c>
      <c r="U73" s="19" t="b">
        <f t="shared" si="21"/>
        <v>0</v>
      </c>
      <c r="V73" s="19" t="b">
        <f t="shared" ref="V73:V105" ca="1" si="22">AND(E73="",H73&lt;&gt;"",H73)</f>
        <v>0</v>
      </c>
      <c r="AI73" s="59"/>
      <c r="AJ73" s="70"/>
      <c r="AK73" s="100"/>
      <c r="AL73" s="87"/>
      <c r="AM73" s="87"/>
      <c r="AN73" s="87"/>
      <c r="AO73" s="87"/>
      <c r="AP73" s="87"/>
    </row>
    <row r="74" spans="1:42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0"/>
        <v>0</v>
      </c>
      <c r="U74" s="19" t="b">
        <f t="shared" si="21"/>
        <v>0</v>
      </c>
      <c r="V74" s="19" t="b">
        <f t="shared" ca="1" si="22"/>
        <v>0</v>
      </c>
      <c r="AI74" s="59"/>
      <c r="AJ74" s="70"/>
      <c r="AK74" s="100"/>
      <c r="AL74" s="87"/>
      <c r="AM74" s="87"/>
      <c r="AN74" s="87"/>
      <c r="AO74" s="87"/>
      <c r="AP74" s="87"/>
    </row>
    <row r="75" spans="1:42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0"/>
        <v>0</v>
      </c>
      <c r="U75" s="19" t="b">
        <f t="shared" si="21"/>
        <v>0</v>
      </c>
      <c r="V75" s="19" t="b">
        <f t="shared" ca="1" si="22"/>
        <v>0</v>
      </c>
      <c r="AI75" s="59"/>
      <c r="AJ75" s="70"/>
      <c r="AK75" s="100"/>
      <c r="AL75" s="87"/>
      <c r="AM75" s="87"/>
      <c r="AN75" s="87"/>
      <c r="AO75" s="87"/>
      <c r="AP75" s="87"/>
    </row>
    <row r="76" spans="1:42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0"/>
        <v>0</v>
      </c>
      <c r="U76" s="19" t="b">
        <f t="shared" si="21"/>
        <v>0</v>
      </c>
      <c r="V76" s="19" t="b">
        <f t="shared" ca="1" si="22"/>
        <v>0</v>
      </c>
      <c r="AI76" s="59"/>
      <c r="AJ76" s="70"/>
      <c r="AK76" s="100"/>
      <c r="AL76" s="87"/>
      <c r="AM76" s="87"/>
      <c r="AN76" s="87"/>
      <c r="AO76" s="87"/>
      <c r="AP76" s="87"/>
    </row>
    <row r="77" spans="1:42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0"/>
        <v>0</v>
      </c>
      <c r="U77" s="19" t="b">
        <f t="shared" si="21"/>
        <v>0</v>
      </c>
      <c r="V77" s="19" t="b">
        <f t="shared" ca="1" si="22"/>
        <v>0</v>
      </c>
      <c r="AI77" s="59"/>
      <c r="AJ77" s="70"/>
      <c r="AK77" s="100"/>
      <c r="AL77" s="87"/>
      <c r="AM77" s="87"/>
      <c r="AN77" s="87"/>
      <c r="AO77" s="87"/>
      <c r="AP77" s="87"/>
    </row>
    <row r="78" spans="1:42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0"/>
        <v>0</v>
      </c>
      <c r="U78" s="19" t="b">
        <f t="shared" si="21"/>
        <v>0</v>
      </c>
      <c r="V78" s="19" t="b">
        <f t="shared" ca="1" si="22"/>
        <v>0</v>
      </c>
      <c r="AI78" s="59"/>
      <c r="AJ78" s="70"/>
      <c r="AK78" s="100"/>
      <c r="AL78" s="87"/>
      <c r="AM78" s="87"/>
      <c r="AN78" s="87"/>
      <c r="AO78" s="87"/>
      <c r="AP78" s="87"/>
    </row>
    <row r="79" spans="1:42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0"/>
        <v>0</v>
      </c>
      <c r="U79" s="19" t="b">
        <f t="shared" si="21"/>
        <v>0</v>
      </c>
      <c r="V79" s="19" t="b">
        <f t="shared" ca="1" si="22"/>
        <v>0</v>
      </c>
      <c r="AI79" s="59"/>
      <c r="AJ79" s="70"/>
      <c r="AK79" s="100"/>
      <c r="AL79" s="87"/>
      <c r="AM79" s="87"/>
      <c r="AN79" s="87"/>
      <c r="AO79" s="87"/>
      <c r="AP79" s="87"/>
    </row>
    <row r="80" spans="1:42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0"/>
        <v>0</v>
      </c>
      <c r="U80" s="19" t="b">
        <f t="shared" si="21"/>
        <v>0</v>
      </c>
      <c r="V80" s="19" t="b">
        <f t="shared" ca="1" si="22"/>
        <v>0</v>
      </c>
      <c r="AI80" s="59"/>
      <c r="AJ80" s="70"/>
      <c r="AK80" s="100"/>
      <c r="AL80" s="87"/>
      <c r="AM80" s="87"/>
      <c r="AN80" s="87"/>
      <c r="AO80" s="87"/>
      <c r="AP80" s="87"/>
    </row>
    <row r="81" spans="1:42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0"/>
        <v>0</v>
      </c>
      <c r="U81" s="19" t="b">
        <f t="shared" si="21"/>
        <v>0</v>
      </c>
      <c r="V81" s="19" t="b">
        <f t="shared" ca="1" si="22"/>
        <v>0</v>
      </c>
      <c r="AI81" s="59"/>
      <c r="AJ81" s="70"/>
      <c r="AK81" s="100"/>
      <c r="AL81" s="87"/>
      <c r="AM81" s="87"/>
      <c r="AN81" s="87"/>
      <c r="AO81" s="87"/>
      <c r="AP81" s="87"/>
    </row>
    <row r="82" spans="1:42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0"/>
        <v>0</v>
      </c>
      <c r="U82" s="19" t="b">
        <f t="shared" si="21"/>
        <v>0</v>
      </c>
      <c r="V82" s="19" t="b">
        <f t="shared" ca="1" si="22"/>
        <v>0</v>
      </c>
      <c r="AI82" s="59"/>
      <c r="AJ82" s="70"/>
      <c r="AK82" s="100"/>
      <c r="AL82" s="87"/>
      <c r="AM82" s="87"/>
      <c r="AN82" s="87"/>
      <c r="AO82" s="87"/>
      <c r="AP82" s="87"/>
    </row>
    <row r="83" spans="1:42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0"/>
        <v>0</v>
      </c>
      <c r="U83" s="19" t="b">
        <f t="shared" si="21"/>
        <v>0</v>
      </c>
      <c r="V83" s="19" t="b">
        <f t="shared" ca="1" si="22"/>
        <v>0</v>
      </c>
      <c r="AI83" s="59"/>
      <c r="AJ83" s="70"/>
      <c r="AK83" s="100"/>
      <c r="AL83" s="87"/>
      <c r="AM83" s="87"/>
      <c r="AN83" s="87"/>
      <c r="AO83" s="87"/>
      <c r="AP83" s="87"/>
    </row>
    <row r="84" spans="1:42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0"/>
        <v>0</v>
      </c>
      <c r="U84" s="19" t="b">
        <f t="shared" si="21"/>
        <v>0</v>
      </c>
      <c r="V84" s="19" t="b">
        <f t="shared" ca="1" si="22"/>
        <v>0</v>
      </c>
      <c r="AI84" s="59"/>
      <c r="AJ84" s="70"/>
      <c r="AK84" s="100"/>
      <c r="AL84" s="87"/>
      <c r="AM84" s="87"/>
      <c r="AN84" s="87"/>
      <c r="AO84" s="87"/>
      <c r="AP84" s="87"/>
    </row>
    <row r="85" spans="1:42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0"/>
        <v>0</v>
      </c>
      <c r="U85" s="19" t="b">
        <f t="shared" si="21"/>
        <v>0</v>
      </c>
      <c r="V85" s="19" t="b">
        <f t="shared" ca="1" si="22"/>
        <v>0</v>
      </c>
      <c r="AI85" s="59"/>
      <c r="AJ85" s="70"/>
      <c r="AK85" s="100"/>
      <c r="AL85" s="87"/>
      <c r="AM85" s="87"/>
      <c r="AN85" s="87"/>
      <c r="AO85" s="87"/>
      <c r="AP85" s="87"/>
    </row>
    <row r="86" spans="1:42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0"/>
        <v>0</v>
      </c>
      <c r="U86" s="19" t="b">
        <f t="shared" si="21"/>
        <v>0</v>
      </c>
      <c r="V86" s="19" t="b">
        <f t="shared" ca="1" si="22"/>
        <v>0</v>
      </c>
      <c r="AI86" s="59"/>
      <c r="AJ86" s="70"/>
      <c r="AK86" s="100"/>
      <c r="AL86" s="87"/>
      <c r="AM86" s="87"/>
      <c r="AN86" s="87"/>
      <c r="AO86" s="87"/>
      <c r="AP86" s="87"/>
    </row>
    <row r="87" spans="1:42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0"/>
        <v>0</v>
      </c>
      <c r="U87" s="19" t="b">
        <f t="shared" si="21"/>
        <v>0</v>
      </c>
      <c r="V87" s="19" t="b">
        <f t="shared" ca="1" si="22"/>
        <v>0</v>
      </c>
      <c r="AI87" s="59"/>
      <c r="AJ87" s="70"/>
      <c r="AK87" s="100"/>
      <c r="AL87" s="87"/>
      <c r="AM87" s="87"/>
      <c r="AN87" s="87"/>
      <c r="AO87" s="87"/>
      <c r="AP87" s="87"/>
    </row>
    <row r="88" spans="1:42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0"/>
        <v>0</v>
      </c>
      <c r="U88" s="19" t="b">
        <f t="shared" si="21"/>
        <v>0</v>
      </c>
      <c r="V88" s="19" t="b">
        <f t="shared" ca="1" si="22"/>
        <v>0</v>
      </c>
      <c r="AI88" s="59"/>
      <c r="AJ88" s="70"/>
      <c r="AK88" s="100"/>
      <c r="AL88" s="87"/>
      <c r="AM88" s="87"/>
      <c r="AN88" s="87"/>
      <c r="AO88" s="87"/>
      <c r="AP88" s="87"/>
    </row>
    <row r="89" spans="1:42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0"/>
        <v>0</v>
      </c>
      <c r="U89" s="19" t="b">
        <f t="shared" si="21"/>
        <v>0</v>
      </c>
      <c r="V89" s="19" t="b">
        <f t="shared" ca="1" si="22"/>
        <v>0</v>
      </c>
      <c r="AI89" s="59"/>
      <c r="AJ89" s="70"/>
      <c r="AK89" s="100"/>
      <c r="AL89" s="87"/>
      <c r="AM89" s="87"/>
      <c r="AN89" s="87"/>
      <c r="AO89" s="87"/>
      <c r="AP89" s="87"/>
    </row>
    <row r="90" spans="1:42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0"/>
        <v>0</v>
      </c>
      <c r="U90" s="19" t="b">
        <f t="shared" si="21"/>
        <v>0</v>
      </c>
      <c r="V90" s="19" t="b">
        <f t="shared" ca="1" si="22"/>
        <v>0</v>
      </c>
      <c r="AI90" s="59"/>
      <c r="AJ90" s="70"/>
      <c r="AK90" s="100"/>
      <c r="AL90" s="87"/>
      <c r="AM90" s="87"/>
      <c r="AN90" s="87"/>
      <c r="AO90" s="87"/>
      <c r="AP90" s="87"/>
    </row>
    <row r="91" spans="1:42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0"/>
        <v>0</v>
      </c>
      <c r="U91" s="19" t="b">
        <f t="shared" si="21"/>
        <v>0</v>
      </c>
      <c r="V91" s="19" t="b">
        <f t="shared" ca="1" si="22"/>
        <v>0</v>
      </c>
      <c r="AI91" s="59"/>
      <c r="AJ91" s="70"/>
      <c r="AK91" s="100"/>
      <c r="AL91" s="87"/>
      <c r="AM91" s="87"/>
      <c r="AN91" s="87"/>
      <c r="AO91" s="87"/>
      <c r="AP91" s="87"/>
    </row>
    <row r="92" spans="1:42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0"/>
        <v>0</v>
      </c>
      <c r="U92" s="19" t="b">
        <f t="shared" si="21"/>
        <v>0</v>
      </c>
      <c r="V92" s="19" t="b">
        <f t="shared" ca="1" si="22"/>
        <v>0</v>
      </c>
      <c r="AI92" s="59"/>
      <c r="AJ92" s="70"/>
      <c r="AK92" s="100"/>
      <c r="AL92" s="87"/>
      <c r="AM92" s="87"/>
      <c r="AN92" s="87"/>
      <c r="AO92" s="87"/>
      <c r="AP92" s="87"/>
    </row>
    <row r="93" spans="1:42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0"/>
        <v>0</v>
      </c>
      <c r="U93" s="19" t="b">
        <f t="shared" si="21"/>
        <v>0</v>
      </c>
      <c r="V93" s="19" t="b">
        <f t="shared" ca="1" si="22"/>
        <v>0</v>
      </c>
      <c r="AI93" s="59"/>
      <c r="AJ93" s="70"/>
      <c r="AK93" s="100"/>
      <c r="AL93" s="87"/>
      <c r="AM93" s="87"/>
      <c r="AN93" s="87"/>
      <c r="AO93" s="87"/>
      <c r="AP93" s="87"/>
    </row>
    <row r="94" spans="1:42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0"/>
        <v>0</v>
      </c>
      <c r="U94" s="19" t="b">
        <f t="shared" si="21"/>
        <v>0</v>
      </c>
      <c r="V94" s="19" t="b">
        <f t="shared" ca="1" si="22"/>
        <v>0</v>
      </c>
      <c r="AI94" s="59"/>
      <c r="AJ94" s="70"/>
      <c r="AK94" s="100"/>
      <c r="AL94" s="87"/>
      <c r="AM94" s="87"/>
      <c r="AN94" s="87"/>
      <c r="AO94" s="87"/>
      <c r="AP94" s="87"/>
    </row>
    <row r="95" spans="1:42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0"/>
        <v>0</v>
      </c>
      <c r="U95" s="19" t="b">
        <f t="shared" si="21"/>
        <v>0</v>
      </c>
      <c r="V95" s="19" t="b">
        <f t="shared" ca="1" si="22"/>
        <v>0</v>
      </c>
      <c r="AI95" s="59"/>
      <c r="AJ95" s="70"/>
      <c r="AK95" s="100"/>
      <c r="AL95" s="87"/>
      <c r="AM95" s="87"/>
      <c r="AN95" s="87"/>
      <c r="AO95" s="87"/>
      <c r="AP95" s="87"/>
    </row>
    <row r="96" spans="1:42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0"/>
        <v>0</v>
      </c>
      <c r="U96" s="19" t="b">
        <f t="shared" si="21"/>
        <v>0</v>
      </c>
      <c r="V96" s="19" t="b">
        <f t="shared" ca="1" si="22"/>
        <v>0</v>
      </c>
      <c r="AI96" s="59"/>
      <c r="AJ96" s="70"/>
      <c r="AK96" s="100"/>
      <c r="AL96" s="87"/>
      <c r="AM96" s="87"/>
      <c r="AN96" s="87"/>
      <c r="AO96" s="87"/>
      <c r="AP96" s="87"/>
    </row>
    <row r="97" spans="1:42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0"/>
        <v>0</v>
      </c>
      <c r="U97" s="19" t="b">
        <f t="shared" si="21"/>
        <v>0</v>
      </c>
      <c r="V97" s="19" t="b">
        <f t="shared" ca="1" si="22"/>
        <v>0</v>
      </c>
      <c r="AI97" s="59"/>
      <c r="AJ97" s="70"/>
      <c r="AK97" s="100"/>
      <c r="AL97" s="87"/>
      <c r="AM97" s="87"/>
      <c r="AN97" s="87"/>
      <c r="AO97" s="87"/>
      <c r="AP97" s="87"/>
    </row>
    <row r="98" spans="1:42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0"/>
        <v>0</v>
      </c>
      <c r="U98" s="19" t="b">
        <f t="shared" si="21"/>
        <v>0</v>
      </c>
      <c r="V98" s="19" t="b">
        <f t="shared" ca="1" si="22"/>
        <v>0</v>
      </c>
      <c r="AI98" s="59"/>
      <c r="AJ98" s="70"/>
      <c r="AK98" s="100"/>
      <c r="AL98" s="87"/>
      <c r="AM98" s="87"/>
      <c r="AN98" s="87"/>
      <c r="AO98" s="87"/>
      <c r="AP98" s="87"/>
    </row>
    <row r="99" spans="1:42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0"/>
        <v>0</v>
      </c>
      <c r="U99" s="19" t="b">
        <f t="shared" si="21"/>
        <v>0</v>
      </c>
      <c r="V99" s="19" t="b">
        <f t="shared" ca="1" si="22"/>
        <v>0</v>
      </c>
      <c r="AI99" s="59"/>
      <c r="AJ99" s="70"/>
      <c r="AK99" s="100"/>
      <c r="AL99" s="87"/>
      <c r="AM99" s="87"/>
      <c r="AN99" s="87"/>
      <c r="AO99" s="87"/>
      <c r="AP99" s="87"/>
    </row>
    <row r="100" spans="1:42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0"/>
        <v>0</v>
      </c>
      <c r="U100" s="19" t="b">
        <f t="shared" si="21"/>
        <v>0</v>
      </c>
      <c r="V100" s="19" t="b">
        <f t="shared" ca="1" si="22"/>
        <v>0</v>
      </c>
      <c r="AI100" s="59"/>
      <c r="AJ100" s="70"/>
      <c r="AK100" s="100"/>
      <c r="AL100" s="87"/>
      <c r="AM100" s="87"/>
      <c r="AN100" s="87"/>
      <c r="AO100" s="87"/>
      <c r="AP100" s="87"/>
    </row>
    <row r="101" spans="1:42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0"/>
        <v>0</v>
      </c>
      <c r="U101" s="19" t="b">
        <f t="shared" si="21"/>
        <v>0</v>
      </c>
      <c r="V101" s="19" t="b">
        <f t="shared" ca="1" si="22"/>
        <v>0</v>
      </c>
      <c r="AI101" s="59"/>
      <c r="AJ101" s="70"/>
      <c r="AK101" s="100"/>
      <c r="AL101" s="87"/>
      <c r="AM101" s="87"/>
      <c r="AN101" s="87"/>
      <c r="AO101" s="87"/>
      <c r="AP101" s="87"/>
    </row>
    <row r="102" spans="1:42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0"/>
        <v>0</v>
      </c>
      <c r="U102" s="19" t="b">
        <f t="shared" si="21"/>
        <v>0</v>
      </c>
      <c r="V102" s="19" t="b">
        <f t="shared" ca="1" si="22"/>
        <v>0</v>
      </c>
      <c r="AI102" s="59"/>
      <c r="AJ102" s="70"/>
      <c r="AK102" s="100"/>
      <c r="AL102" s="87"/>
      <c r="AM102" s="87"/>
      <c r="AN102" s="87"/>
      <c r="AO102" s="87"/>
      <c r="AP102" s="87"/>
    </row>
    <row r="103" spans="1:42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0"/>
        <v>0</v>
      </c>
      <c r="U103" s="19" t="b">
        <f t="shared" si="21"/>
        <v>0</v>
      </c>
      <c r="V103" s="19" t="b">
        <f t="shared" ca="1" si="22"/>
        <v>0</v>
      </c>
      <c r="AI103" s="59"/>
      <c r="AJ103" s="70"/>
      <c r="AK103" s="100"/>
      <c r="AL103" s="87"/>
      <c r="AM103" s="87"/>
      <c r="AN103" s="87"/>
      <c r="AO103" s="87"/>
      <c r="AP103" s="87"/>
    </row>
    <row r="104" spans="1:42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0"/>
        <v>0</v>
      </c>
      <c r="U104" s="19" t="b">
        <f t="shared" si="21"/>
        <v>0</v>
      </c>
      <c r="V104" s="19" t="b">
        <f t="shared" ca="1" si="22"/>
        <v>0</v>
      </c>
      <c r="AI104" s="59"/>
      <c r="AJ104" s="70"/>
      <c r="AK104" s="100"/>
      <c r="AL104" s="87"/>
      <c r="AM104" s="87"/>
      <c r="AN104" s="87"/>
      <c r="AO104" s="87"/>
      <c r="AP104" s="87"/>
    </row>
    <row r="105" spans="1:42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0"/>
        <v>0</v>
      </c>
      <c r="U105" s="19" t="b">
        <f t="shared" si="21"/>
        <v>0</v>
      </c>
      <c r="V105" s="19" t="b">
        <f t="shared" ca="1" si="22"/>
        <v>0</v>
      </c>
      <c r="AI105" s="59"/>
      <c r="AJ105" s="70"/>
      <c r="AK105" s="100"/>
      <c r="AL105" s="87"/>
      <c r="AM105" s="87"/>
      <c r="AN105" s="87"/>
      <c r="AO105" s="87"/>
      <c r="AP105" s="87"/>
    </row>
  </sheetData>
  <phoneticPr fontId="2"/>
  <conditionalFormatting sqref="B2:C2">
    <cfRule type="expression" dxfId="41" priority="23">
      <formula>ISERROR(B2)</formula>
    </cfRule>
  </conditionalFormatting>
  <conditionalFormatting sqref="B6:B105">
    <cfRule type="expression" dxfId="40" priority="21">
      <formula>COUNTIF(FIELD_NAME,B6)&gt;1</formula>
    </cfRule>
    <cfRule type="expression" dxfId="39" priority="22">
      <formula>AND($B6&lt;&gt;"",ISNA(MATCH($B6,項目リスト,0)))</formula>
    </cfRule>
  </conditionalFormatting>
  <conditionalFormatting sqref="B6">
    <cfRule type="expression" dxfId="38" priority="20">
      <formula>$AI$6="N/A"</formula>
    </cfRule>
  </conditionalFormatting>
  <conditionalFormatting sqref="D1">
    <cfRule type="cellIs" dxfId="37" priority="19" operator="greaterThan">
      <formula>0</formula>
    </cfRule>
  </conditionalFormatting>
  <conditionalFormatting sqref="L8:P8">
    <cfRule type="expression" dxfId="36" priority="25">
      <formula>Y8</formula>
    </cfRule>
    <cfRule type="expression" dxfId="35" priority="26">
      <formula>Y7</formula>
    </cfRule>
  </conditionalFormatting>
  <conditionalFormatting sqref="L13:P22">
    <cfRule type="expression" dxfId="34" priority="17">
      <formula>Y13</formula>
    </cfRule>
    <cfRule type="expression" dxfId="33" priority="18">
      <formula>$AD13</formula>
    </cfRule>
  </conditionalFormatting>
  <conditionalFormatting sqref="L8">
    <cfRule type="expression" dxfId="32" priority="24">
      <formula>$AG$7</formula>
    </cfRule>
  </conditionalFormatting>
  <conditionalFormatting sqref="L55:P64">
    <cfRule type="expression" dxfId="31" priority="15">
      <formula>Y55</formula>
    </cfRule>
    <cfRule type="expression" dxfId="30" priority="16">
      <formula>$AD55</formula>
    </cfRule>
  </conditionalFormatting>
  <conditionalFormatting sqref="L43:P44">
    <cfRule type="expression" dxfId="29" priority="14">
      <formula>Y42</formula>
    </cfRule>
  </conditionalFormatting>
  <conditionalFormatting sqref="L43:P43">
    <cfRule type="expression" dxfId="28" priority="12">
      <formula>$AD42</formula>
    </cfRule>
    <cfRule type="expression" dxfId="27" priority="28">
      <formula>Y41</formula>
    </cfRule>
  </conditionalFormatting>
  <conditionalFormatting sqref="L26">
    <cfRule type="expression" dxfId="26" priority="29">
      <formula>X28</formula>
    </cfRule>
    <cfRule type="expression" dxfId="25" priority="30">
      <formula>$AD27</formula>
    </cfRule>
  </conditionalFormatting>
  <conditionalFormatting sqref="L43">
    <cfRule type="expression" dxfId="24" priority="13">
      <formula>$AD41</formula>
    </cfRule>
  </conditionalFormatting>
  <conditionalFormatting sqref="L28:P29 L33:P34 L38:P39 L48:P49 L43:P44">
    <cfRule type="expression" dxfId="23" priority="31">
      <formula>Y27</formula>
    </cfRule>
  </conditionalFormatting>
  <conditionalFormatting sqref="L29:P29 L34:P34 L39:P39 L49:P49">
    <cfRule type="expression" dxfId="22" priority="32">
      <formula>$AD27</formula>
    </cfRule>
    <cfRule type="expression" dxfId="21" priority="33">
      <formula>Y26</formula>
    </cfRule>
  </conditionalFormatting>
  <conditionalFormatting sqref="L28 L33 L38 L48 L43">
    <cfRule type="expression" dxfId="20" priority="34">
      <formula>$AD26</formula>
    </cfRule>
  </conditionalFormatting>
  <conditionalFormatting sqref="L31 L36 L41 L46">
    <cfRule type="expression" dxfId="19" priority="35">
      <formula>X33</formula>
    </cfRule>
    <cfRule type="expression" dxfId="18" priority="36">
      <formula>$AD33</formula>
    </cfRule>
  </conditionalFormatting>
  <conditionalFormatting sqref="L44:P44">
    <cfRule type="expression" dxfId="17" priority="37">
      <formula>$AD42</formula>
    </cfRule>
    <cfRule type="expression" dxfId="16" priority="38">
      <formula>Y41</formula>
    </cfRule>
  </conditionalFormatting>
  <conditionalFormatting sqref="L28:P28 L33:P33 L38:P38 L43:P43 L48:P48">
    <cfRule type="expression" dxfId="15" priority="11">
      <formula>$AD27</formula>
    </cfRule>
    <cfRule type="expression" dxfId="14" priority="27">
      <formula>Y26</formula>
    </cfRule>
  </conditionalFormatting>
  <conditionalFormatting sqref="K56">
    <cfRule type="expression" dxfId="13" priority="9">
      <formula>X56</formula>
    </cfRule>
    <cfRule type="expression" dxfId="12" priority="10">
      <formula>$AD56</formula>
    </cfRule>
  </conditionalFormatting>
  <conditionalFormatting sqref="K58">
    <cfRule type="expression" dxfId="11" priority="7">
      <formula>X58</formula>
    </cfRule>
    <cfRule type="expression" dxfId="10" priority="8">
      <formula>$AD58</formula>
    </cfRule>
  </conditionalFormatting>
  <conditionalFormatting sqref="K60">
    <cfRule type="expression" dxfId="9" priority="5">
      <formula>X60</formula>
    </cfRule>
    <cfRule type="expression" dxfId="8" priority="6">
      <formula>$AD60</formula>
    </cfRule>
  </conditionalFormatting>
  <conditionalFormatting sqref="K62">
    <cfRule type="expression" dxfId="7" priority="3">
      <formula>X62</formula>
    </cfRule>
    <cfRule type="expression" dxfId="6" priority="4">
      <formula>$AD62</formula>
    </cfRule>
  </conditionalFormatting>
  <conditionalFormatting sqref="K64">
    <cfRule type="expression" dxfId="5" priority="1">
      <formula>X64</formula>
    </cfRule>
    <cfRule type="expression" dxfId="4" priority="2">
      <formula>$AD64</formula>
    </cfRule>
  </conditionalFormatting>
  <conditionalFormatting sqref="E6">
    <cfRule type="expression" dxfId="3" priority="39" stopIfTrue="1">
      <formula>$V6</formula>
    </cfRule>
  </conditionalFormatting>
  <conditionalFormatting sqref="E7">
    <cfRule type="expression" dxfId="2" priority="40" stopIfTrue="1">
      <formula>$V7</formula>
    </cfRule>
  </conditionalFormatting>
  <conditionalFormatting sqref="E8">
    <cfRule type="expression" dxfId="1" priority="41" stopIfTrue="1">
      <formula>$V8</formula>
    </cfRule>
  </conditionalFormatting>
  <conditionalFormatting sqref="E9">
    <cfRule type="expression" dxfId="0" priority="42" stopIfTrue="1">
      <formula>$V9</formula>
    </cfRule>
  </conditionalFormatting>
  <dataValidations count="16">
    <dataValidation imeMode="off" allowBlank="1" showInputMessage="1" showErrorMessage="1" sqref="D5:F5 C2" xr:uid="{792E2A11-84B4-43DE-B596-E920D377A012}"/>
    <dataValidation type="whole" imeMode="off" operator="equal" allowBlank="1" showInputMessage="1" showErrorMessage="1" error="DESC指定の場合に‐1を入力" sqref="L56:P56 L58:P58 L60:P60 L62:P62 L64:P64" xr:uid="{16D13674-713F-45D6-8E88-50BA40508486}">
      <formula1>-1</formula1>
    </dataValidation>
    <dataValidation type="whole" imeMode="off" operator="equal" allowBlank="1" showInputMessage="1" showErrorMessage="1" error="Unique indexの場合に1を入力" sqref="K56 K58 K60 K62 K64" xr:uid="{9443941B-01FB-4F1A-B530-33E190E46285}">
      <formula1>1</formula1>
    </dataValidation>
    <dataValidation type="list" allowBlank="1" showInputMessage="1" showErrorMessage="1" sqref="N26 P26 N31 P31 N36 P36 N41 P41 N46 P46" xr:uid="{DAB83F27-A3D2-4313-A2D8-0AB869EEDE29}">
      <formula1>FK_OPTION</formula1>
    </dataValidation>
    <dataValidation type="list" allowBlank="1" showInputMessage="1" showErrorMessage="1" sqref="L49:P49" xr:uid="{8F26B2B8-2BC2-474E-8453-D2F2A980E8EA}">
      <formula1>FK_FIELD_5</formula1>
    </dataValidation>
    <dataValidation type="list" allowBlank="1" showInputMessage="1" showErrorMessage="1" sqref="L44:P44" xr:uid="{BA726105-B7DA-487F-BAE0-FE5A51D41225}">
      <formula1>FK_FIELD_4</formula1>
    </dataValidation>
    <dataValidation type="list" allowBlank="1" showInputMessage="1" showErrorMessage="1" sqref="L39:P39" xr:uid="{308DC820-1A92-4722-BC05-356E64DD6142}">
      <formula1>FK_FIELD_3</formula1>
    </dataValidation>
    <dataValidation type="list" allowBlank="1" showInputMessage="1" showErrorMessage="1" sqref="L34:P34" xr:uid="{44294B42-0791-4C22-B27D-F761D4FBA625}">
      <formula1>FK_FIELD_2</formula1>
    </dataValidation>
    <dataValidation type="list" allowBlank="1" showInputMessage="1" showErrorMessage="1" sqref="L29:P29" xr:uid="{D493C26F-4479-4F51-80FA-965766B06D0B}">
      <formula1>FK_FIELD_1</formula1>
    </dataValidation>
    <dataValidation type="list" allowBlank="1" showInputMessage="1" showErrorMessage="1" sqref="L26 L31 L36 L41 L46" xr:uid="{B7F850FB-5B02-49C4-A826-16028502C574}">
      <formula1>TABLEリスト</formula1>
    </dataValidation>
    <dataValidation type="list" allowBlank="1" showInputMessage="1" showErrorMessage="1" sqref="F2" xr:uid="{195179CB-631E-406F-813C-B041ADB4D2C4}">
      <formula1>"○,-"</formula1>
    </dataValidation>
    <dataValidation type="list" allowBlank="1" showInputMessage="1" showErrorMessage="1" sqref="L13:P22 L43:P43 L48:P48 L33:P33 L38:P38 L28:P28 L55:P55 L57:P57 L59:P59 L61:P61 L63:P63" xr:uid="{33D05346-C890-4395-B824-263E39350991}">
      <formula1>FIELDリスト</formula1>
    </dataValidation>
    <dataValidation type="list" allowBlank="1" showInputMessage="1" showErrorMessage="1" sqref="L8:P8" xr:uid="{8B7FFE55-521D-4AF1-85BC-2D6EE444FDCF}">
      <formula1>FIELDリストNN</formula1>
    </dataValidation>
    <dataValidation type="whole" imeMode="off" operator="equal" allowBlank="1" showInputMessage="1" showErrorMessage="1" error="NotNullの場合は[1]を入力する。" sqref="E6:E105" xr:uid="{77D927E1-0DDD-459C-A227-0AE834F8A062}">
      <formula1>1</formula1>
    </dataValidation>
    <dataValidation type="list" allowBlank="1" showInputMessage="1" showErrorMessage="1" sqref="B6:B105" xr:uid="{29A7F950-7E67-457B-8EFB-ED5D45488C6B}">
      <formula1>項目リスト</formula1>
    </dataValidation>
    <dataValidation imeMode="on" allowBlank="1" showInputMessage="1" showErrorMessage="1" sqref="K12 A5 A1:A2 E2 K7 F6:H105 K54" xr:uid="{6060A9B4-BF13-4B22-B6D4-0992C8465444}"/>
  </dataValidations>
  <hyperlinks>
    <hyperlink ref="E1" location="一覧!R1C1" display="一覧へ" xr:uid="{DC797824-CA9E-49F1-93C5-7A35EB934EB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E6" sqref="E6:E9"/>
    </sheetView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148</v>
      </c>
      <c r="C5" t="s">
        <v>157</v>
      </c>
      <c r="E5" t="s">
        <v>188</v>
      </c>
    </row>
    <row r="6" spans="1:8">
      <c r="A6" s="68" t="s">
        <v>146</v>
      </c>
      <c r="C6" s="88"/>
    </row>
    <row r="7" spans="1:8">
      <c r="E7" s="102" t="s">
        <v>189</v>
      </c>
    </row>
    <row r="8" spans="1:8">
      <c r="A8" t="s">
        <v>149</v>
      </c>
      <c r="E8" s="102" t="s">
        <v>190</v>
      </c>
    </row>
    <row r="9" spans="1:8">
      <c r="A9" s="68" t="s">
        <v>147</v>
      </c>
      <c r="E9" s="102" t="s">
        <v>191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71</vt:i4>
      </vt:variant>
    </vt:vector>
  </HeadingPairs>
  <TitlesOfParts>
    <vt:vector size="78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一覧!ERRORS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FK_OPTION</vt:lpstr>
      <vt:lpstr>テンプレート!IS_MASTER</vt:lpstr>
      <vt:lpstr>受注!IS_MASTER</vt:lpstr>
      <vt:lpstr>受注明細!IS_MASTER</vt:lpstr>
      <vt:lpstr>得意先!IS_MASTER</vt:lpstr>
      <vt:lpstr>テンプレート!PK_AREA</vt:lpstr>
      <vt:lpstr>受注!PK_AREA</vt:lpstr>
      <vt:lpstr>受注明細!PK_AREA</vt:lpstr>
      <vt:lpstr>得意先!PK_AREA</vt:lpstr>
      <vt:lpstr>SCHEMA_EN</vt:lpstr>
      <vt:lpstr>SCHEMA_JP</vt:lpstr>
      <vt:lpstr>テンプレート!TABLE_AREA</vt:lpstr>
      <vt:lpstr>受注!TABLE_AREA</vt:lpstr>
      <vt:lpstr>受注明細!TABLE_AREA</vt:lpstr>
      <vt:lpstr>得意先!TABLE_AREA</vt:lpstr>
      <vt:lpstr>テンプレート!TABLE_COUNT</vt:lpstr>
      <vt:lpstr>受注!TABLE_COUNT</vt:lpstr>
      <vt:lpstr>受注明細!TABLE_COUNT</vt:lpstr>
      <vt:lpstr>得意先!TABLE_COUNT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2024-02-23T14:46:50Z</dcterms:modified>
</cp:coreProperties>
</file>