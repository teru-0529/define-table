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47D5ACDF-07B5-4F02-95FF-71AC71EB54E1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項目" sheetId="2" r:id="rId1"/>
    <sheet name="一覧" sheetId="1" r:id="rId2"/>
    <sheet name="テンプレート" sheetId="4" r:id="rId3"/>
    <sheet name="得意先" sheetId="278" r:id="rId4"/>
    <sheet name="受注" sheetId="279" r:id="rId5"/>
    <sheet name="受注明細" sheetId="280" r:id="rId6"/>
    <sheet name="WORK" sheetId="5" state="hidden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VALID">TRUE</definedName>
    <definedName name="VALIDATION_RESULT">TRUE</definedName>
    <definedName name="インデックスSTART" localSheetId="4">受注!$AK$6</definedName>
    <definedName name="インデックスSTART" localSheetId="5">受注明細!$AK$6</definedName>
    <definedName name="インデックスSTART" localSheetId="3">得意先!$AK$6</definedName>
    <definedName name="テーブル一覧START">一覧!$D$2</definedName>
    <definedName name="ユニーク_EXISTS" localSheetId="4">受注!$R$11</definedName>
    <definedName name="ユニーク_EXISTS" localSheetId="5">受注明細!$R$11</definedName>
    <definedName name="ユニーク_EXISTS" localSheetId="3">得意先!$R$11</definedName>
    <definedName name="ユニーク_EXISTS">テンプレート!$R$11</definedName>
    <definedName name="ユニーク_FORM" localSheetId="4">受注!$S$13:$S$22</definedName>
    <definedName name="ユニーク_FORM" localSheetId="5">受注明細!$S$13:$S$22</definedName>
    <definedName name="ユニーク_FORM" localSheetId="3">得意先!$S$13:$S$22</definedName>
    <definedName name="ユニーク_FORM">テンプレート!$S$13:$S$22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80" l="1"/>
  <c r="T105" i="280"/>
  <c r="I105" i="280"/>
  <c r="H105" i="280"/>
  <c r="V105" i="280" s="1"/>
  <c r="G105" i="280"/>
  <c r="D105" i="280"/>
  <c r="C105" i="280"/>
  <c r="U104" i="280"/>
  <c r="T104" i="280"/>
  <c r="I104" i="280"/>
  <c r="H104" i="280"/>
  <c r="V104" i="280" s="1"/>
  <c r="G104" i="280"/>
  <c r="D104" i="280"/>
  <c r="C104" i="280"/>
  <c r="U103" i="280"/>
  <c r="T103" i="280"/>
  <c r="I103" i="280"/>
  <c r="H103" i="280"/>
  <c r="V103" i="280" s="1"/>
  <c r="G103" i="280"/>
  <c r="D103" i="280"/>
  <c r="C103" i="280"/>
  <c r="U102" i="280"/>
  <c r="T102" i="280"/>
  <c r="I102" i="280"/>
  <c r="H102" i="280"/>
  <c r="V102" i="280" s="1"/>
  <c r="G102" i="280"/>
  <c r="D102" i="280"/>
  <c r="C102" i="280"/>
  <c r="U101" i="280"/>
  <c r="T101" i="280"/>
  <c r="I101" i="280"/>
  <c r="H101" i="280"/>
  <c r="V101" i="280" s="1"/>
  <c r="G101" i="280"/>
  <c r="D101" i="280"/>
  <c r="C101" i="280"/>
  <c r="U100" i="280"/>
  <c r="T100" i="280"/>
  <c r="I100" i="280"/>
  <c r="H100" i="280"/>
  <c r="V100" i="280" s="1"/>
  <c r="G100" i="280"/>
  <c r="D100" i="280"/>
  <c r="C100" i="280"/>
  <c r="U99" i="280"/>
  <c r="T99" i="280"/>
  <c r="I99" i="280"/>
  <c r="H99" i="280"/>
  <c r="V99" i="280" s="1"/>
  <c r="G99" i="280"/>
  <c r="D99" i="280"/>
  <c r="C99" i="280"/>
  <c r="U98" i="280"/>
  <c r="T98" i="280"/>
  <c r="I98" i="280"/>
  <c r="H98" i="280"/>
  <c r="V98" i="280" s="1"/>
  <c r="G98" i="280"/>
  <c r="D98" i="280"/>
  <c r="C98" i="280"/>
  <c r="U97" i="280"/>
  <c r="T97" i="280"/>
  <c r="I97" i="280"/>
  <c r="H97" i="280"/>
  <c r="V97" i="280" s="1"/>
  <c r="G97" i="280"/>
  <c r="D97" i="280"/>
  <c r="C97" i="280"/>
  <c r="U96" i="280"/>
  <c r="T96" i="280"/>
  <c r="I96" i="280"/>
  <c r="H96" i="280"/>
  <c r="V96" i="280" s="1"/>
  <c r="G96" i="280"/>
  <c r="D96" i="280"/>
  <c r="C96" i="280"/>
  <c r="U95" i="280"/>
  <c r="T95" i="280"/>
  <c r="I95" i="280"/>
  <c r="H95" i="280"/>
  <c r="V95" i="280" s="1"/>
  <c r="G95" i="280"/>
  <c r="D95" i="280"/>
  <c r="C95" i="280"/>
  <c r="U94" i="280"/>
  <c r="T94" i="280"/>
  <c r="I94" i="280"/>
  <c r="H94" i="280"/>
  <c r="V94" i="280" s="1"/>
  <c r="G94" i="280"/>
  <c r="D94" i="280"/>
  <c r="C94" i="280"/>
  <c r="U93" i="280"/>
  <c r="T93" i="280"/>
  <c r="I93" i="280"/>
  <c r="H93" i="280"/>
  <c r="V93" i="280" s="1"/>
  <c r="G93" i="280"/>
  <c r="D93" i="280"/>
  <c r="C93" i="280"/>
  <c r="U92" i="280"/>
  <c r="T92" i="280"/>
  <c r="I92" i="280"/>
  <c r="H92" i="280"/>
  <c r="V92" i="280" s="1"/>
  <c r="G92" i="280"/>
  <c r="D92" i="280"/>
  <c r="C92" i="280"/>
  <c r="U91" i="280"/>
  <c r="T91" i="280"/>
  <c r="I91" i="280"/>
  <c r="H91" i="280"/>
  <c r="V91" i="280" s="1"/>
  <c r="G91" i="280"/>
  <c r="D91" i="280"/>
  <c r="C91" i="280"/>
  <c r="U90" i="280"/>
  <c r="T90" i="280"/>
  <c r="I90" i="280"/>
  <c r="H90" i="280"/>
  <c r="V90" i="280" s="1"/>
  <c r="G90" i="280"/>
  <c r="D90" i="280"/>
  <c r="C90" i="280"/>
  <c r="U89" i="280"/>
  <c r="T89" i="280"/>
  <c r="I89" i="280"/>
  <c r="H89" i="280"/>
  <c r="V89" i="280" s="1"/>
  <c r="G89" i="280"/>
  <c r="D89" i="280"/>
  <c r="C89" i="280"/>
  <c r="U88" i="280"/>
  <c r="T88" i="280"/>
  <c r="I88" i="280"/>
  <c r="H88" i="280"/>
  <c r="V88" i="280" s="1"/>
  <c r="G88" i="280"/>
  <c r="D88" i="280"/>
  <c r="C88" i="280"/>
  <c r="U87" i="280"/>
  <c r="T87" i="280"/>
  <c r="I87" i="280"/>
  <c r="H87" i="280"/>
  <c r="V87" i="280" s="1"/>
  <c r="G87" i="280"/>
  <c r="D87" i="280"/>
  <c r="C87" i="280"/>
  <c r="U86" i="280"/>
  <c r="T86" i="280"/>
  <c r="I86" i="280"/>
  <c r="H86" i="280"/>
  <c r="V86" i="280" s="1"/>
  <c r="G86" i="280"/>
  <c r="D86" i="280"/>
  <c r="C86" i="280"/>
  <c r="U85" i="280"/>
  <c r="T85" i="280"/>
  <c r="I85" i="280"/>
  <c r="H85" i="280"/>
  <c r="V85" i="280" s="1"/>
  <c r="G85" i="280"/>
  <c r="D85" i="280"/>
  <c r="C85" i="280"/>
  <c r="U84" i="280"/>
  <c r="T84" i="280"/>
  <c r="I84" i="280"/>
  <c r="H84" i="280"/>
  <c r="V84" i="280" s="1"/>
  <c r="G84" i="280"/>
  <c r="D84" i="280"/>
  <c r="C84" i="280"/>
  <c r="U83" i="280"/>
  <c r="T83" i="280"/>
  <c r="I83" i="280"/>
  <c r="H83" i="280"/>
  <c r="V83" i="280" s="1"/>
  <c r="G83" i="280"/>
  <c r="D83" i="280"/>
  <c r="C83" i="280"/>
  <c r="U82" i="280"/>
  <c r="T82" i="280"/>
  <c r="I82" i="280"/>
  <c r="H82" i="280"/>
  <c r="V82" i="280" s="1"/>
  <c r="G82" i="280"/>
  <c r="D82" i="280"/>
  <c r="C82" i="280"/>
  <c r="U81" i="280"/>
  <c r="T81" i="280"/>
  <c r="I81" i="280"/>
  <c r="H81" i="280"/>
  <c r="V81" i="280" s="1"/>
  <c r="G81" i="280"/>
  <c r="D81" i="280"/>
  <c r="C81" i="280"/>
  <c r="U80" i="280"/>
  <c r="T80" i="280"/>
  <c r="I80" i="280"/>
  <c r="H80" i="280"/>
  <c r="V80" i="280" s="1"/>
  <c r="G80" i="280"/>
  <c r="D80" i="280"/>
  <c r="C80" i="280"/>
  <c r="U79" i="280"/>
  <c r="T79" i="280"/>
  <c r="I79" i="280"/>
  <c r="H79" i="280"/>
  <c r="V79" i="280" s="1"/>
  <c r="G79" i="280"/>
  <c r="D79" i="280"/>
  <c r="C79" i="280"/>
  <c r="U78" i="280"/>
  <c r="T78" i="280"/>
  <c r="I78" i="280"/>
  <c r="H78" i="280"/>
  <c r="V78" i="280" s="1"/>
  <c r="G78" i="280"/>
  <c r="D78" i="280"/>
  <c r="C78" i="280"/>
  <c r="U77" i="280"/>
  <c r="T77" i="280"/>
  <c r="I77" i="280"/>
  <c r="H77" i="280"/>
  <c r="V77" i="280" s="1"/>
  <c r="G77" i="280"/>
  <c r="D77" i="280"/>
  <c r="C77" i="280"/>
  <c r="U76" i="280"/>
  <c r="T76" i="280"/>
  <c r="I76" i="280"/>
  <c r="H76" i="280"/>
  <c r="V76" i="280" s="1"/>
  <c r="G76" i="280"/>
  <c r="D76" i="280"/>
  <c r="C76" i="280"/>
  <c r="U75" i="280"/>
  <c r="T75" i="280"/>
  <c r="I75" i="280"/>
  <c r="H75" i="280"/>
  <c r="V75" i="280" s="1"/>
  <c r="G75" i="280"/>
  <c r="D75" i="280"/>
  <c r="C75" i="280"/>
  <c r="AB74" i="280"/>
  <c r="AA74" i="280"/>
  <c r="Z74" i="280"/>
  <c r="Y74" i="280"/>
  <c r="X74" i="280"/>
  <c r="U74" i="280"/>
  <c r="T74" i="280"/>
  <c r="I74" i="280"/>
  <c r="H74" i="280"/>
  <c r="V74" i="280" s="1"/>
  <c r="G74" i="280"/>
  <c r="D74" i="280"/>
  <c r="C74" i="280"/>
  <c r="AB73" i="280"/>
  <c r="AA73" i="280"/>
  <c r="Z73" i="280"/>
  <c r="Y73" i="280"/>
  <c r="X73" i="280"/>
  <c r="U73" i="280"/>
  <c r="T73" i="280"/>
  <c r="I73" i="280"/>
  <c r="H73" i="280"/>
  <c r="V73" i="280" s="1"/>
  <c r="G73" i="280"/>
  <c r="D73" i="280"/>
  <c r="C73" i="280"/>
  <c r="AB72" i="280"/>
  <c r="AA72" i="280"/>
  <c r="Z72" i="280"/>
  <c r="Y72" i="280"/>
  <c r="X72" i="280"/>
  <c r="U72" i="280"/>
  <c r="T72" i="280"/>
  <c r="I72" i="280"/>
  <c r="H72" i="280"/>
  <c r="V72" i="280" s="1"/>
  <c r="G72" i="280"/>
  <c r="D72" i="280"/>
  <c r="C72" i="280"/>
  <c r="AB71" i="280"/>
  <c r="AA71" i="280"/>
  <c r="Z71" i="280"/>
  <c r="Y71" i="280"/>
  <c r="X71" i="280"/>
  <c r="U71" i="280"/>
  <c r="T71" i="280"/>
  <c r="I71" i="280"/>
  <c r="H71" i="280"/>
  <c r="V71" i="280" s="1"/>
  <c r="G71" i="280"/>
  <c r="D71" i="280"/>
  <c r="C71" i="280"/>
  <c r="AB70" i="280"/>
  <c r="AA70" i="280"/>
  <c r="Z70" i="280"/>
  <c r="Y70" i="280"/>
  <c r="X70" i="280"/>
  <c r="U70" i="280"/>
  <c r="T70" i="280"/>
  <c r="I70" i="280"/>
  <c r="H70" i="280"/>
  <c r="V70" i="280" s="1"/>
  <c r="G70" i="280"/>
  <c r="D70" i="280"/>
  <c r="C70" i="280"/>
  <c r="AB69" i="280"/>
  <c r="AA69" i="280"/>
  <c r="Z69" i="280"/>
  <c r="Y69" i="280"/>
  <c r="X69" i="280"/>
  <c r="U69" i="280"/>
  <c r="T69" i="280"/>
  <c r="I69" i="280"/>
  <c r="H69" i="280"/>
  <c r="V69" i="280" s="1"/>
  <c r="G69" i="280"/>
  <c r="D69" i="280"/>
  <c r="C69" i="280"/>
  <c r="AB68" i="280"/>
  <c r="AA68" i="280"/>
  <c r="Z68" i="280"/>
  <c r="Y68" i="280"/>
  <c r="X68" i="280"/>
  <c r="U68" i="280"/>
  <c r="T68" i="280"/>
  <c r="I68" i="280"/>
  <c r="H68" i="280"/>
  <c r="V68" i="280" s="1"/>
  <c r="G68" i="280"/>
  <c r="D68" i="280"/>
  <c r="C68" i="280"/>
  <c r="AB67" i="280"/>
  <c r="AA67" i="280"/>
  <c r="Z67" i="280"/>
  <c r="Y67" i="280"/>
  <c r="X67" i="280"/>
  <c r="U67" i="280"/>
  <c r="T67" i="280"/>
  <c r="I67" i="280"/>
  <c r="H67" i="280"/>
  <c r="V67" i="280" s="1"/>
  <c r="G67" i="280"/>
  <c r="D67" i="280"/>
  <c r="C67" i="280"/>
  <c r="AB66" i="280"/>
  <c r="AA66" i="280"/>
  <c r="Z66" i="280"/>
  <c r="Y66" i="280"/>
  <c r="X66" i="280"/>
  <c r="U66" i="280"/>
  <c r="T66" i="280"/>
  <c r="I66" i="280"/>
  <c r="H66" i="280"/>
  <c r="V66" i="280" s="1"/>
  <c r="G66" i="280"/>
  <c r="D66" i="280"/>
  <c r="C66" i="280"/>
  <c r="AB65" i="280"/>
  <c r="AA65" i="280"/>
  <c r="Z65" i="280"/>
  <c r="Y65" i="280"/>
  <c r="X65" i="280"/>
  <c r="U65" i="280"/>
  <c r="T65" i="280"/>
  <c r="I65" i="280"/>
  <c r="H65" i="280"/>
  <c r="V65" i="280" s="1"/>
  <c r="G65" i="280"/>
  <c r="D65" i="280"/>
  <c r="C65" i="280"/>
  <c r="U64" i="280"/>
  <c r="T64" i="280"/>
  <c r="I64" i="280"/>
  <c r="H64" i="280"/>
  <c r="V64" i="280" s="1"/>
  <c r="G64" i="280"/>
  <c r="D64" i="280"/>
  <c r="C64" i="280"/>
  <c r="U63" i="280"/>
  <c r="T63" i="280"/>
  <c r="I63" i="280"/>
  <c r="H63" i="280"/>
  <c r="V63" i="280" s="1"/>
  <c r="G63" i="280"/>
  <c r="D63" i="280"/>
  <c r="C63" i="280"/>
  <c r="U62" i="280"/>
  <c r="T62" i="280"/>
  <c r="I62" i="280"/>
  <c r="H62" i="280"/>
  <c r="V62" i="280" s="1"/>
  <c r="G62" i="280"/>
  <c r="D62" i="280"/>
  <c r="C62" i="280"/>
  <c r="AB61" i="280"/>
  <c r="AA61" i="280"/>
  <c r="Z61" i="280"/>
  <c r="Y61" i="280"/>
  <c r="X61" i="280"/>
  <c r="U61" i="280"/>
  <c r="T61" i="280"/>
  <c r="I61" i="280"/>
  <c r="H61" i="280"/>
  <c r="V61" i="280" s="1"/>
  <c r="G61" i="280"/>
  <c r="D61" i="280"/>
  <c r="C61" i="280"/>
  <c r="AB60" i="280"/>
  <c r="AA60" i="280"/>
  <c r="Z60" i="280"/>
  <c r="Y60" i="280"/>
  <c r="X60" i="280"/>
  <c r="U60" i="280"/>
  <c r="T60" i="280"/>
  <c r="I60" i="280"/>
  <c r="H60" i="280"/>
  <c r="V60" i="280" s="1"/>
  <c r="G60" i="280"/>
  <c r="D60" i="280"/>
  <c r="C60" i="280"/>
  <c r="AB59" i="280"/>
  <c r="AA59" i="280"/>
  <c r="Z59" i="280"/>
  <c r="Y59" i="280"/>
  <c r="X59" i="280"/>
  <c r="U59" i="280"/>
  <c r="T59" i="280"/>
  <c r="I59" i="280"/>
  <c r="H59" i="280"/>
  <c r="V59" i="280" s="1"/>
  <c r="G59" i="280"/>
  <c r="D59" i="280"/>
  <c r="C59" i="280"/>
  <c r="AB58" i="280"/>
  <c r="AA58" i="280"/>
  <c r="Z58" i="280"/>
  <c r="Y58" i="280"/>
  <c r="X58" i="280"/>
  <c r="U58" i="280"/>
  <c r="T58" i="280"/>
  <c r="I58" i="280"/>
  <c r="H58" i="280"/>
  <c r="V58" i="280" s="1"/>
  <c r="G58" i="280"/>
  <c r="D58" i="280"/>
  <c r="C58" i="280"/>
  <c r="AB57" i="280"/>
  <c r="AA57" i="280"/>
  <c r="Z57" i="280"/>
  <c r="Y57" i="280"/>
  <c r="X57" i="280"/>
  <c r="U57" i="280"/>
  <c r="T57" i="280"/>
  <c r="I57" i="280"/>
  <c r="H57" i="280"/>
  <c r="V57" i="280" s="1"/>
  <c r="G57" i="280"/>
  <c r="D57" i="280"/>
  <c r="C57" i="280"/>
  <c r="AB56" i="280"/>
  <c r="AA56" i="280"/>
  <c r="Z56" i="280"/>
  <c r="Y56" i="280"/>
  <c r="X56" i="280"/>
  <c r="U56" i="280"/>
  <c r="T56" i="280"/>
  <c r="I56" i="280"/>
  <c r="H56" i="280"/>
  <c r="V56" i="280" s="1"/>
  <c r="G56" i="280"/>
  <c r="D56" i="280"/>
  <c r="C56" i="280"/>
  <c r="AB55" i="280"/>
  <c r="AA55" i="280"/>
  <c r="Z55" i="280"/>
  <c r="Y55" i="280"/>
  <c r="X55" i="280"/>
  <c r="U55" i="280"/>
  <c r="T55" i="280"/>
  <c r="I55" i="280"/>
  <c r="H55" i="280"/>
  <c r="V55" i="280" s="1"/>
  <c r="G55" i="280"/>
  <c r="D55" i="280"/>
  <c r="C55" i="280"/>
  <c r="AB54" i="280"/>
  <c r="AA54" i="280"/>
  <c r="Z54" i="280"/>
  <c r="Y54" i="280"/>
  <c r="X54" i="280"/>
  <c r="U54" i="280"/>
  <c r="T54" i="280"/>
  <c r="I54" i="280"/>
  <c r="H54" i="280"/>
  <c r="V54" i="280" s="1"/>
  <c r="G54" i="280"/>
  <c r="D54" i="280"/>
  <c r="C54" i="280"/>
  <c r="AB53" i="280"/>
  <c r="AA53" i="280"/>
  <c r="Z53" i="280"/>
  <c r="Y53" i="280"/>
  <c r="X53" i="280"/>
  <c r="U53" i="280"/>
  <c r="T53" i="280"/>
  <c r="I53" i="280"/>
  <c r="H53" i="280"/>
  <c r="V53" i="280" s="1"/>
  <c r="G53" i="280"/>
  <c r="D53" i="280"/>
  <c r="C53" i="280"/>
  <c r="AB52" i="280"/>
  <c r="AA52" i="280"/>
  <c r="Z52" i="280"/>
  <c r="Y52" i="280"/>
  <c r="X52" i="280"/>
  <c r="U52" i="280"/>
  <c r="T52" i="280"/>
  <c r="I52" i="280"/>
  <c r="H52" i="280"/>
  <c r="V52" i="280" s="1"/>
  <c r="G52" i="280"/>
  <c r="D52" i="280"/>
  <c r="C52" i="280"/>
  <c r="U51" i="280"/>
  <c r="T51" i="280"/>
  <c r="I51" i="280"/>
  <c r="H51" i="280"/>
  <c r="V51" i="280" s="1"/>
  <c r="G51" i="280"/>
  <c r="D51" i="280"/>
  <c r="C51" i="280"/>
  <c r="U50" i="280"/>
  <c r="T50" i="280"/>
  <c r="I50" i="280"/>
  <c r="H50" i="280"/>
  <c r="V50" i="280" s="1"/>
  <c r="G50" i="280"/>
  <c r="D50" i="280"/>
  <c r="C50" i="280"/>
  <c r="U49" i="280"/>
  <c r="T49" i="280"/>
  <c r="I49" i="280"/>
  <c r="H49" i="280"/>
  <c r="V49" i="280" s="1"/>
  <c r="G49" i="280"/>
  <c r="D49" i="280"/>
  <c r="C49" i="280"/>
  <c r="U48" i="280"/>
  <c r="T48" i="280"/>
  <c r="I48" i="280"/>
  <c r="H48" i="280"/>
  <c r="V48" i="280" s="1"/>
  <c r="G48" i="280"/>
  <c r="D48" i="280"/>
  <c r="C48" i="280"/>
  <c r="U47" i="280"/>
  <c r="T47" i="280"/>
  <c r="I47" i="280"/>
  <c r="H47" i="280"/>
  <c r="V47" i="280" s="1"/>
  <c r="G47" i="280"/>
  <c r="D47" i="280"/>
  <c r="C47" i="280"/>
  <c r="U46" i="280"/>
  <c r="T46" i="280"/>
  <c r="I46" i="280"/>
  <c r="H46" i="280"/>
  <c r="V46" i="280" s="1"/>
  <c r="G46" i="280"/>
  <c r="D46" i="280"/>
  <c r="C46" i="280"/>
  <c r="U45" i="280"/>
  <c r="T45" i="280"/>
  <c r="I45" i="280"/>
  <c r="H45" i="280"/>
  <c r="V45" i="280" s="1"/>
  <c r="G45" i="280"/>
  <c r="D45" i="280"/>
  <c r="C45" i="280"/>
  <c r="U44" i="280"/>
  <c r="T44" i="280"/>
  <c r="I44" i="280"/>
  <c r="H44" i="280"/>
  <c r="V44" i="280" s="1"/>
  <c r="G44" i="280"/>
  <c r="D44" i="280"/>
  <c r="C44" i="280"/>
  <c r="U43" i="280"/>
  <c r="T43" i="280"/>
  <c r="I43" i="280"/>
  <c r="H43" i="280"/>
  <c r="V43" i="280" s="1"/>
  <c r="G43" i="280"/>
  <c r="D43" i="280"/>
  <c r="C43" i="280"/>
  <c r="U42" i="280"/>
  <c r="T42" i="280"/>
  <c r="I42" i="280"/>
  <c r="H42" i="280"/>
  <c r="V42" i="280" s="1"/>
  <c r="G42" i="280"/>
  <c r="D42" i="280"/>
  <c r="C42" i="280"/>
  <c r="U41" i="280"/>
  <c r="T41" i="280"/>
  <c r="I41" i="280"/>
  <c r="H41" i="280"/>
  <c r="V41" i="280" s="1"/>
  <c r="G41" i="280"/>
  <c r="D41" i="280"/>
  <c r="C41" i="280"/>
  <c r="U40" i="280"/>
  <c r="T40" i="280"/>
  <c r="I40" i="280"/>
  <c r="H40" i="280"/>
  <c r="V40" i="280" s="1"/>
  <c r="G40" i="280"/>
  <c r="D40" i="280"/>
  <c r="C40" i="280"/>
  <c r="U39" i="280"/>
  <c r="T39" i="280"/>
  <c r="I39" i="280"/>
  <c r="H39" i="280"/>
  <c r="V39" i="280" s="1"/>
  <c r="G39" i="280"/>
  <c r="D39" i="280"/>
  <c r="C39" i="280"/>
  <c r="U38" i="280"/>
  <c r="T38" i="280"/>
  <c r="I38" i="280"/>
  <c r="H38" i="280"/>
  <c r="V38" i="280" s="1"/>
  <c r="G38" i="280"/>
  <c r="D38" i="280"/>
  <c r="C38" i="280"/>
  <c r="U37" i="280"/>
  <c r="T37" i="280"/>
  <c r="I37" i="280"/>
  <c r="H37" i="280"/>
  <c r="V37" i="280" s="1"/>
  <c r="G37" i="280"/>
  <c r="D37" i="280"/>
  <c r="C37" i="280"/>
  <c r="U36" i="280"/>
  <c r="T36" i="280"/>
  <c r="I36" i="280"/>
  <c r="H36" i="280"/>
  <c r="V36" i="280" s="1"/>
  <c r="G36" i="280"/>
  <c r="D36" i="280"/>
  <c r="C36" i="280"/>
  <c r="U35" i="280"/>
  <c r="T35" i="280"/>
  <c r="I35" i="280"/>
  <c r="H35" i="280"/>
  <c r="V35" i="280" s="1"/>
  <c r="G35" i="280"/>
  <c r="D35" i="280"/>
  <c r="C35" i="280"/>
  <c r="U34" i="280"/>
  <c r="T34" i="280"/>
  <c r="I34" i="280"/>
  <c r="H34" i="280"/>
  <c r="V34" i="280" s="1"/>
  <c r="G34" i="280"/>
  <c r="D34" i="280"/>
  <c r="C34" i="280"/>
  <c r="U33" i="280"/>
  <c r="T33" i="280"/>
  <c r="I33" i="280"/>
  <c r="H33" i="280"/>
  <c r="V33" i="280" s="1"/>
  <c r="G33" i="280"/>
  <c r="D33" i="280"/>
  <c r="C33" i="280"/>
  <c r="U32" i="280"/>
  <c r="T32" i="280"/>
  <c r="I32" i="280"/>
  <c r="H32" i="280"/>
  <c r="V32" i="280" s="1"/>
  <c r="G32" i="280"/>
  <c r="D32" i="280"/>
  <c r="C32" i="280"/>
  <c r="U31" i="280"/>
  <c r="T31" i="280"/>
  <c r="I31" i="280"/>
  <c r="H31" i="280"/>
  <c r="V31" i="280" s="1"/>
  <c r="G31" i="280"/>
  <c r="D31" i="280"/>
  <c r="C31" i="280"/>
  <c r="U30" i="280"/>
  <c r="T30" i="280"/>
  <c r="I30" i="280"/>
  <c r="H30" i="280"/>
  <c r="V30" i="280" s="1"/>
  <c r="G30" i="280"/>
  <c r="D30" i="280"/>
  <c r="C30" i="280"/>
  <c r="U29" i="280"/>
  <c r="T29" i="280"/>
  <c r="I29" i="280"/>
  <c r="H29" i="280"/>
  <c r="V29" i="280" s="1"/>
  <c r="G29" i="280"/>
  <c r="D29" i="280"/>
  <c r="C29" i="280"/>
  <c r="U28" i="280"/>
  <c r="T28" i="280"/>
  <c r="I28" i="280"/>
  <c r="H28" i="280"/>
  <c r="V28" i="280" s="1"/>
  <c r="G28" i="280"/>
  <c r="D28" i="280"/>
  <c r="C28" i="280"/>
  <c r="U27" i="280"/>
  <c r="T27" i="280"/>
  <c r="I27" i="280"/>
  <c r="H27" i="280"/>
  <c r="V27" i="280" s="1"/>
  <c r="G27" i="280"/>
  <c r="D27" i="280"/>
  <c r="C27" i="280"/>
  <c r="U26" i="280"/>
  <c r="T26" i="280"/>
  <c r="I26" i="280"/>
  <c r="H26" i="280"/>
  <c r="V26" i="280" s="1"/>
  <c r="G26" i="280"/>
  <c r="D26" i="280"/>
  <c r="C26" i="280"/>
  <c r="U25" i="280"/>
  <c r="T25" i="280"/>
  <c r="I25" i="280"/>
  <c r="H25" i="280"/>
  <c r="V25" i="280" s="1"/>
  <c r="G25" i="280"/>
  <c r="D25" i="280"/>
  <c r="C25" i="280"/>
  <c r="U24" i="280"/>
  <c r="T24" i="280"/>
  <c r="I24" i="280"/>
  <c r="H24" i="280"/>
  <c r="V24" i="280" s="1"/>
  <c r="G24" i="280"/>
  <c r="D24" i="280"/>
  <c r="C24" i="280"/>
  <c r="U23" i="280"/>
  <c r="T23" i="280"/>
  <c r="I23" i="280"/>
  <c r="H23" i="280"/>
  <c r="V23" i="280" s="1"/>
  <c r="G23" i="280"/>
  <c r="D23" i="280"/>
  <c r="C23" i="280"/>
  <c r="AO22" i="280"/>
  <c r="AN22" i="280"/>
  <c r="AM22" i="280"/>
  <c r="AL22" i="280"/>
  <c r="AK22" i="280"/>
  <c r="U22" i="280"/>
  <c r="T22" i="280"/>
  <c r="R22" i="280"/>
  <c r="S22" i="280" s="1"/>
  <c r="I22" i="280"/>
  <c r="H22" i="280"/>
  <c r="V22" i="280" s="1"/>
  <c r="G22" i="280"/>
  <c r="D22" i="280"/>
  <c r="C22" i="280"/>
  <c r="AO21" i="280"/>
  <c r="AN21" i="280"/>
  <c r="AM21" i="280"/>
  <c r="AL21" i="280"/>
  <c r="AK21" i="280"/>
  <c r="U21" i="280"/>
  <c r="T21" i="280"/>
  <c r="S21" i="280"/>
  <c r="R21" i="280"/>
  <c r="AD21" i="280" s="1"/>
  <c r="I21" i="280"/>
  <c r="H21" i="280"/>
  <c r="V21" i="280" s="1"/>
  <c r="G21" i="280"/>
  <c r="D21" i="280"/>
  <c r="C21" i="280"/>
  <c r="AO20" i="280"/>
  <c r="AN20" i="280"/>
  <c r="AM20" i="280"/>
  <c r="AL20" i="280"/>
  <c r="AK20" i="280"/>
  <c r="U20" i="280"/>
  <c r="T20" i="280"/>
  <c r="S20" i="280"/>
  <c r="R20" i="280"/>
  <c r="I20" i="280"/>
  <c r="H20" i="280"/>
  <c r="V20" i="280" s="1"/>
  <c r="G20" i="280"/>
  <c r="D20" i="280"/>
  <c r="C20" i="280"/>
  <c r="AO19" i="280"/>
  <c r="AN19" i="280"/>
  <c r="AM19" i="280"/>
  <c r="AL19" i="280"/>
  <c r="AK19" i="280"/>
  <c r="U19" i="280"/>
  <c r="T19" i="280"/>
  <c r="S19" i="280"/>
  <c r="R19" i="280"/>
  <c r="AD19" i="280" s="1"/>
  <c r="I19" i="280"/>
  <c r="H19" i="280"/>
  <c r="V19" i="280" s="1"/>
  <c r="G19" i="280"/>
  <c r="D19" i="280"/>
  <c r="C19" i="280"/>
  <c r="AO18" i="280"/>
  <c r="AN18" i="280"/>
  <c r="AM18" i="280"/>
  <c r="AL18" i="280"/>
  <c r="AK18" i="280"/>
  <c r="U18" i="280"/>
  <c r="T18" i="280"/>
  <c r="R18" i="280"/>
  <c r="S18" i="280" s="1"/>
  <c r="I18" i="280"/>
  <c r="H18" i="280"/>
  <c r="V18" i="280" s="1"/>
  <c r="G18" i="280"/>
  <c r="D18" i="280"/>
  <c r="C18" i="280"/>
  <c r="AO17" i="280"/>
  <c r="AN17" i="280"/>
  <c r="AM17" i="280"/>
  <c r="AL17" i="280"/>
  <c r="AK17" i="280"/>
  <c r="U17" i="280"/>
  <c r="T17" i="280"/>
  <c r="R17" i="280"/>
  <c r="AD14" i="280" s="1"/>
  <c r="I17" i="280"/>
  <c r="H17" i="280"/>
  <c r="V17" i="280" s="1"/>
  <c r="G17" i="280"/>
  <c r="D17" i="280"/>
  <c r="C17" i="280"/>
  <c r="AO16" i="280"/>
  <c r="AN16" i="280"/>
  <c r="AM16" i="280"/>
  <c r="AL16" i="280"/>
  <c r="AK16" i="280"/>
  <c r="U16" i="280"/>
  <c r="T16" i="280"/>
  <c r="R16" i="280"/>
  <c r="I16" i="280"/>
  <c r="H16" i="280"/>
  <c r="V16" i="280" s="1"/>
  <c r="G16" i="280"/>
  <c r="D16" i="280"/>
  <c r="C16" i="280"/>
  <c r="AO15" i="280"/>
  <c r="AN15" i="280"/>
  <c r="AM15" i="280"/>
  <c r="AL15" i="280"/>
  <c r="AK15" i="280"/>
  <c r="AD15" i="280"/>
  <c r="U15" i="280"/>
  <c r="T15" i="280"/>
  <c r="S15" i="280"/>
  <c r="R15" i="280"/>
  <c r="I15" i="280"/>
  <c r="H15" i="280"/>
  <c r="V15" i="280" s="1"/>
  <c r="G15" i="280"/>
  <c r="D15" i="280"/>
  <c r="C15" i="280"/>
  <c r="AO14" i="280"/>
  <c r="AN14" i="280"/>
  <c r="AM14" i="280"/>
  <c r="AL14" i="280"/>
  <c r="AK14" i="280"/>
  <c r="U14" i="280"/>
  <c r="T14" i="280"/>
  <c r="R14" i="280"/>
  <c r="S14" i="280" s="1"/>
  <c r="I14" i="280"/>
  <c r="H14" i="280"/>
  <c r="V14" i="280" s="1"/>
  <c r="G14" i="280"/>
  <c r="D14" i="280"/>
  <c r="C14" i="280"/>
  <c r="AO13" i="280"/>
  <c r="AN13" i="280"/>
  <c r="AM13" i="280"/>
  <c r="AL13" i="280"/>
  <c r="AK13" i="280"/>
  <c r="U13" i="280"/>
  <c r="T13" i="280"/>
  <c r="S13" i="280"/>
  <c r="R13" i="280"/>
  <c r="AD13" i="280" s="1"/>
  <c r="I13" i="280"/>
  <c r="H13" i="280"/>
  <c r="V13" i="280" s="1"/>
  <c r="G13" i="280"/>
  <c r="D13" i="280"/>
  <c r="C13" i="280"/>
  <c r="U12" i="280"/>
  <c r="T12" i="280"/>
  <c r="I12" i="280"/>
  <c r="H12" i="280"/>
  <c r="V12" i="280" s="1"/>
  <c r="G12" i="280"/>
  <c r="D12" i="280"/>
  <c r="C12" i="280"/>
  <c r="U11" i="280"/>
  <c r="T11" i="280"/>
  <c r="I11" i="280"/>
  <c r="H11" i="280"/>
  <c r="V11" i="280" s="1"/>
  <c r="G11" i="280"/>
  <c r="D11" i="280"/>
  <c r="C11" i="280"/>
  <c r="U10" i="280"/>
  <c r="T10" i="280"/>
  <c r="I10" i="280"/>
  <c r="H10" i="280"/>
  <c r="V10" i="280" s="1"/>
  <c r="G10" i="280"/>
  <c r="D10" i="280"/>
  <c r="C10" i="280"/>
  <c r="U9" i="280"/>
  <c r="T9" i="280"/>
  <c r="I9" i="280"/>
  <c r="H9" i="280"/>
  <c r="V9" i="280" s="1"/>
  <c r="G9" i="280"/>
  <c r="D9" i="280"/>
  <c r="C9" i="280"/>
  <c r="AO8" i="280"/>
  <c r="AN8" i="280"/>
  <c r="AM8" i="280"/>
  <c r="AC8" i="280"/>
  <c r="AB8" i="280"/>
  <c r="AA8" i="280"/>
  <c r="Z8" i="280"/>
  <c r="Y8" i="280"/>
  <c r="U8" i="280"/>
  <c r="T8" i="280"/>
  <c r="I8" i="280"/>
  <c r="H8" i="280"/>
  <c r="V8" i="280" s="1"/>
  <c r="G8" i="280"/>
  <c r="D8" i="280"/>
  <c r="C8" i="280"/>
  <c r="AG7" i="280"/>
  <c r="U7" i="280"/>
  <c r="T7" i="280"/>
  <c r="I7" i="280"/>
  <c r="H7" i="280"/>
  <c r="V7" i="280" s="1"/>
  <c r="G7" i="280"/>
  <c r="D7" i="280"/>
  <c r="C7" i="280"/>
  <c r="AL8" i="280" s="1"/>
  <c r="U6" i="280"/>
  <c r="T6" i="280"/>
  <c r="I6" i="280"/>
  <c r="H6" i="280"/>
  <c r="V6" i="280" s="1"/>
  <c r="G6" i="280"/>
  <c r="D6" i="280"/>
  <c r="C6" i="280"/>
  <c r="AK8" i="280" s="1"/>
  <c r="AJ5" i="280"/>
  <c r="AC7" i="280" s="1"/>
  <c r="AI5" i="280"/>
  <c r="Y22" i="280" s="1"/>
  <c r="AG3" i="280"/>
  <c r="C2" i="280" a="1"/>
  <c r="C2" i="280" s="1"/>
  <c r="B2" i="280" a="1"/>
  <c r="B2" i="280" s="1"/>
  <c r="C1" i="280"/>
  <c r="B1" i="280"/>
  <c r="U105" i="279"/>
  <c r="T105" i="279"/>
  <c r="I105" i="279"/>
  <c r="H105" i="279"/>
  <c r="V105" i="279" s="1"/>
  <c r="G105" i="279"/>
  <c r="D105" i="279"/>
  <c r="C105" i="279"/>
  <c r="U104" i="279"/>
  <c r="T104" i="279"/>
  <c r="I104" i="279"/>
  <c r="H104" i="279"/>
  <c r="V104" i="279" s="1"/>
  <c r="G104" i="279"/>
  <c r="D104" i="279"/>
  <c r="C104" i="279"/>
  <c r="U103" i="279"/>
  <c r="T103" i="279"/>
  <c r="I103" i="279"/>
  <c r="H103" i="279"/>
  <c r="V103" i="279" s="1"/>
  <c r="G103" i="279"/>
  <c r="D103" i="279"/>
  <c r="C103" i="279"/>
  <c r="U102" i="279"/>
  <c r="T102" i="279"/>
  <c r="I102" i="279"/>
  <c r="H102" i="279"/>
  <c r="V102" i="279" s="1"/>
  <c r="G102" i="279"/>
  <c r="D102" i="279"/>
  <c r="C102" i="279"/>
  <c r="U101" i="279"/>
  <c r="T101" i="279"/>
  <c r="I101" i="279"/>
  <c r="H101" i="279"/>
  <c r="V101" i="279" s="1"/>
  <c r="G101" i="279"/>
  <c r="D101" i="279"/>
  <c r="C101" i="279"/>
  <c r="U100" i="279"/>
  <c r="T100" i="279"/>
  <c r="I100" i="279"/>
  <c r="H100" i="279"/>
  <c r="V100" i="279" s="1"/>
  <c r="G100" i="279"/>
  <c r="D100" i="279"/>
  <c r="C100" i="279"/>
  <c r="U99" i="279"/>
  <c r="T99" i="279"/>
  <c r="I99" i="279"/>
  <c r="H99" i="279"/>
  <c r="V99" i="279" s="1"/>
  <c r="G99" i="279"/>
  <c r="D99" i="279"/>
  <c r="C99" i="279"/>
  <c r="U98" i="279"/>
  <c r="T98" i="279"/>
  <c r="I98" i="279"/>
  <c r="H98" i="279"/>
  <c r="V98" i="279" s="1"/>
  <c r="G98" i="279"/>
  <c r="D98" i="279"/>
  <c r="C98" i="279"/>
  <c r="U97" i="279"/>
  <c r="T97" i="279"/>
  <c r="I97" i="279"/>
  <c r="H97" i="279"/>
  <c r="V97" i="279" s="1"/>
  <c r="G97" i="279"/>
  <c r="D97" i="279"/>
  <c r="C97" i="279"/>
  <c r="U96" i="279"/>
  <c r="T96" i="279"/>
  <c r="I96" i="279"/>
  <c r="H96" i="279"/>
  <c r="V96" i="279" s="1"/>
  <c r="G96" i="279"/>
  <c r="D96" i="279"/>
  <c r="C96" i="279"/>
  <c r="U95" i="279"/>
  <c r="T95" i="279"/>
  <c r="I95" i="279"/>
  <c r="H95" i="279"/>
  <c r="V95" i="279" s="1"/>
  <c r="G95" i="279"/>
  <c r="D95" i="279"/>
  <c r="C95" i="279"/>
  <c r="U94" i="279"/>
  <c r="T94" i="279"/>
  <c r="I94" i="279"/>
  <c r="H94" i="279"/>
  <c r="V94" i="279" s="1"/>
  <c r="G94" i="279"/>
  <c r="D94" i="279"/>
  <c r="C94" i="279"/>
  <c r="U93" i="279"/>
  <c r="T93" i="279"/>
  <c r="I93" i="279"/>
  <c r="H93" i="279"/>
  <c r="V93" i="279" s="1"/>
  <c r="G93" i="279"/>
  <c r="D93" i="279"/>
  <c r="C93" i="279"/>
  <c r="U92" i="279"/>
  <c r="T92" i="279"/>
  <c r="I92" i="279"/>
  <c r="H92" i="279"/>
  <c r="V92" i="279" s="1"/>
  <c r="G92" i="279"/>
  <c r="D92" i="279"/>
  <c r="C92" i="279"/>
  <c r="U91" i="279"/>
  <c r="T91" i="279"/>
  <c r="I91" i="279"/>
  <c r="H91" i="279"/>
  <c r="V91" i="279" s="1"/>
  <c r="G91" i="279"/>
  <c r="D91" i="279"/>
  <c r="C91" i="279"/>
  <c r="U90" i="279"/>
  <c r="T90" i="279"/>
  <c r="I90" i="279"/>
  <c r="H90" i="279"/>
  <c r="V90" i="279" s="1"/>
  <c r="G90" i="279"/>
  <c r="D90" i="279"/>
  <c r="C90" i="279"/>
  <c r="U89" i="279"/>
  <c r="T89" i="279"/>
  <c r="I89" i="279"/>
  <c r="H89" i="279"/>
  <c r="V89" i="279" s="1"/>
  <c r="G89" i="279"/>
  <c r="D89" i="279"/>
  <c r="C89" i="279"/>
  <c r="U88" i="279"/>
  <c r="T88" i="279"/>
  <c r="I88" i="279"/>
  <c r="H88" i="279"/>
  <c r="V88" i="279" s="1"/>
  <c r="G88" i="279"/>
  <c r="D88" i="279"/>
  <c r="C88" i="279"/>
  <c r="U87" i="279"/>
  <c r="T87" i="279"/>
  <c r="I87" i="279"/>
  <c r="H87" i="279"/>
  <c r="V87" i="279" s="1"/>
  <c r="G87" i="279"/>
  <c r="D87" i="279"/>
  <c r="C87" i="279"/>
  <c r="U86" i="279"/>
  <c r="T86" i="279"/>
  <c r="I86" i="279"/>
  <c r="H86" i="279"/>
  <c r="V86" i="279" s="1"/>
  <c r="G86" i="279"/>
  <c r="D86" i="279"/>
  <c r="C86" i="279"/>
  <c r="U85" i="279"/>
  <c r="T85" i="279"/>
  <c r="I85" i="279"/>
  <c r="H85" i="279"/>
  <c r="V85" i="279" s="1"/>
  <c r="G85" i="279"/>
  <c r="D85" i="279"/>
  <c r="C85" i="279"/>
  <c r="U84" i="279"/>
  <c r="T84" i="279"/>
  <c r="I84" i="279"/>
  <c r="H84" i="279"/>
  <c r="V84" i="279" s="1"/>
  <c r="G84" i="279"/>
  <c r="D84" i="279"/>
  <c r="C84" i="279"/>
  <c r="U83" i="279"/>
  <c r="T83" i="279"/>
  <c r="I83" i="279"/>
  <c r="H83" i="279"/>
  <c r="V83" i="279" s="1"/>
  <c r="G83" i="279"/>
  <c r="D83" i="279"/>
  <c r="C83" i="279"/>
  <c r="U82" i="279"/>
  <c r="T82" i="279"/>
  <c r="I82" i="279"/>
  <c r="H82" i="279"/>
  <c r="V82" i="279" s="1"/>
  <c r="G82" i="279"/>
  <c r="D82" i="279"/>
  <c r="C82" i="279"/>
  <c r="U81" i="279"/>
  <c r="T81" i="279"/>
  <c r="I81" i="279"/>
  <c r="H81" i="279"/>
  <c r="V81" i="279" s="1"/>
  <c r="G81" i="279"/>
  <c r="D81" i="279"/>
  <c r="C81" i="279"/>
  <c r="U80" i="279"/>
  <c r="T80" i="279"/>
  <c r="I80" i="279"/>
  <c r="H80" i="279"/>
  <c r="V80" i="279" s="1"/>
  <c r="G80" i="279"/>
  <c r="D80" i="279"/>
  <c r="C80" i="279"/>
  <c r="U79" i="279"/>
  <c r="T79" i="279"/>
  <c r="I79" i="279"/>
  <c r="H79" i="279"/>
  <c r="V79" i="279" s="1"/>
  <c r="G79" i="279"/>
  <c r="D79" i="279"/>
  <c r="C79" i="279"/>
  <c r="U78" i="279"/>
  <c r="T78" i="279"/>
  <c r="I78" i="279"/>
  <c r="H78" i="279"/>
  <c r="V78" i="279" s="1"/>
  <c r="G78" i="279"/>
  <c r="D78" i="279"/>
  <c r="C78" i="279"/>
  <c r="U77" i="279"/>
  <c r="T77" i="279"/>
  <c r="I77" i="279"/>
  <c r="H77" i="279"/>
  <c r="V77" i="279" s="1"/>
  <c r="G77" i="279"/>
  <c r="D77" i="279"/>
  <c r="C77" i="279"/>
  <c r="U76" i="279"/>
  <c r="T76" i="279"/>
  <c r="I76" i="279"/>
  <c r="H76" i="279"/>
  <c r="V76" i="279" s="1"/>
  <c r="G76" i="279"/>
  <c r="D76" i="279"/>
  <c r="C76" i="279"/>
  <c r="U75" i="279"/>
  <c r="T75" i="279"/>
  <c r="I75" i="279"/>
  <c r="H75" i="279"/>
  <c r="V75" i="279" s="1"/>
  <c r="G75" i="279"/>
  <c r="D75" i="279"/>
  <c r="C75" i="279"/>
  <c r="AB74" i="279"/>
  <c r="AA74" i="279"/>
  <c r="Z74" i="279"/>
  <c r="Y74" i="279"/>
  <c r="X74" i="279"/>
  <c r="U74" i="279"/>
  <c r="T74" i="279"/>
  <c r="I74" i="279"/>
  <c r="H74" i="279"/>
  <c r="V74" i="279" s="1"/>
  <c r="G74" i="279"/>
  <c r="D74" i="279"/>
  <c r="C74" i="279"/>
  <c r="AB73" i="279"/>
  <c r="AA73" i="279"/>
  <c r="Z73" i="279"/>
  <c r="Y73" i="279"/>
  <c r="X73" i="279"/>
  <c r="U73" i="279"/>
  <c r="T73" i="279"/>
  <c r="I73" i="279"/>
  <c r="H73" i="279"/>
  <c r="V73" i="279" s="1"/>
  <c r="G73" i="279"/>
  <c r="D73" i="279"/>
  <c r="C73" i="279"/>
  <c r="AB72" i="279"/>
  <c r="AA72" i="279"/>
  <c r="Z72" i="279"/>
  <c r="Y72" i="279"/>
  <c r="X72" i="279"/>
  <c r="U72" i="279"/>
  <c r="T72" i="279"/>
  <c r="I72" i="279"/>
  <c r="H72" i="279"/>
  <c r="V72" i="279" s="1"/>
  <c r="G72" i="279"/>
  <c r="D72" i="279"/>
  <c r="C72" i="279"/>
  <c r="AB71" i="279"/>
  <c r="AA71" i="279"/>
  <c r="Z71" i="279"/>
  <c r="Y71" i="279"/>
  <c r="X71" i="279"/>
  <c r="U71" i="279"/>
  <c r="T71" i="279"/>
  <c r="I71" i="279"/>
  <c r="H71" i="279"/>
  <c r="V71" i="279" s="1"/>
  <c r="G71" i="279"/>
  <c r="D71" i="279"/>
  <c r="C71" i="279"/>
  <c r="AB70" i="279"/>
  <c r="AA70" i="279"/>
  <c r="Z70" i="279"/>
  <c r="Y70" i="279"/>
  <c r="X70" i="279"/>
  <c r="U70" i="279"/>
  <c r="T70" i="279"/>
  <c r="I70" i="279"/>
  <c r="H70" i="279"/>
  <c r="V70" i="279" s="1"/>
  <c r="G70" i="279"/>
  <c r="D70" i="279"/>
  <c r="C70" i="279"/>
  <c r="AB69" i="279"/>
  <c r="AA69" i="279"/>
  <c r="Z69" i="279"/>
  <c r="Y69" i="279"/>
  <c r="X69" i="279"/>
  <c r="U69" i="279"/>
  <c r="T69" i="279"/>
  <c r="I69" i="279"/>
  <c r="H69" i="279"/>
  <c r="V69" i="279" s="1"/>
  <c r="G69" i="279"/>
  <c r="D69" i="279"/>
  <c r="C69" i="279"/>
  <c r="AB68" i="279"/>
  <c r="AA68" i="279"/>
  <c r="Z68" i="279"/>
  <c r="Y68" i="279"/>
  <c r="X68" i="279"/>
  <c r="U68" i="279"/>
  <c r="T68" i="279"/>
  <c r="I68" i="279"/>
  <c r="H68" i="279"/>
  <c r="V68" i="279" s="1"/>
  <c r="G68" i="279"/>
  <c r="D68" i="279"/>
  <c r="C68" i="279"/>
  <c r="AB67" i="279"/>
  <c r="AA67" i="279"/>
  <c r="Z67" i="279"/>
  <c r="Y67" i="279"/>
  <c r="X67" i="279"/>
  <c r="U67" i="279"/>
  <c r="T67" i="279"/>
  <c r="I67" i="279"/>
  <c r="H67" i="279"/>
  <c r="V67" i="279" s="1"/>
  <c r="G67" i="279"/>
  <c r="D67" i="279"/>
  <c r="C67" i="279"/>
  <c r="AB66" i="279"/>
  <c r="AA66" i="279"/>
  <c r="Z66" i="279"/>
  <c r="Y66" i="279"/>
  <c r="X66" i="279"/>
  <c r="U66" i="279"/>
  <c r="T66" i="279"/>
  <c r="I66" i="279"/>
  <c r="H66" i="279"/>
  <c r="V66" i="279" s="1"/>
  <c r="G66" i="279"/>
  <c r="D66" i="279"/>
  <c r="C66" i="279"/>
  <c r="AB65" i="279"/>
  <c r="AA65" i="279"/>
  <c r="Z65" i="279"/>
  <c r="Y65" i="279"/>
  <c r="X65" i="279"/>
  <c r="U65" i="279"/>
  <c r="T65" i="279"/>
  <c r="I65" i="279"/>
  <c r="H65" i="279"/>
  <c r="V65" i="279" s="1"/>
  <c r="G65" i="279"/>
  <c r="D65" i="279"/>
  <c r="C65" i="279"/>
  <c r="U64" i="279"/>
  <c r="T64" i="279"/>
  <c r="I64" i="279"/>
  <c r="H64" i="279"/>
  <c r="V64" i="279" s="1"/>
  <c r="G64" i="279"/>
  <c r="D64" i="279"/>
  <c r="C64" i="279"/>
  <c r="U63" i="279"/>
  <c r="T63" i="279"/>
  <c r="I63" i="279"/>
  <c r="H63" i="279"/>
  <c r="V63" i="279" s="1"/>
  <c r="G63" i="279"/>
  <c r="D63" i="279"/>
  <c r="C63" i="279"/>
  <c r="U62" i="279"/>
  <c r="T62" i="279"/>
  <c r="I62" i="279"/>
  <c r="H62" i="279"/>
  <c r="V62" i="279" s="1"/>
  <c r="G62" i="279"/>
  <c r="D62" i="279"/>
  <c r="C62" i="279"/>
  <c r="AB61" i="279"/>
  <c r="AA61" i="279"/>
  <c r="Z61" i="279"/>
  <c r="Y61" i="279"/>
  <c r="X61" i="279"/>
  <c r="U61" i="279"/>
  <c r="T61" i="279"/>
  <c r="I61" i="279"/>
  <c r="H61" i="279"/>
  <c r="V61" i="279" s="1"/>
  <c r="G61" i="279"/>
  <c r="D61" i="279"/>
  <c r="C61" i="279"/>
  <c r="AB60" i="279"/>
  <c r="AA60" i="279"/>
  <c r="Z60" i="279"/>
  <c r="Y60" i="279"/>
  <c r="X60" i="279"/>
  <c r="U60" i="279"/>
  <c r="T60" i="279"/>
  <c r="I60" i="279"/>
  <c r="H60" i="279"/>
  <c r="V60" i="279" s="1"/>
  <c r="G60" i="279"/>
  <c r="D60" i="279"/>
  <c r="C60" i="279"/>
  <c r="AB59" i="279"/>
  <c r="AA59" i="279"/>
  <c r="Z59" i="279"/>
  <c r="Y59" i="279"/>
  <c r="X59" i="279"/>
  <c r="U59" i="279"/>
  <c r="T59" i="279"/>
  <c r="I59" i="279"/>
  <c r="H59" i="279"/>
  <c r="V59" i="279" s="1"/>
  <c r="G59" i="279"/>
  <c r="D59" i="279"/>
  <c r="C59" i="279"/>
  <c r="AB58" i="279"/>
  <c r="AA58" i="279"/>
  <c r="Z58" i="279"/>
  <c r="Y58" i="279"/>
  <c r="X58" i="279"/>
  <c r="U58" i="279"/>
  <c r="T58" i="279"/>
  <c r="I58" i="279"/>
  <c r="H58" i="279"/>
  <c r="V58" i="279" s="1"/>
  <c r="G58" i="279"/>
  <c r="D58" i="279"/>
  <c r="C58" i="279"/>
  <c r="AB57" i="279"/>
  <c r="AA57" i="279"/>
  <c r="Z57" i="279"/>
  <c r="Y57" i="279"/>
  <c r="X57" i="279"/>
  <c r="U57" i="279"/>
  <c r="T57" i="279"/>
  <c r="I57" i="279"/>
  <c r="H57" i="279"/>
  <c r="V57" i="279" s="1"/>
  <c r="G57" i="279"/>
  <c r="D57" i="279"/>
  <c r="C57" i="279"/>
  <c r="AB56" i="279"/>
  <c r="AA56" i="279"/>
  <c r="Z56" i="279"/>
  <c r="Y56" i="279"/>
  <c r="X56" i="279"/>
  <c r="U56" i="279"/>
  <c r="T56" i="279"/>
  <c r="I56" i="279"/>
  <c r="H56" i="279"/>
  <c r="V56" i="279" s="1"/>
  <c r="G56" i="279"/>
  <c r="D56" i="279"/>
  <c r="C56" i="279"/>
  <c r="AB55" i="279"/>
  <c r="AA55" i="279"/>
  <c r="Z55" i="279"/>
  <c r="Y55" i="279"/>
  <c r="X55" i="279"/>
  <c r="U55" i="279"/>
  <c r="T55" i="279"/>
  <c r="I55" i="279"/>
  <c r="H55" i="279"/>
  <c r="V55" i="279" s="1"/>
  <c r="G55" i="279"/>
  <c r="D55" i="279"/>
  <c r="C55" i="279"/>
  <c r="AB54" i="279"/>
  <c r="AA54" i="279"/>
  <c r="Z54" i="279"/>
  <c r="Y54" i="279"/>
  <c r="X54" i="279"/>
  <c r="U54" i="279"/>
  <c r="T54" i="279"/>
  <c r="I54" i="279"/>
  <c r="H54" i="279"/>
  <c r="V54" i="279" s="1"/>
  <c r="G54" i="279"/>
  <c r="D54" i="279"/>
  <c r="C54" i="279"/>
  <c r="AB53" i="279"/>
  <c r="AA53" i="279"/>
  <c r="Z53" i="279"/>
  <c r="Y53" i="279"/>
  <c r="X53" i="279"/>
  <c r="U53" i="279"/>
  <c r="T53" i="279"/>
  <c r="I53" i="279"/>
  <c r="H53" i="279"/>
  <c r="V53" i="279" s="1"/>
  <c r="G53" i="279"/>
  <c r="D53" i="279"/>
  <c r="C53" i="279"/>
  <c r="AB52" i="279"/>
  <c r="AA52" i="279"/>
  <c r="Z52" i="279"/>
  <c r="Y52" i="279"/>
  <c r="X52" i="279"/>
  <c r="U52" i="279"/>
  <c r="T52" i="279"/>
  <c r="I52" i="279"/>
  <c r="H52" i="279"/>
  <c r="V52" i="279" s="1"/>
  <c r="G52" i="279"/>
  <c r="D52" i="279"/>
  <c r="C52" i="279"/>
  <c r="U51" i="279"/>
  <c r="T51" i="279"/>
  <c r="I51" i="279"/>
  <c r="H51" i="279"/>
  <c r="V51" i="279" s="1"/>
  <c r="G51" i="279"/>
  <c r="D51" i="279"/>
  <c r="C51" i="279"/>
  <c r="U50" i="279"/>
  <c r="T50" i="279"/>
  <c r="I50" i="279"/>
  <c r="H50" i="279"/>
  <c r="V50" i="279" s="1"/>
  <c r="G50" i="279"/>
  <c r="D50" i="279"/>
  <c r="C50" i="279"/>
  <c r="U49" i="279"/>
  <c r="T49" i="279"/>
  <c r="I49" i="279"/>
  <c r="H49" i="279"/>
  <c r="V49" i="279" s="1"/>
  <c r="G49" i="279"/>
  <c r="D49" i="279"/>
  <c r="C49" i="279"/>
  <c r="U48" i="279"/>
  <c r="T48" i="279"/>
  <c r="I48" i="279"/>
  <c r="H48" i="279"/>
  <c r="V48" i="279" s="1"/>
  <c r="G48" i="279"/>
  <c r="D48" i="279"/>
  <c r="C48" i="279"/>
  <c r="U47" i="279"/>
  <c r="T47" i="279"/>
  <c r="I47" i="279"/>
  <c r="H47" i="279"/>
  <c r="V47" i="279" s="1"/>
  <c r="G47" i="279"/>
  <c r="D47" i="279"/>
  <c r="C47" i="279"/>
  <c r="U46" i="279"/>
  <c r="T46" i="279"/>
  <c r="I46" i="279"/>
  <c r="H46" i="279"/>
  <c r="V46" i="279" s="1"/>
  <c r="G46" i="279"/>
  <c r="D46" i="279"/>
  <c r="C46" i="279"/>
  <c r="U45" i="279"/>
  <c r="T45" i="279"/>
  <c r="I45" i="279"/>
  <c r="H45" i="279"/>
  <c r="V45" i="279" s="1"/>
  <c r="G45" i="279"/>
  <c r="D45" i="279"/>
  <c r="C45" i="279"/>
  <c r="U44" i="279"/>
  <c r="T44" i="279"/>
  <c r="I44" i="279"/>
  <c r="H44" i="279"/>
  <c r="V44" i="279" s="1"/>
  <c r="G44" i="279"/>
  <c r="D44" i="279"/>
  <c r="C44" i="279"/>
  <c r="U43" i="279"/>
  <c r="T43" i="279"/>
  <c r="I43" i="279"/>
  <c r="H43" i="279"/>
  <c r="V43" i="279" s="1"/>
  <c r="G43" i="279"/>
  <c r="D43" i="279"/>
  <c r="C43" i="279"/>
  <c r="U42" i="279"/>
  <c r="T42" i="279"/>
  <c r="I42" i="279"/>
  <c r="H42" i="279"/>
  <c r="V42" i="279" s="1"/>
  <c r="G42" i="279"/>
  <c r="D42" i="279"/>
  <c r="C42" i="279"/>
  <c r="U41" i="279"/>
  <c r="T41" i="279"/>
  <c r="I41" i="279"/>
  <c r="H41" i="279"/>
  <c r="V41" i="279" s="1"/>
  <c r="G41" i="279"/>
  <c r="D41" i="279"/>
  <c r="C41" i="279"/>
  <c r="U40" i="279"/>
  <c r="T40" i="279"/>
  <c r="I40" i="279"/>
  <c r="H40" i="279"/>
  <c r="V40" i="279" s="1"/>
  <c r="G40" i="279"/>
  <c r="D40" i="279"/>
  <c r="C40" i="279"/>
  <c r="U39" i="279"/>
  <c r="T39" i="279"/>
  <c r="I39" i="279"/>
  <c r="H39" i="279"/>
  <c r="V39" i="279" s="1"/>
  <c r="G39" i="279"/>
  <c r="D39" i="279"/>
  <c r="C39" i="279"/>
  <c r="U38" i="279"/>
  <c r="T38" i="279"/>
  <c r="I38" i="279"/>
  <c r="H38" i="279"/>
  <c r="V38" i="279" s="1"/>
  <c r="G38" i="279"/>
  <c r="D38" i="279"/>
  <c r="C38" i="279"/>
  <c r="U37" i="279"/>
  <c r="T37" i="279"/>
  <c r="I37" i="279"/>
  <c r="H37" i="279"/>
  <c r="V37" i="279" s="1"/>
  <c r="G37" i="279"/>
  <c r="D37" i="279"/>
  <c r="C37" i="279"/>
  <c r="U36" i="279"/>
  <c r="T36" i="279"/>
  <c r="I36" i="279"/>
  <c r="H36" i="279"/>
  <c r="V36" i="279" s="1"/>
  <c r="G36" i="279"/>
  <c r="D36" i="279"/>
  <c r="C36" i="279"/>
  <c r="U35" i="279"/>
  <c r="T35" i="279"/>
  <c r="I35" i="279"/>
  <c r="H35" i="279"/>
  <c r="V35" i="279" s="1"/>
  <c r="G35" i="279"/>
  <c r="D35" i="279"/>
  <c r="C35" i="279"/>
  <c r="U34" i="279"/>
  <c r="T34" i="279"/>
  <c r="I34" i="279"/>
  <c r="H34" i="279"/>
  <c r="V34" i="279" s="1"/>
  <c r="G34" i="279"/>
  <c r="D34" i="279"/>
  <c r="C34" i="279"/>
  <c r="U33" i="279"/>
  <c r="T33" i="279"/>
  <c r="I33" i="279"/>
  <c r="H33" i="279"/>
  <c r="V33" i="279" s="1"/>
  <c r="G33" i="279"/>
  <c r="D33" i="279"/>
  <c r="C33" i="279"/>
  <c r="U32" i="279"/>
  <c r="T32" i="279"/>
  <c r="I32" i="279"/>
  <c r="H32" i="279"/>
  <c r="V32" i="279" s="1"/>
  <c r="G32" i="279"/>
  <c r="D32" i="279"/>
  <c r="C32" i="279"/>
  <c r="U31" i="279"/>
  <c r="T31" i="279"/>
  <c r="I31" i="279"/>
  <c r="H31" i="279"/>
  <c r="V31" i="279" s="1"/>
  <c r="G31" i="279"/>
  <c r="D31" i="279"/>
  <c r="C31" i="279"/>
  <c r="U30" i="279"/>
  <c r="T30" i="279"/>
  <c r="I30" i="279"/>
  <c r="H30" i="279"/>
  <c r="V30" i="279" s="1"/>
  <c r="G30" i="279"/>
  <c r="D30" i="279"/>
  <c r="C30" i="279"/>
  <c r="U29" i="279"/>
  <c r="T29" i="279"/>
  <c r="I29" i="279"/>
  <c r="H29" i="279"/>
  <c r="V29" i="279" s="1"/>
  <c r="G29" i="279"/>
  <c r="D29" i="279"/>
  <c r="C29" i="279"/>
  <c r="U28" i="279"/>
  <c r="T28" i="279"/>
  <c r="I28" i="279"/>
  <c r="H28" i="279"/>
  <c r="V28" i="279" s="1"/>
  <c r="G28" i="279"/>
  <c r="D28" i="279"/>
  <c r="C28" i="279"/>
  <c r="U27" i="279"/>
  <c r="T27" i="279"/>
  <c r="I27" i="279"/>
  <c r="H27" i="279"/>
  <c r="V27" i="279" s="1"/>
  <c r="G27" i="279"/>
  <c r="D27" i="279"/>
  <c r="C27" i="279"/>
  <c r="U26" i="279"/>
  <c r="T26" i="279"/>
  <c r="I26" i="279"/>
  <c r="H26" i="279"/>
  <c r="V26" i="279" s="1"/>
  <c r="G26" i="279"/>
  <c r="D26" i="279"/>
  <c r="C26" i="279"/>
  <c r="U25" i="279"/>
  <c r="T25" i="279"/>
  <c r="I25" i="279"/>
  <c r="H25" i="279"/>
  <c r="V25" i="279" s="1"/>
  <c r="G25" i="279"/>
  <c r="D25" i="279"/>
  <c r="C25" i="279"/>
  <c r="U24" i="279"/>
  <c r="T24" i="279"/>
  <c r="I24" i="279"/>
  <c r="H24" i="279"/>
  <c r="V24" i="279" s="1"/>
  <c r="G24" i="279"/>
  <c r="D24" i="279"/>
  <c r="C24" i="279"/>
  <c r="U23" i="279"/>
  <c r="T23" i="279"/>
  <c r="I23" i="279"/>
  <c r="H23" i="279"/>
  <c r="V23" i="279" s="1"/>
  <c r="G23" i="279"/>
  <c r="D23" i="279"/>
  <c r="C23" i="279"/>
  <c r="AO22" i="279"/>
  <c r="AN22" i="279"/>
  <c r="AM22" i="279"/>
  <c r="AL22" i="279"/>
  <c r="AK22" i="279"/>
  <c r="U22" i="279"/>
  <c r="T22" i="279"/>
  <c r="S22" i="279"/>
  <c r="R22" i="279"/>
  <c r="AD22" i="279" s="1"/>
  <c r="I22" i="279"/>
  <c r="H22" i="279"/>
  <c r="V22" i="279" s="1"/>
  <c r="G22" i="279"/>
  <c r="D22" i="279"/>
  <c r="C22" i="279"/>
  <c r="AO21" i="279"/>
  <c r="AN21" i="279"/>
  <c r="AM21" i="279"/>
  <c r="AL21" i="279"/>
  <c r="AK21" i="279"/>
  <c r="U21" i="279"/>
  <c r="T21" i="279"/>
  <c r="S21" i="279"/>
  <c r="R21" i="279"/>
  <c r="AD21" i="279" s="1"/>
  <c r="I21" i="279"/>
  <c r="H21" i="279"/>
  <c r="V21" i="279" s="1"/>
  <c r="G21" i="279"/>
  <c r="D21" i="279"/>
  <c r="C21" i="279"/>
  <c r="AO20" i="279"/>
  <c r="AN20" i="279"/>
  <c r="AM20" i="279"/>
  <c r="AL20" i="279"/>
  <c r="AK20" i="279"/>
  <c r="U20" i="279"/>
  <c r="T20" i="279"/>
  <c r="R20" i="279"/>
  <c r="I20" i="279"/>
  <c r="H20" i="279"/>
  <c r="V20" i="279" s="1"/>
  <c r="G20" i="279"/>
  <c r="D20" i="279"/>
  <c r="C20" i="279"/>
  <c r="AO19" i="279"/>
  <c r="AN19" i="279"/>
  <c r="AM19" i="279"/>
  <c r="AL19" i="279"/>
  <c r="AK19" i="279"/>
  <c r="U19" i="279"/>
  <c r="T19" i="279"/>
  <c r="R19" i="279"/>
  <c r="I19" i="279"/>
  <c r="H19" i="279"/>
  <c r="V19" i="279" s="1"/>
  <c r="G19" i="279"/>
  <c r="D19" i="279"/>
  <c r="C19" i="279"/>
  <c r="AO18" i="279"/>
  <c r="AN18" i="279"/>
  <c r="AM18" i="279"/>
  <c r="AL18" i="279"/>
  <c r="AK18" i="279"/>
  <c r="U18" i="279"/>
  <c r="T18" i="279"/>
  <c r="R18" i="279"/>
  <c r="S18" i="279" s="1"/>
  <c r="AD18" i="279" s="1"/>
  <c r="I18" i="279"/>
  <c r="H18" i="279"/>
  <c r="V18" i="279" s="1"/>
  <c r="G18" i="279"/>
  <c r="D18" i="279"/>
  <c r="C18" i="279"/>
  <c r="AO17" i="279"/>
  <c r="AN17" i="279"/>
  <c r="AM17" i="279"/>
  <c r="AL17" i="279"/>
  <c r="AK17" i="279"/>
  <c r="U17" i="279"/>
  <c r="T17" i="279"/>
  <c r="S17" i="279"/>
  <c r="R17" i="279"/>
  <c r="I17" i="279"/>
  <c r="H17" i="279"/>
  <c r="V17" i="279" s="1"/>
  <c r="G17" i="279"/>
  <c r="D17" i="279"/>
  <c r="C17" i="279"/>
  <c r="AO16" i="279"/>
  <c r="AN16" i="279"/>
  <c r="AM16" i="279"/>
  <c r="AL16" i="279"/>
  <c r="AK16" i="279"/>
  <c r="U16" i="279"/>
  <c r="T16" i="279"/>
  <c r="S16" i="279"/>
  <c r="R16" i="279"/>
  <c r="I16" i="279"/>
  <c r="H16" i="279"/>
  <c r="V16" i="279" s="1"/>
  <c r="G16" i="279"/>
  <c r="D16" i="279"/>
  <c r="C16" i="279"/>
  <c r="AO15" i="279"/>
  <c r="AN15" i="279"/>
  <c r="AM15" i="279"/>
  <c r="AL15" i="279"/>
  <c r="AK15" i="279"/>
  <c r="U15" i="279"/>
  <c r="T15" i="279"/>
  <c r="S15" i="279"/>
  <c r="R15" i="279"/>
  <c r="AD15" i="279" s="1"/>
  <c r="I15" i="279"/>
  <c r="H15" i="279"/>
  <c r="V15" i="279" s="1"/>
  <c r="G15" i="279"/>
  <c r="D15" i="279"/>
  <c r="C15" i="279"/>
  <c r="AO14" i="279"/>
  <c r="AN14" i="279"/>
  <c r="AM14" i="279"/>
  <c r="AL14" i="279"/>
  <c r="AK14" i="279"/>
  <c r="U14" i="279"/>
  <c r="T14" i="279"/>
  <c r="S14" i="279"/>
  <c r="R14" i="279"/>
  <c r="AD14" i="279" s="1"/>
  <c r="I14" i="279"/>
  <c r="H14" i="279"/>
  <c r="V14" i="279" s="1"/>
  <c r="G14" i="279"/>
  <c r="D14" i="279"/>
  <c r="C14" i="279"/>
  <c r="AO13" i="279"/>
  <c r="AN13" i="279"/>
  <c r="AM13" i="279"/>
  <c r="AL13" i="279"/>
  <c r="AK13" i="279"/>
  <c r="U13" i="279"/>
  <c r="T13" i="279"/>
  <c r="R13" i="279"/>
  <c r="I13" i="279"/>
  <c r="H13" i="279"/>
  <c r="V13" i="279" s="1"/>
  <c r="G13" i="279"/>
  <c r="D13" i="279"/>
  <c r="C13" i="279"/>
  <c r="U12" i="279"/>
  <c r="T12" i="279"/>
  <c r="I12" i="279"/>
  <c r="H12" i="279"/>
  <c r="V12" i="279" s="1"/>
  <c r="G12" i="279"/>
  <c r="D12" i="279"/>
  <c r="C12" i="279"/>
  <c r="U11" i="279"/>
  <c r="T11" i="279"/>
  <c r="I11" i="279"/>
  <c r="H11" i="279"/>
  <c r="V11" i="279" s="1"/>
  <c r="G11" i="279"/>
  <c r="D11" i="279"/>
  <c r="C11" i="279"/>
  <c r="U10" i="279"/>
  <c r="T10" i="279"/>
  <c r="I10" i="279"/>
  <c r="H10" i="279"/>
  <c r="V10" i="279" s="1"/>
  <c r="G10" i="279"/>
  <c r="D10" i="279"/>
  <c r="C10" i="279"/>
  <c r="U9" i="279"/>
  <c r="T9" i="279"/>
  <c r="I9" i="279"/>
  <c r="H9" i="279"/>
  <c r="V9" i="279" s="1"/>
  <c r="G9" i="279"/>
  <c r="D9" i="279"/>
  <c r="C9" i="279"/>
  <c r="AO8" i="279"/>
  <c r="AN8" i="279"/>
  <c r="AM8" i="279"/>
  <c r="AL8" i="279"/>
  <c r="AC8" i="279"/>
  <c r="AB8" i="279"/>
  <c r="AA8" i="279"/>
  <c r="Z8" i="279"/>
  <c r="Y8" i="279"/>
  <c r="U8" i="279"/>
  <c r="T8" i="279"/>
  <c r="I8" i="279"/>
  <c r="H8" i="279"/>
  <c r="V8" i="279" s="1"/>
  <c r="G8" i="279"/>
  <c r="D8" i="279"/>
  <c r="C8" i="279"/>
  <c r="AG7" i="279"/>
  <c r="U7" i="279"/>
  <c r="T7" i="279"/>
  <c r="I7" i="279"/>
  <c r="H7" i="279"/>
  <c r="V7" i="279" s="1"/>
  <c r="G7" i="279"/>
  <c r="D7" i="279"/>
  <c r="C7" i="279"/>
  <c r="U6" i="279"/>
  <c r="T6" i="279"/>
  <c r="I6" i="279"/>
  <c r="H6" i="279"/>
  <c r="V6" i="279" s="1"/>
  <c r="G6" i="279"/>
  <c r="D6" i="279"/>
  <c r="C6" i="279"/>
  <c r="AK8" i="279" s="1"/>
  <c r="AJ5" i="279"/>
  <c r="AC7" i="279" s="1"/>
  <c r="AI5" i="279"/>
  <c r="Y22" i="279" s="1"/>
  <c r="AG3" i="279"/>
  <c r="C2" i="279" a="1"/>
  <c r="C2" i="279" s="1"/>
  <c r="B2" i="279" a="1"/>
  <c r="B2" i="279" s="1"/>
  <c r="C1" i="279"/>
  <c r="B1" i="279"/>
  <c r="U105" i="278"/>
  <c r="T105" i="278"/>
  <c r="I105" i="278"/>
  <c r="H105" i="278"/>
  <c r="V105" i="278" s="1"/>
  <c r="G105" i="278"/>
  <c r="D105" i="278"/>
  <c r="C105" i="278"/>
  <c r="U104" i="278"/>
  <c r="T104" i="278"/>
  <c r="I104" i="278"/>
  <c r="H104" i="278"/>
  <c r="V104" i="278" s="1"/>
  <c r="G104" i="278"/>
  <c r="D104" i="278"/>
  <c r="C104" i="278"/>
  <c r="U103" i="278"/>
  <c r="T103" i="278"/>
  <c r="I103" i="278"/>
  <c r="H103" i="278"/>
  <c r="V103" i="278" s="1"/>
  <c r="G103" i="278"/>
  <c r="D103" i="278"/>
  <c r="C103" i="278"/>
  <c r="U102" i="278"/>
  <c r="T102" i="278"/>
  <c r="I102" i="278"/>
  <c r="H102" i="278"/>
  <c r="V102" i="278" s="1"/>
  <c r="G102" i="278"/>
  <c r="D102" i="278"/>
  <c r="C102" i="278"/>
  <c r="U101" i="278"/>
  <c r="T101" i="278"/>
  <c r="I101" i="278"/>
  <c r="H101" i="278"/>
  <c r="V101" i="278" s="1"/>
  <c r="G101" i="278"/>
  <c r="D101" i="278"/>
  <c r="C101" i="278"/>
  <c r="U100" i="278"/>
  <c r="T100" i="278"/>
  <c r="I100" i="278"/>
  <c r="H100" i="278"/>
  <c r="V100" i="278" s="1"/>
  <c r="G100" i="278"/>
  <c r="D100" i="278"/>
  <c r="C100" i="278"/>
  <c r="U99" i="278"/>
  <c r="T99" i="278"/>
  <c r="I99" i="278"/>
  <c r="H99" i="278"/>
  <c r="V99" i="278" s="1"/>
  <c r="G99" i="278"/>
  <c r="D99" i="278"/>
  <c r="C99" i="278"/>
  <c r="U98" i="278"/>
  <c r="T98" i="278"/>
  <c r="I98" i="278"/>
  <c r="H98" i="278"/>
  <c r="V98" i="278" s="1"/>
  <c r="G98" i="278"/>
  <c r="D98" i="278"/>
  <c r="C98" i="278"/>
  <c r="U97" i="278"/>
  <c r="T97" i="278"/>
  <c r="I97" i="278"/>
  <c r="H97" i="278"/>
  <c r="V97" i="278" s="1"/>
  <c r="G97" i="278"/>
  <c r="D97" i="278"/>
  <c r="C97" i="278"/>
  <c r="U96" i="278"/>
  <c r="T96" i="278"/>
  <c r="I96" i="278"/>
  <c r="H96" i="278"/>
  <c r="V96" i="278" s="1"/>
  <c r="G96" i="278"/>
  <c r="D96" i="278"/>
  <c r="C96" i="278"/>
  <c r="U95" i="278"/>
  <c r="T95" i="278"/>
  <c r="I95" i="278"/>
  <c r="H95" i="278"/>
  <c r="V95" i="278" s="1"/>
  <c r="G95" i="278"/>
  <c r="D95" i="278"/>
  <c r="C95" i="278"/>
  <c r="U94" i="278"/>
  <c r="T94" i="278"/>
  <c r="I94" i="278"/>
  <c r="H94" i="278"/>
  <c r="V94" i="278" s="1"/>
  <c r="G94" i="278"/>
  <c r="D94" i="278"/>
  <c r="C94" i="278"/>
  <c r="U93" i="278"/>
  <c r="T93" i="278"/>
  <c r="I93" i="278"/>
  <c r="H93" i="278"/>
  <c r="V93" i="278" s="1"/>
  <c r="G93" i="278"/>
  <c r="D93" i="278"/>
  <c r="C93" i="278"/>
  <c r="U92" i="278"/>
  <c r="T92" i="278"/>
  <c r="I92" i="278"/>
  <c r="H92" i="278"/>
  <c r="V92" i="278" s="1"/>
  <c r="G92" i="278"/>
  <c r="D92" i="278"/>
  <c r="C92" i="278"/>
  <c r="U91" i="278"/>
  <c r="T91" i="278"/>
  <c r="I91" i="278"/>
  <c r="H91" i="278"/>
  <c r="V91" i="278" s="1"/>
  <c r="G91" i="278"/>
  <c r="D91" i="278"/>
  <c r="C91" i="278"/>
  <c r="U90" i="278"/>
  <c r="T90" i="278"/>
  <c r="I90" i="278"/>
  <c r="H90" i="278"/>
  <c r="V90" i="278" s="1"/>
  <c r="G90" i="278"/>
  <c r="D90" i="278"/>
  <c r="C90" i="278"/>
  <c r="U89" i="278"/>
  <c r="T89" i="278"/>
  <c r="I89" i="278"/>
  <c r="H89" i="278"/>
  <c r="V89" i="278" s="1"/>
  <c r="G89" i="278"/>
  <c r="D89" i="278"/>
  <c r="C89" i="278"/>
  <c r="U88" i="278"/>
  <c r="T88" i="278"/>
  <c r="I88" i="278"/>
  <c r="H88" i="278"/>
  <c r="V88" i="278" s="1"/>
  <c r="G88" i="278"/>
  <c r="D88" i="278"/>
  <c r="C88" i="278"/>
  <c r="U87" i="278"/>
  <c r="T87" i="278"/>
  <c r="I87" i="278"/>
  <c r="H87" i="278"/>
  <c r="V87" i="278" s="1"/>
  <c r="G87" i="278"/>
  <c r="D87" i="278"/>
  <c r="C87" i="278"/>
  <c r="U86" i="278"/>
  <c r="T86" i="278"/>
  <c r="I86" i="278"/>
  <c r="H86" i="278"/>
  <c r="V86" i="278" s="1"/>
  <c r="G86" i="278"/>
  <c r="D86" i="278"/>
  <c r="C86" i="278"/>
  <c r="U85" i="278"/>
  <c r="T85" i="278"/>
  <c r="I85" i="278"/>
  <c r="H85" i="278"/>
  <c r="V85" i="278" s="1"/>
  <c r="G85" i="278"/>
  <c r="D85" i="278"/>
  <c r="C85" i="278"/>
  <c r="U84" i="278"/>
  <c r="T84" i="278"/>
  <c r="I84" i="278"/>
  <c r="H84" i="278"/>
  <c r="V84" i="278" s="1"/>
  <c r="G84" i="278"/>
  <c r="D84" i="278"/>
  <c r="C84" i="278"/>
  <c r="U83" i="278"/>
  <c r="T83" i="278"/>
  <c r="I83" i="278"/>
  <c r="H83" i="278"/>
  <c r="V83" i="278" s="1"/>
  <c r="G83" i="278"/>
  <c r="D83" i="278"/>
  <c r="C83" i="278"/>
  <c r="U82" i="278"/>
  <c r="T82" i="278"/>
  <c r="I82" i="278"/>
  <c r="H82" i="278"/>
  <c r="V82" i="278" s="1"/>
  <c r="G82" i="278"/>
  <c r="D82" i="278"/>
  <c r="C82" i="278"/>
  <c r="U81" i="278"/>
  <c r="T81" i="278"/>
  <c r="I81" i="278"/>
  <c r="H81" i="278"/>
  <c r="V81" i="278" s="1"/>
  <c r="G81" i="278"/>
  <c r="D81" i="278"/>
  <c r="C81" i="278"/>
  <c r="U80" i="278"/>
  <c r="T80" i="278"/>
  <c r="I80" i="278"/>
  <c r="H80" i="278"/>
  <c r="V80" i="278" s="1"/>
  <c r="G80" i="278"/>
  <c r="D80" i="278"/>
  <c r="C80" i="278"/>
  <c r="U79" i="278"/>
  <c r="T79" i="278"/>
  <c r="I79" i="278"/>
  <c r="H79" i="278"/>
  <c r="V79" i="278" s="1"/>
  <c r="G79" i="278"/>
  <c r="D79" i="278"/>
  <c r="C79" i="278"/>
  <c r="U78" i="278"/>
  <c r="T78" i="278"/>
  <c r="I78" i="278"/>
  <c r="H78" i="278"/>
  <c r="V78" i="278" s="1"/>
  <c r="G78" i="278"/>
  <c r="D78" i="278"/>
  <c r="C78" i="278"/>
  <c r="U77" i="278"/>
  <c r="T77" i="278"/>
  <c r="I77" i="278"/>
  <c r="H77" i="278"/>
  <c r="V77" i="278" s="1"/>
  <c r="G77" i="278"/>
  <c r="D77" i="278"/>
  <c r="C77" i="278"/>
  <c r="U76" i="278"/>
  <c r="T76" i="278"/>
  <c r="I76" i="278"/>
  <c r="H76" i="278"/>
  <c r="V76" i="278" s="1"/>
  <c r="G76" i="278"/>
  <c r="D76" i="278"/>
  <c r="C76" i="278"/>
  <c r="U75" i="278"/>
  <c r="T75" i="278"/>
  <c r="I75" i="278"/>
  <c r="H75" i="278"/>
  <c r="V75" i="278" s="1"/>
  <c r="G75" i="278"/>
  <c r="D75" i="278"/>
  <c r="C75" i="278"/>
  <c r="AB74" i="278"/>
  <c r="AA74" i="278"/>
  <c r="Z74" i="278"/>
  <c r="Y74" i="278"/>
  <c r="X74" i="278"/>
  <c r="U74" i="278"/>
  <c r="T74" i="278"/>
  <c r="I74" i="278"/>
  <c r="H74" i="278"/>
  <c r="V74" i="278" s="1"/>
  <c r="G74" i="278"/>
  <c r="D74" i="278"/>
  <c r="C74" i="278"/>
  <c r="AB73" i="278"/>
  <c r="AA73" i="278"/>
  <c r="Z73" i="278"/>
  <c r="Y73" i="278"/>
  <c r="X73" i="278"/>
  <c r="U73" i="278"/>
  <c r="T73" i="278"/>
  <c r="I73" i="278"/>
  <c r="H73" i="278"/>
  <c r="V73" i="278" s="1"/>
  <c r="G73" i="278"/>
  <c r="D73" i="278"/>
  <c r="C73" i="278"/>
  <c r="AB72" i="278"/>
  <c r="AA72" i="278"/>
  <c r="Z72" i="278"/>
  <c r="Y72" i="278"/>
  <c r="X72" i="278"/>
  <c r="U72" i="278"/>
  <c r="T72" i="278"/>
  <c r="I72" i="278"/>
  <c r="H72" i="278"/>
  <c r="V72" i="278" s="1"/>
  <c r="G72" i="278"/>
  <c r="D72" i="278"/>
  <c r="C72" i="278"/>
  <c r="AB71" i="278"/>
  <c r="AA71" i="278"/>
  <c r="Z71" i="278"/>
  <c r="Y71" i="278"/>
  <c r="X71" i="278"/>
  <c r="U71" i="278"/>
  <c r="T71" i="278"/>
  <c r="I71" i="278"/>
  <c r="H71" i="278"/>
  <c r="V71" i="278" s="1"/>
  <c r="G71" i="278"/>
  <c r="D71" i="278"/>
  <c r="C71" i="278"/>
  <c r="AB70" i="278"/>
  <c r="AA70" i="278"/>
  <c r="Z70" i="278"/>
  <c r="Y70" i="278"/>
  <c r="X70" i="278"/>
  <c r="U70" i="278"/>
  <c r="T70" i="278"/>
  <c r="I70" i="278"/>
  <c r="H70" i="278"/>
  <c r="V70" i="278" s="1"/>
  <c r="G70" i="278"/>
  <c r="D70" i="278"/>
  <c r="C70" i="278"/>
  <c r="AB69" i="278"/>
  <c r="AA69" i="278"/>
  <c r="Z69" i="278"/>
  <c r="Y69" i="278"/>
  <c r="X69" i="278"/>
  <c r="U69" i="278"/>
  <c r="T69" i="278"/>
  <c r="I69" i="278"/>
  <c r="H69" i="278"/>
  <c r="V69" i="278" s="1"/>
  <c r="G69" i="278"/>
  <c r="D69" i="278"/>
  <c r="C69" i="278"/>
  <c r="AB68" i="278"/>
  <c r="AA68" i="278"/>
  <c r="Z68" i="278"/>
  <c r="Y68" i="278"/>
  <c r="X68" i="278"/>
  <c r="U68" i="278"/>
  <c r="T68" i="278"/>
  <c r="I68" i="278"/>
  <c r="H68" i="278"/>
  <c r="V68" i="278" s="1"/>
  <c r="G68" i="278"/>
  <c r="D68" i="278"/>
  <c r="C68" i="278"/>
  <c r="AB67" i="278"/>
  <c r="AA67" i="278"/>
  <c r="Z67" i="278"/>
  <c r="Y67" i="278"/>
  <c r="X67" i="278"/>
  <c r="U67" i="278"/>
  <c r="T67" i="278"/>
  <c r="I67" i="278"/>
  <c r="H67" i="278"/>
  <c r="V67" i="278" s="1"/>
  <c r="G67" i="278"/>
  <c r="D67" i="278"/>
  <c r="C67" i="278"/>
  <c r="AB66" i="278"/>
  <c r="AA66" i="278"/>
  <c r="Z66" i="278"/>
  <c r="Y66" i="278"/>
  <c r="X66" i="278"/>
  <c r="U66" i="278"/>
  <c r="T66" i="278"/>
  <c r="I66" i="278"/>
  <c r="H66" i="278"/>
  <c r="V66" i="278" s="1"/>
  <c r="G66" i="278"/>
  <c r="D66" i="278"/>
  <c r="C66" i="278"/>
  <c r="AB65" i="278"/>
  <c r="AA65" i="278"/>
  <c r="Z65" i="278"/>
  <c r="Y65" i="278"/>
  <c r="X65" i="278"/>
  <c r="U65" i="278"/>
  <c r="T65" i="278"/>
  <c r="I65" i="278"/>
  <c r="H65" i="278"/>
  <c r="V65" i="278" s="1"/>
  <c r="G65" i="278"/>
  <c r="D65" i="278"/>
  <c r="C65" i="278"/>
  <c r="U64" i="278"/>
  <c r="T64" i="278"/>
  <c r="I64" i="278"/>
  <c r="H64" i="278"/>
  <c r="V64" i="278" s="1"/>
  <c r="G64" i="278"/>
  <c r="D64" i="278"/>
  <c r="C64" i="278"/>
  <c r="U63" i="278"/>
  <c r="T63" i="278"/>
  <c r="I63" i="278"/>
  <c r="H63" i="278"/>
  <c r="V63" i="278" s="1"/>
  <c r="G63" i="278"/>
  <c r="D63" i="278"/>
  <c r="C63" i="278"/>
  <c r="U62" i="278"/>
  <c r="T62" i="278"/>
  <c r="I62" i="278"/>
  <c r="H62" i="278"/>
  <c r="V62" i="278" s="1"/>
  <c r="G62" i="278"/>
  <c r="D62" i="278"/>
  <c r="C62" i="278"/>
  <c r="AB61" i="278"/>
  <c r="AA61" i="278"/>
  <c r="Z61" i="278"/>
  <c r="Y61" i="278"/>
  <c r="X61" i="278"/>
  <c r="U61" i="278"/>
  <c r="T61" i="278"/>
  <c r="I61" i="278"/>
  <c r="H61" i="278"/>
  <c r="V61" i="278" s="1"/>
  <c r="G61" i="278"/>
  <c r="D61" i="278"/>
  <c r="C61" i="278"/>
  <c r="AB60" i="278"/>
  <c r="AA60" i="278"/>
  <c r="Z60" i="278"/>
  <c r="Y60" i="278"/>
  <c r="X60" i="278"/>
  <c r="U60" i="278"/>
  <c r="T60" i="278"/>
  <c r="I60" i="278"/>
  <c r="H60" i="278"/>
  <c r="V60" i="278" s="1"/>
  <c r="G60" i="278"/>
  <c r="D60" i="278"/>
  <c r="C60" i="278"/>
  <c r="AB59" i="278"/>
  <c r="AA59" i="278"/>
  <c r="Z59" i="278"/>
  <c r="Y59" i="278"/>
  <c r="X59" i="278"/>
  <c r="U59" i="278"/>
  <c r="T59" i="278"/>
  <c r="I59" i="278"/>
  <c r="H59" i="278"/>
  <c r="V59" i="278" s="1"/>
  <c r="G59" i="278"/>
  <c r="D59" i="278"/>
  <c r="C59" i="278"/>
  <c r="AB58" i="278"/>
  <c r="AA58" i="278"/>
  <c r="Z58" i="278"/>
  <c r="Y58" i="278"/>
  <c r="X58" i="278"/>
  <c r="U58" i="278"/>
  <c r="T58" i="278"/>
  <c r="I58" i="278"/>
  <c r="H58" i="278"/>
  <c r="V58" i="278" s="1"/>
  <c r="G58" i="278"/>
  <c r="D58" i="278"/>
  <c r="C58" i="278"/>
  <c r="AB57" i="278"/>
  <c r="AA57" i="278"/>
  <c r="Z57" i="278"/>
  <c r="Y57" i="278"/>
  <c r="X57" i="278"/>
  <c r="U57" i="278"/>
  <c r="T57" i="278"/>
  <c r="I57" i="278"/>
  <c r="H57" i="278"/>
  <c r="V57" i="278" s="1"/>
  <c r="G57" i="278"/>
  <c r="D57" i="278"/>
  <c r="C57" i="278"/>
  <c r="AB56" i="278"/>
  <c r="AA56" i="278"/>
  <c r="Z56" i="278"/>
  <c r="Y56" i="278"/>
  <c r="X56" i="278"/>
  <c r="U56" i="278"/>
  <c r="T56" i="278"/>
  <c r="I56" i="278"/>
  <c r="H56" i="278"/>
  <c r="V56" i="278" s="1"/>
  <c r="G56" i="278"/>
  <c r="D56" i="278"/>
  <c r="C56" i="278"/>
  <c r="AB55" i="278"/>
  <c r="AA55" i="278"/>
  <c r="Z55" i="278"/>
  <c r="Y55" i="278"/>
  <c r="X55" i="278"/>
  <c r="U55" i="278"/>
  <c r="T55" i="278"/>
  <c r="I55" i="278"/>
  <c r="H55" i="278"/>
  <c r="V55" i="278" s="1"/>
  <c r="G55" i="278"/>
  <c r="D55" i="278"/>
  <c r="C55" i="278"/>
  <c r="AB54" i="278"/>
  <c r="AA54" i="278"/>
  <c r="Z54" i="278"/>
  <c r="Y54" i="278"/>
  <c r="X54" i="278"/>
  <c r="U54" i="278"/>
  <c r="T54" i="278"/>
  <c r="I54" i="278"/>
  <c r="H54" i="278"/>
  <c r="V54" i="278" s="1"/>
  <c r="G54" i="278"/>
  <c r="D54" i="278"/>
  <c r="C54" i="278"/>
  <c r="AB53" i="278"/>
  <c r="AA53" i="278"/>
  <c r="Z53" i="278"/>
  <c r="Y53" i="278"/>
  <c r="X53" i="278"/>
  <c r="U53" i="278"/>
  <c r="T53" i="278"/>
  <c r="I53" i="278"/>
  <c r="H53" i="278"/>
  <c r="V53" i="278" s="1"/>
  <c r="G53" i="278"/>
  <c r="D53" i="278"/>
  <c r="C53" i="278"/>
  <c r="AB52" i="278"/>
  <c r="AA52" i="278"/>
  <c r="Z52" i="278"/>
  <c r="Y52" i="278"/>
  <c r="X52" i="278"/>
  <c r="U52" i="278"/>
  <c r="T52" i="278"/>
  <c r="I52" i="278"/>
  <c r="H52" i="278"/>
  <c r="V52" i="278" s="1"/>
  <c r="G52" i="278"/>
  <c r="D52" i="278"/>
  <c r="C52" i="278"/>
  <c r="U51" i="278"/>
  <c r="T51" i="278"/>
  <c r="I51" i="278"/>
  <c r="H51" i="278"/>
  <c r="V51" i="278" s="1"/>
  <c r="G51" i="278"/>
  <c r="D51" i="278"/>
  <c r="C51" i="278"/>
  <c r="U50" i="278"/>
  <c r="T50" i="278"/>
  <c r="I50" i="278"/>
  <c r="H50" i="278"/>
  <c r="V50" i="278" s="1"/>
  <c r="G50" i="278"/>
  <c r="D50" i="278"/>
  <c r="C50" i="278"/>
  <c r="U49" i="278"/>
  <c r="T49" i="278"/>
  <c r="I49" i="278"/>
  <c r="H49" i="278"/>
  <c r="V49" i="278" s="1"/>
  <c r="G49" i="278"/>
  <c r="D49" i="278"/>
  <c r="C49" i="278"/>
  <c r="U48" i="278"/>
  <c r="T48" i="278"/>
  <c r="I48" i="278"/>
  <c r="H48" i="278"/>
  <c r="V48" i="278" s="1"/>
  <c r="G48" i="278"/>
  <c r="D48" i="278"/>
  <c r="C48" i="278"/>
  <c r="U47" i="278"/>
  <c r="T47" i="278"/>
  <c r="I47" i="278"/>
  <c r="H47" i="278"/>
  <c r="V47" i="278" s="1"/>
  <c r="G47" i="278"/>
  <c r="D47" i="278"/>
  <c r="C47" i="278"/>
  <c r="U46" i="278"/>
  <c r="T46" i="278"/>
  <c r="I46" i="278"/>
  <c r="H46" i="278"/>
  <c r="V46" i="278" s="1"/>
  <c r="G46" i="278"/>
  <c r="D46" i="278"/>
  <c r="C46" i="278"/>
  <c r="U45" i="278"/>
  <c r="T45" i="278"/>
  <c r="I45" i="278"/>
  <c r="H45" i="278"/>
  <c r="V45" i="278" s="1"/>
  <c r="G45" i="278"/>
  <c r="D45" i="278"/>
  <c r="C45" i="278"/>
  <c r="U44" i="278"/>
  <c r="T44" i="278"/>
  <c r="I44" i="278"/>
  <c r="H44" i="278"/>
  <c r="V44" i="278" s="1"/>
  <c r="G44" i="278"/>
  <c r="D44" i="278"/>
  <c r="C44" i="278"/>
  <c r="U43" i="278"/>
  <c r="T43" i="278"/>
  <c r="I43" i="278"/>
  <c r="H43" i="278"/>
  <c r="V43" i="278" s="1"/>
  <c r="G43" i="278"/>
  <c r="D43" i="278"/>
  <c r="C43" i="278"/>
  <c r="U42" i="278"/>
  <c r="T42" i="278"/>
  <c r="I42" i="278"/>
  <c r="H42" i="278"/>
  <c r="V42" i="278" s="1"/>
  <c r="G42" i="278"/>
  <c r="D42" i="278"/>
  <c r="C42" i="278"/>
  <c r="U41" i="278"/>
  <c r="T41" i="278"/>
  <c r="I41" i="278"/>
  <c r="H41" i="278"/>
  <c r="V41" i="278" s="1"/>
  <c r="G41" i="278"/>
  <c r="D41" i="278"/>
  <c r="C41" i="278"/>
  <c r="U40" i="278"/>
  <c r="T40" i="278"/>
  <c r="I40" i="278"/>
  <c r="H40" i="278"/>
  <c r="V40" i="278" s="1"/>
  <c r="G40" i="278"/>
  <c r="D40" i="278"/>
  <c r="C40" i="278"/>
  <c r="U39" i="278"/>
  <c r="T39" i="278"/>
  <c r="I39" i="278"/>
  <c r="H39" i="278"/>
  <c r="V39" i="278" s="1"/>
  <c r="G39" i="278"/>
  <c r="D39" i="278"/>
  <c r="C39" i="278"/>
  <c r="U38" i="278"/>
  <c r="T38" i="278"/>
  <c r="I38" i="278"/>
  <c r="H38" i="278"/>
  <c r="V38" i="278" s="1"/>
  <c r="G38" i="278"/>
  <c r="D38" i="278"/>
  <c r="C38" i="278"/>
  <c r="U37" i="278"/>
  <c r="T37" i="278"/>
  <c r="I37" i="278"/>
  <c r="H37" i="278"/>
  <c r="V37" i="278" s="1"/>
  <c r="G37" i="278"/>
  <c r="D37" i="278"/>
  <c r="C37" i="278"/>
  <c r="U36" i="278"/>
  <c r="T36" i="278"/>
  <c r="I36" i="278"/>
  <c r="H36" i="278"/>
  <c r="V36" i="278" s="1"/>
  <c r="G36" i="278"/>
  <c r="D36" i="278"/>
  <c r="C36" i="278"/>
  <c r="U35" i="278"/>
  <c r="T35" i="278"/>
  <c r="I35" i="278"/>
  <c r="H35" i="278"/>
  <c r="V35" i="278" s="1"/>
  <c r="G35" i="278"/>
  <c r="D35" i="278"/>
  <c r="C35" i="278"/>
  <c r="U34" i="278"/>
  <c r="T34" i="278"/>
  <c r="I34" i="278"/>
  <c r="H34" i="278"/>
  <c r="V34" i="278" s="1"/>
  <c r="G34" i="278"/>
  <c r="D34" i="278"/>
  <c r="C34" i="278"/>
  <c r="U33" i="278"/>
  <c r="T33" i="278"/>
  <c r="I33" i="278"/>
  <c r="H33" i="278"/>
  <c r="V33" i="278" s="1"/>
  <c r="G33" i="278"/>
  <c r="D33" i="278"/>
  <c r="C33" i="278"/>
  <c r="U32" i="278"/>
  <c r="T32" i="278"/>
  <c r="I32" i="278"/>
  <c r="H32" i="278"/>
  <c r="V32" i="278" s="1"/>
  <c r="G32" i="278"/>
  <c r="D32" i="278"/>
  <c r="C32" i="278"/>
  <c r="U31" i="278"/>
  <c r="T31" i="278"/>
  <c r="I31" i="278"/>
  <c r="H31" i="278"/>
  <c r="V31" i="278" s="1"/>
  <c r="G31" i="278"/>
  <c r="D31" i="278"/>
  <c r="C31" i="278"/>
  <c r="U30" i="278"/>
  <c r="T30" i="278"/>
  <c r="I30" i="278"/>
  <c r="H30" i="278"/>
  <c r="V30" i="278" s="1"/>
  <c r="G30" i="278"/>
  <c r="D30" i="278"/>
  <c r="C30" i="278"/>
  <c r="U29" i="278"/>
  <c r="T29" i="278"/>
  <c r="I29" i="278"/>
  <c r="H29" i="278"/>
  <c r="V29" i="278" s="1"/>
  <c r="G29" i="278"/>
  <c r="D29" i="278"/>
  <c r="C29" i="278"/>
  <c r="U28" i="278"/>
  <c r="T28" i="278"/>
  <c r="I28" i="278"/>
  <c r="H28" i="278"/>
  <c r="V28" i="278" s="1"/>
  <c r="G28" i="278"/>
  <c r="D28" i="278"/>
  <c r="C28" i="278"/>
  <c r="U27" i="278"/>
  <c r="T27" i="278"/>
  <c r="I27" i="278"/>
  <c r="H27" i="278"/>
  <c r="V27" i="278" s="1"/>
  <c r="G27" i="278"/>
  <c r="D27" i="278"/>
  <c r="C27" i="278"/>
  <c r="U26" i="278"/>
  <c r="T26" i="278"/>
  <c r="I26" i="278"/>
  <c r="H26" i="278"/>
  <c r="V26" i="278" s="1"/>
  <c r="G26" i="278"/>
  <c r="D26" i="278"/>
  <c r="C26" i="278"/>
  <c r="U25" i="278"/>
  <c r="T25" i="278"/>
  <c r="I25" i="278"/>
  <c r="H25" i="278"/>
  <c r="V25" i="278" s="1"/>
  <c r="G25" i="278"/>
  <c r="D25" i="278"/>
  <c r="C25" i="278"/>
  <c r="U24" i="278"/>
  <c r="T24" i="278"/>
  <c r="I24" i="278"/>
  <c r="H24" i="278"/>
  <c r="V24" i="278" s="1"/>
  <c r="G24" i="278"/>
  <c r="D24" i="278"/>
  <c r="C24" i="278"/>
  <c r="U23" i="278"/>
  <c r="T23" i="278"/>
  <c r="I23" i="278"/>
  <c r="H23" i="278"/>
  <c r="V23" i="278" s="1"/>
  <c r="G23" i="278"/>
  <c r="D23" i="278"/>
  <c r="C23" i="278"/>
  <c r="AO22" i="278"/>
  <c r="AN22" i="278"/>
  <c r="AM22" i="278"/>
  <c r="AL22" i="278"/>
  <c r="AK22" i="278"/>
  <c r="U22" i="278"/>
  <c r="T22" i="278"/>
  <c r="R22" i="278"/>
  <c r="I22" i="278"/>
  <c r="H22" i="278"/>
  <c r="V22" i="278" s="1"/>
  <c r="G22" i="278"/>
  <c r="D22" i="278"/>
  <c r="C22" i="278"/>
  <c r="AO21" i="278"/>
  <c r="AN21" i="278"/>
  <c r="AM21" i="278"/>
  <c r="AL21" i="278"/>
  <c r="AK21" i="278"/>
  <c r="U21" i="278"/>
  <c r="T21" i="278"/>
  <c r="R21" i="278"/>
  <c r="I21" i="278"/>
  <c r="H21" i="278"/>
  <c r="V21" i="278" s="1"/>
  <c r="G21" i="278"/>
  <c r="D21" i="278"/>
  <c r="C21" i="278"/>
  <c r="AO20" i="278"/>
  <c r="AN20" i="278"/>
  <c r="AM20" i="278"/>
  <c r="AL20" i="278"/>
  <c r="AK20" i="278"/>
  <c r="U20" i="278"/>
  <c r="T20" i="278"/>
  <c r="S20" i="278"/>
  <c r="R20" i="278"/>
  <c r="I20" i="278"/>
  <c r="H20" i="278"/>
  <c r="V20" i="278" s="1"/>
  <c r="G20" i="278"/>
  <c r="D20" i="278"/>
  <c r="C20" i="278"/>
  <c r="AO19" i="278"/>
  <c r="AN19" i="278"/>
  <c r="AM19" i="278"/>
  <c r="AL19" i="278"/>
  <c r="AK19" i="278"/>
  <c r="U19" i="278"/>
  <c r="T19" i="278"/>
  <c r="S19" i="278"/>
  <c r="R19" i="278"/>
  <c r="I19" i="278"/>
  <c r="H19" i="278"/>
  <c r="V19" i="278" s="1"/>
  <c r="G19" i="278"/>
  <c r="D19" i="278"/>
  <c r="C19" i="278"/>
  <c r="AO18" i="278"/>
  <c r="AN18" i="278"/>
  <c r="AM18" i="278"/>
  <c r="AL18" i="278"/>
  <c r="AK18" i="278"/>
  <c r="U18" i="278"/>
  <c r="T18" i="278"/>
  <c r="R18" i="278"/>
  <c r="S18" i="278" s="1"/>
  <c r="I18" i="278"/>
  <c r="H18" i="278"/>
  <c r="V18" i="278" s="1"/>
  <c r="G18" i="278"/>
  <c r="D18" i="278"/>
  <c r="C18" i="278"/>
  <c r="AO17" i="278"/>
  <c r="AN17" i="278"/>
  <c r="AM17" i="278"/>
  <c r="AL17" i="278"/>
  <c r="AK17" i="278"/>
  <c r="U17" i="278"/>
  <c r="T17" i="278"/>
  <c r="S17" i="278"/>
  <c r="R17" i="278"/>
  <c r="I17" i="278"/>
  <c r="H17" i="278"/>
  <c r="V17" i="278" s="1"/>
  <c r="G17" i="278"/>
  <c r="D17" i="278"/>
  <c r="C17" i="278"/>
  <c r="AO16" i="278"/>
  <c r="AN16" i="278"/>
  <c r="AM16" i="278"/>
  <c r="AL16" i="278"/>
  <c r="AK16" i="278"/>
  <c r="U16" i="278"/>
  <c r="T16" i="278"/>
  <c r="R16" i="278"/>
  <c r="I16" i="278"/>
  <c r="H16" i="278"/>
  <c r="V16" i="278" s="1"/>
  <c r="G16" i="278"/>
  <c r="D16" i="278"/>
  <c r="C16" i="278"/>
  <c r="AO15" i="278"/>
  <c r="AN15" i="278"/>
  <c r="AM15" i="278"/>
  <c r="AL15" i="278"/>
  <c r="AK15" i="278"/>
  <c r="U15" i="278"/>
  <c r="T15" i="278"/>
  <c r="R15" i="278"/>
  <c r="S15" i="278" s="1"/>
  <c r="I15" i="278"/>
  <c r="H15" i="278"/>
  <c r="V15" i="278" s="1"/>
  <c r="G15" i="278"/>
  <c r="D15" i="278"/>
  <c r="C15" i="278"/>
  <c r="AO14" i="278"/>
  <c r="AN14" i="278"/>
  <c r="AM14" i="278"/>
  <c r="AL14" i="278"/>
  <c r="U14" i="278"/>
  <c r="T14" i="278"/>
  <c r="R14" i="278"/>
  <c r="I14" i="278"/>
  <c r="H14" i="278"/>
  <c r="V14" i="278" s="1"/>
  <c r="G14" i="278"/>
  <c r="D14" i="278"/>
  <c r="C14" i="278"/>
  <c r="AO13" i="278"/>
  <c r="AN13" i="278"/>
  <c r="AM13" i="278"/>
  <c r="U13" i="278"/>
  <c r="T13" i="278"/>
  <c r="R13" i="278"/>
  <c r="I13" i="278"/>
  <c r="H13" i="278"/>
  <c r="V13" i="278" s="1"/>
  <c r="G13" i="278"/>
  <c r="D13" i="278"/>
  <c r="C13" i="278"/>
  <c r="U12" i="278"/>
  <c r="T12" i="278"/>
  <c r="I12" i="278"/>
  <c r="H12" i="278"/>
  <c r="V12" i="278" s="1"/>
  <c r="G12" i="278"/>
  <c r="D12" i="278"/>
  <c r="C12" i="278"/>
  <c r="U11" i="278"/>
  <c r="T11" i="278"/>
  <c r="I11" i="278"/>
  <c r="H11" i="278"/>
  <c r="V11" i="278" s="1"/>
  <c r="G11" i="278"/>
  <c r="D11" i="278"/>
  <c r="C11" i="278"/>
  <c r="U10" i="278"/>
  <c r="T10" i="278"/>
  <c r="I10" i="278"/>
  <c r="H10" i="278"/>
  <c r="V10" i="278" s="1"/>
  <c r="G10" i="278"/>
  <c r="D10" i="278"/>
  <c r="C10" i="278"/>
  <c r="AK14" i="278" s="1"/>
  <c r="U9" i="278"/>
  <c r="T9" i="278"/>
  <c r="I9" i="278"/>
  <c r="H9" i="278"/>
  <c r="V9" i="278" s="1"/>
  <c r="G9" i="278"/>
  <c r="D9" i="278"/>
  <c r="C9" i="278"/>
  <c r="AO8" i="278"/>
  <c r="AN8" i="278"/>
  <c r="AM8" i="278"/>
  <c r="AL8" i="278"/>
  <c r="AC8" i="278"/>
  <c r="AB8" i="278"/>
  <c r="AA8" i="278"/>
  <c r="Z8" i="278"/>
  <c r="Y8" i="278"/>
  <c r="U8" i="278"/>
  <c r="T8" i="278"/>
  <c r="I8" i="278"/>
  <c r="H8" i="278"/>
  <c r="V8" i="278" s="1"/>
  <c r="G8" i="278"/>
  <c r="D8" i="278"/>
  <c r="C8" i="278"/>
  <c r="AL13" i="278" s="1"/>
  <c r="AG7" i="278"/>
  <c r="U7" i="278"/>
  <c r="T7" i="278"/>
  <c r="I7" i="278"/>
  <c r="H7" i="278"/>
  <c r="V7" i="278" s="1"/>
  <c r="G7" i="278"/>
  <c r="D7" i="278"/>
  <c r="C7" i="278"/>
  <c r="AK13" i="278" s="1"/>
  <c r="U6" i="278"/>
  <c r="T6" i="278"/>
  <c r="I6" i="278"/>
  <c r="H6" i="278"/>
  <c r="V6" i="278" s="1"/>
  <c r="G6" i="278"/>
  <c r="D6" i="278"/>
  <c r="C6" i="278"/>
  <c r="AK8" i="278" s="1"/>
  <c r="AJ5" i="278"/>
  <c r="AC7" i="278" s="1"/>
  <c r="AI5" i="278"/>
  <c r="Y22" i="278" s="1"/>
  <c r="AG3" i="278"/>
  <c r="C2" i="278" a="1"/>
  <c r="C2" i="278" s="1"/>
  <c r="B2" i="278" a="1"/>
  <c r="B2" i="278" s="1"/>
  <c r="C1" i="278"/>
  <c r="B1" i="278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AD18" i="4" s="1"/>
  <c r="S22" i="4"/>
  <c r="S21" i="4"/>
  <c r="S20" i="4"/>
  <c r="S19" i="4"/>
  <c r="S18" i="4"/>
  <c r="S17" i="4"/>
  <c r="S16" i="4"/>
  <c r="S15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280" l="1"/>
  <c r="Y18" i="280"/>
  <c r="Z19" i="280"/>
  <c r="Z15" i="280"/>
  <c r="Y16" i="280"/>
  <c r="Y17" i="280"/>
  <c r="Z18" i="280"/>
  <c r="AC14" i="280"/>
  <c r="AA15" i="280"/>
  <c r="Z16" i="280"/>
  <c r="AB17" i="280"/>
  <c r="Y13" i="280"/>
  <c r="AA16" i="280"/>
  <c r="AC13" i="280"/>
  <c r="AA13" i="280"/>
  <c r="AA14" i="280"/>
  <c r="AA21" i="280"/>
  <c r="AB22" i="280"/>
  <c r="AB13" i="280"/>
  <c r="AB14" i="280"/>
  <c r="Y15" i="280"/>
  <c r="AC21" i="280"/>
  <c r="AC22" i="280"/>
  <c r="AB16" i="280"/>
  <c r="AC17" i="280"/>
  <c r="AB18" i="280"/>
  <c r="AA19" i="280"/>
  <c r="AB19" i="280"/>
  <c r="Z20" i="280"/>
  <c r="Y21" i="280"/>
  <c r="Z13" i="280"/>
  <c r="AC19" i="280"/>
  <c r="AC20" i="280"/>
  <c r="Z21" i="280"/>
  <c r="AA22" i="280"/>
  <c r="AG5" i="280"/>
  <c r="X87" i="280"/>
  <c r="AG2" i="280"/>
  <c r="X79" i="280"/>
  <c r="AG4" i="280"/>
  <c r="X85" i="280"/>
  <c r="X86" i="280"/>
  <c r="AG6" i="280"/>
  <c r="Z14" i="280"/>
  <c r="AC15" i="280"/>
  <c r="AA17" i="280"/>
  <c r="AD18" i="280"/>
  <c r="Y19" i="280"/>
  <c r="AB20" i="280"/>
  <c r="Z22" i="280"/>
  <c r="X80" i="280"/>
  <c r="X81" i="280"/>
  <c r="S17" i="280"/>
  <c r="AD17" i="280" s="1"/>
  <c r="AD20" i="280"/>
  <c r="X82" i="280"/>
  <c r="Y7" i="280"/>
  <c r="X83" i="280"/>
  <c r="Z7" i="280"/>
  <c r="AD22" i="280"/>
  <c r="X84" i="280"/>
  <c r="AA7" i="280"/>
  <c r="S16" i="280"/>
  <c r="AD16" i="280" s="1"/>
  <c r="AG11" i="280" s="1"/>
  <c r="AC16" i="280"/>
  <c r="AA18" i="280"/>
  <c r="Y20" i="280"/>
  <c r="AB21" i="280"/>
  <c r="AB7" i="280"/>
  <c r="X78" i="280"/>
  <c r="Y14" i="280"/>
  <c r="AB15" i="280"/>
  <c r="Z17" i="280"/>
  <c r="AC18" i="280"/>
  <c r="AA20" i="280"/>
  <c r="AG9" i="279"/>
  <c r="AA7" i="279"/>
  <c r="AB7" i="279"/>
  <c r="Y7" i="279"/>
  <c r="Z7" i="279"/>
  <c r="AG5" i="279"/>
  <c r="AG2" i="279"/>
  <c r="X79" i="279"/>
  <c r="X87" i="279"/>
  <c r="X86" i="279"/>
  <c r="AG4" i="279"/>
  <c r="X85" i="279"/>
  <c r="AD13" i="279"/>
  <c r="AG6" i="279"/>
  <c r="Z14" i="279"/>
  <c r="AC15" i="279"/>
  <c r="AA17" i="279"/>
  <c r="Y19" i="279"/>
  <c r="AB20" i="279"/>
  <c r="Z22" i="279"/>
  <c r="X80" i="279"/>
  <c r="AA14" i="279"/>
  <c r="Y16" i="279"/>
  <c r="AB17" i="279"/>
  <c r="Z19" i="279"/>
  <c r="S20" i="279"/>
  <c r="AD20" i="279" s="1"/>
  <c r="AC20" i="279"/>
  <c r="AA22" i="279"/>
  <c r="X81" i="279"/>
  <c r="Y13" i="279"/>
  <c r="AB14" i="279"/>
  <c r="Z16" i="279"/>
  <c r="AC17" i="279"/>
  <c r="AA19" i="279"/>
  <c r="Y21" i="279"/>
  <c r="AB22" i="279"/>
  <c r="X82" i="279"/>
  <c r="Z13" i="279"/>
  <c r="AC14" i="279"/>
  <c r="AA16" i="279"/>
  <c r="AD17" i="279"/>
  <c r="Y18" i="279"/>
  <c r="AB19" i="279"/>
  <c r="Z21" i="279"/>
  <c r="AC22" i="279"/>
  <c r="X83" i="279"/>
  <c r="AG5" i="278"/>
  <c r="AA13" i="279"/>
  <c r="Y15" i="279"/>
  <c r="AB16" i="279"/>
  <c r="Z18" i="279"/>
  <c r="S19" i="279"/>
  <c r="AD19" i="279" s="1"/>
  <c r="AC19" i="279"/>
  <c r="AA21" i="279"/>
  <c r="X84" i="279"/>
  <c r="AB13" i="279"/>
  <c r="Z15" i="279"/>
  <c r="AC16" i="279"/>
  <c r="AA18" i="279"/>
  <c r="Y20" i="279"/>
  <c r="AB21" i="279"/>
  <c r="S13" i="279"/>
  <c r="AC13" i="279"/>
  <c r="AA15" i="279"/>
  <c r="AD16" i="279"/>
  <c r="Y17" i="279"/>
  <c r="AB18" i="279"/>
  <c r="Z20" i="279"/>
  <c r="AC21" i="279"/>
  <c r="X78" i="279"/>
  <c r="Y14" i="279"/>
  <c r="AB15" i="279"/>
  <c r="Z17" i="279"/>
  <c r="AC18" i="279"/>
  <c r="AA20" i="279"/>
  <c r="AG9" i="278"/>
  <c r="AA19" i="278"/>
  <c r="AB18" i="278"/>
  <c r="Y14" i="278"/>
  <c r="Y7" i="278"/>
  <c r="AA13" i="278"/>
  <c r="AB7" i="278"/>
  <c r="AC14" i="278"/>
  <c r="AA15" i="278"/>
  <c r="Z16" i="278"/>
  <c r="AC20" i="278"/>
  <c r="AA21" i="278"/>
  <c r="AB22" i="278"/>
  <c r="AB15" i="278"/>
  <c r="AA16" i="278"/>
  <c r="AB21" i="278"/>
  <c r="AC22" i="278"/>
  <c r="Z7" i="278"/>
  <c r="AB16" i="278"/>
  <c r="Y17" i="278"/>
  <c r="Y18" i="278"/>
  <c r="AC21" i="278"/>
  <c r="AA7" i="278"/>
  <c r="Y13" i="278"/>
  <c r="AC16" i="278"/>
  <c r="AB17" i="278"/>
  <c r="Z18" i="278"/>
  <c r="Z13" i="278"/>
  <c r="AC17" i="278"/>
  <c r="AA18" i="278"/>
  <c r="Z19" i="278"/>
  <c r="AB13" i="278"/>
  <c r="AA14" i="278"/>
  <c r="Y15" i="278"/>
  <c r="AB19" i="278"/>
  <c r="Y20" i="278"/>
  <c r="Y21" i="278"/>
  <c r="AC13" i="278"/>
  <c r="AB14" i="278"/>
  <c r="Z15" i="278"/>
  <c r="Y16" i="278"/>
  <c r="AC19" i="278"/>
  <c r="Z20" i="278"/>
  <c r="Z21" i="278"/>
  <c r="AG2" i="278"/>
  <c r="X85" i="278"/>
  <c r="X86" i="278"/>
  <c r="X87" i="278"/>
  <c r="AG4" i="278"/>
  <c r="X79" i="278"/>
  <c r="AG6" i="278"/>
  <c r="AD16" i="278"/>
  <c r="Z14" i="278"/>
  <c r="AC15" i="278"/>
  <c r="AA17" i="278"/>
  <c r="AD18" i="278"/>
  <c r="Y19" i="278"/>
  <c r="AB20" i="278"/>
  <c r="Z22" i="278"/>
  <c r="X80" i="278"/>
  <c r="AD15" i="278"/>
  <c r="AA22" i="278"/>
  <c r="X81" i="278"/>
  <c r="AD20" i="278"/>
  <c r="X82" i="278"/>
  <c r="S14" i="278"/>
  <c r="AD14" i="278" s="1"/>
  <c r="AD17" i="278"/>
  <c r="S22" i="278"/>
  <c r="AD22" i="278" s="1"/>
  <c r="X83" i="278"/>
  <c r="X84" i="278"/>
  <c r="S16" i="278"/>
  <c r="AD19" i="278"/>
  <c r="S13" i="278"/>
  <c r="AD13" i="278" s="1"/>
  <c r="S21" i="278"/>
  <c r="AD21" i="278" s="1"/>
  <c r="X78" i="278"/>
  <c r="Z17" i="278"/>
  <c r="AC18" i="278"/>
  <c r="AA20" i="278"/>
  <c r="AD22" i="4"/>
  <c r="AD21" i="4"/>
  <c r="S13" i="4"/>
  <c r="AD13" i="4" s="1"/>
  <c r="AD15" i="4"/>
  <c r="AD16" i="4"/>
  <c r="AD17" i="4"/>
  <c r="S14" i="4"/>
  <c r="AD14" i="4" s="1"/>
  <c r="AD19" i="4"/>
  <c r="AD20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R11" i="4"/>
  <c r="X65" i="4"/>
  <c r="AC8" i="4"/>
  <c r="Y8" i="4"/>
  <c r="AB8" i="4"/>
  <c r="AA8" i="4"/>
  <c r="Z8" i="4"/>
  <c r="X52" i="4"/>
  <c r="AG10" i="280" l="1"/>
  <c r="R11" i="280"/>
  <c r="AG8" i="280"/>
  <c r="AG8" i="279"/>
  <c r="R11" i="279"/>
  <c r="AG10" i="279"/>
  <c r="AG11" i="279"/>
  <c r="AG8" i="278"/>
  <c r="AG10" i="278"/>
  <c r="R11" i="278"/>
  <c r="AG11" i="278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280" l="1"/>
  <c r="F4" i="1" s="1"/>
  <c r="D1" i="279"/>
  <c r="F3" i="1" s="1"/>
  <c r="D1" i="278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<sst xmlns="http://schemas.openxmlformats.org/spreadsheetml/2006/main" count="420" uniqueCount="177">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</sst>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2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71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A11" sqref="A1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779D9891-F597-4FAA-991B-F3FAAD2BDED7}"/>
    <hyperlink ref="C3" location="'受注'!A1" display="受注" xr:uid="{7588D38B-4630-4795-B40F-7712122CB85A}"/>
    <hyperlink ref="C4" location="'受注明細'!A1" display="受注明細" xr:uid="{D4ECFBA0-503C-48DB-888A-010C2BFB76C3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tabSelected="1" workbookViewId="0">
      <pane ySplit="5" topLeftCell="A6" activePane="bottomLeft" state="frozen"/>
      <selection pane="bottomLeft" activeCell="K3" sqref="K3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S14" s="63" t="b">
        <f t="shared" ref="S14:S22" si="4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6">AND(B38&lt;&gt;"",ISNA(MATCH(B38,項目リスト,0)))</f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6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6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6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6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6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6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6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6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6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6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6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6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6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6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7">AND(N41&lt;&gt;"",ISNA(MATCH(N41,テーブル項目KEY,0)))</f>
        <v>0</v>
      </c>
      <c r="Y52" s="19" t="b">
        <f t="shared" ref="Y52:Y61" si="8">AND(O41&lt;&gt;"",ISNA(MATCH(O41,テーブル項目KEY,0)))</f>
        <v>0</v>
      </c>
      <c r="Z52" s="19" t="b">
        <f t="shared" ref="Z52:Z61" si="9">AND(P41&lt;&gt;"",ISNA(MATCH(P41,テーブル項目KEY,0)))</f>
        <v>0</v>
      </c>
      <c r="AA52" s="19" t="b">
        <f t="shared" ref="AA52:AA61" si="10">AND(Q41&lt;&gt;"",ISNA(MATCH(Q41,テーブル項目KEY,0)))</f>
        <v>0</v>
      </c>
      <c r="AB52" s="19" t="b">
        <f t="shared" ref="AB52:AB61" si="11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6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7"/>
        <v>0</v>
      </c>
      <c r="Y53" s="19" t="b">
        <f t="shared" si="8"/>
        <v>0</v>
      </c>
      <c r="Z53" s="19" t="b">
        <f t="shared" si="9"/>
        <v>0</v>
      </c>
      <c r="AA53" s="19" t="b">
        <f t="shared" si="10"/>
        <v>0</v>
      </c>
      <c r="AB53" s="19" t="b">
        <f t="shared" si="11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6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7"/>
        <v>0</v>
      </c>
      <c r="Y54" s="19" t="b">
        <f t="shared" si="8"/>
        <v>0</v>
      </c>
      <c r="Z54" s="19" t="b">
        <f t="shared" si="9"/>
        <v>0</v>
      </c>
      <c r="AA54" s="19" t="b">
        <f t="shared" si="10"/>
        <v>0</v>
      </c>
      <c r="AB54" s="19" t="b">
        <f t="shared" si="11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6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7"/>
        <v>0</v>
      </c>
      <c r="Y55" s="19" t="b">
        <f t="shared" si="8"/>
        <v>0</v>
      </c>
      <c r="Z55" s="19" t="b">
        <f t="shared" si="9"/>
        <v>0</v>
      </c>
      <c r="AA55" s="19" t="b">
        <f t="shared" si="10"/>
        <v>0</v>
      </c>
      <c r="AB55" s="19" t="b">
        <f t="shared" si="11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6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7"/>
        <v>0</v>
      </c>
      <c r="Y56" s="19" t="b">
        <f t="shared" si="8"/>
        <v>0</v>
      </c>
      <c r="Z56" s="19" t="b">
        <f t="shared" si="9"/>
        <v>0</v>
      </c>
      <c r="AA56" s="19" t="b">
        <f t="shared" si="10"/>
        <v>0</v>
      </c>
      <c r="AB56" s="19" t="b">
        <f t="shared" si="11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6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7"/>
        <v>0</v>
      </c>
      <c r="Y57" s="19" t="b">
        <f t="shared" si="8"/>
        <v>0</v>
      </c>
      <c r="Z57" s="19" t="b">
        <f t="shared" si="9"/>
        <v>0</v>
      </c>
      <c r="AA57" s="19" t="b">
        <f t="shared" si="10"/>
        <v>0</v>
      </c>
      <c r="AB57" s="19" t="b">
        <f t="shared" si="11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6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7"/>
        <v>0</v>
      </c>
      <c r="Y58" s="19" t="b">
        <f t="shared" si="8"/>
        <v>0</v>
      </c>
      <c r="Z58" s="19" t="b">
        <f t="shared" si="9"/>
        <v>0</v>
      </c>
      <c r="AA58" s="19" t="b">
        <f t="shared" si="10"/>
        <v>0</v>
      </c>
      <c r="AB58" s="19" t="b">
        <f t="shared" si="11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6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7"/>
        <v>0</v>
      </c>
      <c r="Y59" s="19" t="b">
        <f t="shared" si="8"/>
        <v>0</v>
      </c>
      <c r="Z59" s="19" t="b">
        <f t="shared" si="9"/>
        <v>0</v>
      </c>
      <c r="AA59" s="19" t="b">
        <f t="shared" si="10"/>
        <v>0</v>
      </c>
      <c r="AB59" s="19" t="b">
        <f t="shared" si="11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6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7"/>
        <v>0</v>
      </c>
      <c r="Y60" s="19" t="b">
        <f t="shared" si="8"/>
        <v>0</v>
      </c>
      <c r="Z60" s="19" t="b">
        <f t="shared" si="9"/>
        <v>0</v>
      </c>
      <c r="AA60" s="19" t="b">
        <f t="shared" si="10"/>
        <v>0</v>
      </c>
      <c r="AB60" s="19" t="b">
        <f t="shared" si="11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6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7"/>
        <v>0</v>
      </c>
      <c r="Y61" s="19" t="b">
        <f t="shared" si="8"/>
        <v>0</v>
      </c>
      <c r="Z61" s="19" t="b">
        <f t="shared" si="9"/>
        <v>0</v>
      </c>
      <c r="AA61" s="19" t="b">
        <f t="shared" si="10"/>
        <v>0</v>
      </c>
      <c r="AB61" s="19" t="b">
        <f t="shared" si="11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6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6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6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6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X74" si="12">COUNTIF($N41:$R41,N41)&gt;1</f>
        <v>0</v>
      </c>
      <c r="Y65" s="19" t="b">
        <f t="shared" ref="Y65:Y74" si="13">COUNTIF($N41:$R41,O41)&gt;1</f>
        <v>0</v>
      </c>
      <c r="Z65" s="19" t="b">
        <f t="shared" ref="Z65:Z74" si="14">COUNTIF($N41:$R41,P41)&gt;1</f>
        <v>0</v>
      </c>
      <c r="AA65" s="19" t="b">
        <f t="shared" ref="AA65:AA74" si="15">COUNTIF($N41:$R41,Q41)&gt;1</f>
        <v>0</v>
      </c>
      <c r="AB65" s="19" t="b">
        <f t="shared" ref="AB65:AB74" si="16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6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2"/>
        <v>0</v>
      </c>
      <c r="Y66" s="19" t="b">
        <f t="shared" si="13"/>
        <v>0</v>
      </c>
      <c r="Z66" s="19" t="b">
        <f t="shared" si="14"/>
        <v>0</v>
      </c>
      <c r="AA66" s="19" t="b">
        <f t="shared" si="15"/>
        <v>0</v>
      </c>
      <c r="AB66" s="19" t="b">
        <f t="shared" si="16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6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2"/>
        <v>0</v>
      </c>
      <c r="Y67" s="19" t="b">
        <f t="shared" si="13"/>
        <v>0</v>
      </c>
      <c r="Z67" s="19" t="b">
        <f t="shared" si="14"/>
        <v>0</v>
      </c>
      <c r="AA67" s="19" t="b">
        <f t="shared" si="15"/>
        <v>0</v>
      </c>
      <c r="AB67" s="19" t="b">
        <f t="shared" si="16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6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2"/>
        <v>0</v>
      </c>
      <c r="Y68" s="19" t="b">
        <f t="shared" si="13"/>
        <v>0</v>
      </c>
      <c r="Z68" s="19" t="b">
        <f t="shared" si="14"/>
        <v>0</v>
      </c>
      <c r="AA68" s="19" t="b">
        <f t="shared" si="15"/>
        <v>0</v>
      </c>
      <c r="AB68" s="19" t="b">
        <f t="shared" si="16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6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2"/>
        <v>0</v>
      </c>
      <c r="Y69" s="19" t="b">
        <f t="shared" si="13"/>
        <v>0</v>
      </c>
      <c r="Z69" s="19" t="b">
        <f t="shared" si="14"/>
        <v>0</v>
      </c>
      <c r="AA69" s="19" t="b">
        <f t="shared" si="15"/>
        <v>0</v>
      </c>
      <c r="AB69" s="19" t="b">
        <f t="shared" si="16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7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2"/>
        <v>0</v>
      </c>
      <c r="Y70" s="19" t="b">
        <f t="shared" si="13"/>
        <v>0</v>
      </c>
      <c r="Z70" s="19" t="b">
        <f t="shared" si="14"/>
        <v>0</v>
      </c>
      <c r="AA70" s="19" t="b">
        <f t="shared" si="15"/>
        <v>0</v>
      </c>
      <c r="AB70" s="19" t="b">
        <f t="shared" si="16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7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2"/>
        <v>0</v>
      </c>
      <c r="Y71" s="19" t="b">
        <f t="shared" si="13"/>
        <v>0</v>
      </c>
      <c r="Z71" s="19" t="b">
        <f t="shared" si="14"/>
        <v>0</v>
      </c>
      <c r="AA71" s="19" t="b">
        <f t="shared" si="15"/>
        <v>0</v>
      </c>
      <c r="AB71" s="19" t="b">
        <f t="shared" si="16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7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2"/>
        <v>0</v>
      </c>
      <c r="Y72" s="19" t="b">
        <f t="shared" si="13"/>
        <v>0</v>
      </c>
      <c r="Z72" s="19" t="b">
        <f t="shared" si="14"/>
        <v>0</v>
      </c>
      <c r="AA72" s="19" t="b">
        <f t="shared" si="15"/>
        <v>0</v>
      </c>
      <c r="AB72" s="19" t="b">
        <f t="shared" si="16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7"/>
        <v>0</v>
      </c>
      <c r="U73" s="19" t="b">
        <f>COUNTIF(FIELD_NAME,B73)&gt;1</f>
        <v>0</v>
      </c>
      <c r="V73" s="19" t="b">
        <f t="shared" ref="V73:V105" ca="1" si="18">AND(E73="",H73&lt;&gt;"",H73)</f>
        <v>0</v>
      </c>
      <c r="X73" s="19" t="b">
        <f t="shared" si="12"/>
        <v>0</v>
      </c>
      <c r="Y73" s="19" t="b">
        <f t="shared" si="13"/>
        <v>0</v>
      </c>
      <c r="Z73" s="19" t="b">
        <f t="shared" si="14"/>
        <v>0</v>
      </c>
      <c r="AA73" s="19" t="b">
        <f t="shared" si="15"/>
        <v>0</v>
      </c>
      <c r="AB73" s="19" t="b">
        <f t="shared" si="16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7"/>
        <v>0</v>
      </c>
      <c r="U74" s="19" t="b">
        <f>COUNTIF(FIELD_NAME,B74)&gt;1</f>
        <v>0</v>
      </c>
      <c r="V74" s="19" t="b">
        <f t="shared" ca="1" si="18"/>
        <v>0</v>
      </c>
      <c r="X74" s="19" t="b">
        <f t="shared" si="12"/>
        <v>0</v>
      </c>
      <c r="Y74" s="19" t="b">
        <f t="shared" si="13"/>
        <v>0</v>
      </c>
      <c r="Z74" s="19" t="b">
        <f t="shared" si="14"/>
        <v>0</v>
      </c>
      <c r="AA74" s="19" t="b">
        <f t="shared" si="15"/>
        <v>0</v>
      </c>
      <c r="AB74" s="19" t="b">
        <f t="shared" si="16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7"/>
        <v>0</v>
      </c>
      <c r="U75" s="19" t="b">
        <f>COUNTIF(FIELD_NAME,B75)&gt;1</f>
        <v>0</v>
      </c>
      <c r="V75" s="19" t="b">
        <f t="shared" ca="1" si="18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7"/>
        <v>0</v>
      </c>
      <c r="U76" s="19" t="b">
        <f>COUNTIF(FIELD_NAME,B76)&gt;1</f>
        <v>0</v>
      </c>
      <c r="V76" s="19" t="b">
        <f t="shared" ca="1" si="18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7"/>
        <v>0</v>
      </c>
      <c r="U77" s="19" t="b">
        <f>COUNTIF(FIELD_NAME,B77)&gt;1</f>
        <v>0</v>
      </c>
      <c r="V77" s="19" t="b">
        <f t="shared" ca="1" si="18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7"/>
        <v>0</v>
      </c>
      <c r="U78" s="19" t="b">
        <f>COUNTIF(FIELD_NAME,B78)&gt;1</f>
        <v>0</v>
      </c>
      <c r="V78" s="19" t="b">
        <f t="shared" ca="1" si="18"/>
        <v>0</v>
      </c>
      <c r="X78" s="19" t="b">
        <f t="shared" ref="X78:X87" ca="1" si="19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7"/>
        <v>0</v>
      </c>
      <c r="U79" s="19" t="b">
        <f>COUNTIF(FIELD_NAME,B79)&gt;1</f>
        <v>0</v>
      </c>
      <c r="V79" s="19" t="b">
        <f t="shared" ca="1" si="18"/>
        <v>0</v>
      </c>
      <c r="X79" s="19" t="b">
        <f t="shared" ca="1" si="19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7"/>
        <v>0</v>
      </c>
      <c r="U80" s="19" t="b">
        <f>COUNTIF(FIELD_NAME,B80)&gt;1</f>
        <v>0</v>
      </c>
      <c r="V80" s="19" t="b">
        <f t="shared" ca="1" si="18"/>
        <v>0</v>
      </c>
      <c r="X80" s="19" t="e">
        <f t="shared" ca="1" si="19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7"/>
        <v>0</v>
      </c>
      <c r="U81" s="19" t="b">
        <f>COUNTIF(FIELD_NAME,B81)&gt;1</f>
        <v>0</v>
      </c>
      <c r="V81" s="19" t="b">
        <f t="shared" ca="1" si="18"/>
        <v>0</v>
      </c>
      <c r="X81" s="19" t="b">
        <f t="shared" ca="1" si="19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7"/>
        <v>0</v>
      </c>
      <c r="U82" s="19" t="b">
        <f>COUNTIF(FIELD_NAME,B82)&gt;1</f>
        <v>0</v>
      </c>
      <c r="V82" s="19" t="b">
        <f t="shared" ca="1" si="18"/>
        <v>0</v>
      </c>
      <c r="X82" s="19" t="b">
        <f t="shared" ca="1" si="19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7"/>
        <v>0</v>
      </c>
      <c r="U83" s="19" t="b">
        <f>COUNTIF(FIELD_NAME,B83)&gt;1</f>
        <v>0</v>
      </c>
      <c r="V83" s="19" t="b">
        <f t="shared" ca="1" si="18"/>
        <v>0</v>
      </c>
      <c r="X83" s="19" t="b">
        <f t="shared" ca="1" si="19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7"/>
        <v>0</v>
      </c>
      <c r="U84" s="19" t="b">
        <f>COUNTIF(FIELD_NAME,B84)&gt;1</f>
        <v>0</v>
      </c>
      <c r="V84" s="19" t="b">
        <f t="shared" ca="1" si="18"/>
        <v>0</v>
      </c>
      <c r="X84" s="19" t="b">
        <f t="shared" ca="1" si="19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7"/>
        <v>0</v>
      </c>
      <c r="U85" s="19" t="b">
        <f>COUNTIF(FIELD_NAME,B85)&gt;1</f>
        <v>0</v>
      </c>
      <c r="V85" s="19" t="b">
        <f t="shared" ca="1" si="18"/>
        <v>0</v>
      </c>
      <c r="X85" s="19" t="e">
        <f t="shared" ca="1" si="19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7"/>
        <v>0</v>
      </c>
      <c r="U86" s="19" t="b">
        <f>COUNTIF(FIELD_NAME,B86)&gt;1</f>
        <v>0</v>
      </c>
      <c r="V86" s="19" t="b">
        <f t="shared" ca="1" si="18"/>
        <v>0</v>
      </c>
      <c r="X86" s="19" t="e">
        <f t="shared" ca="1" si="19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7"/>
        <v>0</v>
      </c>
      <c r="U87" s="19" t="b">
        <f>COUNTIF(FIELD_NAME,B87)&gt;1</f>
        <v>0</v>
      </c>
      <c r="V87" s="19" t="b">
        <f t="shared" ca="1" si="18"/>
        <v>0</v>
      </c>
      <c r="X87" s="19" t="e">
        <f t="shared" ca="1" si="19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7"/>
        <v>0</v>
      </c>
      <c r="U88" s="19" t="b">
        <f>COUNTIF(FIELD_NAME,B88)&gt;1</f>
        <v>0</v>
      </c>
      <c r="V88" s="19" t="b">
        <f t="shared" ca="1" si="18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7"/>
        <v>0</v>
      </c>
      <c r="U89" s="19" t="b">
        <f>COUNTIF(FIELD_NAME,B89)&gt;1</f>
        <v>0</v>
      </c>
      <c r="V89" s="19" t="b">
        <f t="shared" ca="1" si="18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7"/>
        <v>0</v>
      </c>
      <c r="U90" s="19" t="b">
        <f>COUNTIF(FIELD_NAME,B90)&gt;1</f>
        <v>0</v>
      </c>
      <c r="V90" s="19" t="b">
        <f t="shared" ca="1" si="18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7"/>
        <v>0</v>
      </c>
      <c r="U91" s="19" t="b">
        <f>COUNTIF(FIELD_NAME,B91)&gt;1</f>
        <v>0</v>
      </c>
      <c r="V91" s="19" t="b">
        <f t="shared" ca="1" si="18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7"/>
        <v>0</v>
      </c>
      <c r="U92" s="19" t="b">
        <f>COUNTIF(FIELD_NAME,B92)&gt;1</f>
        <v>0</v>
      </c>
      <c r="V92" s="19" t="b">
        <f t="shared" ca="1" si="18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7"/>
        <v>0</v>
      </c>
      <c r="U93" s="19" t="b">
        <f>COUNTIF(FIELD_NAME,B93)&gt;1</f>
        <v>0</v>
      </c>
      <c r="V93" s="19" t="b">
        <f t="shared" ca="1" si="18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7"/>
        <v>0</v>
      </c>
      <c r="U94" s="19" t="b">
        <f>COUNTIF(FIELD_NAME,B94)&gt;1</f>
        <v>0</v>
      </c>
      <c r="V94" s="19" t="b">
        <f t="shared" ca="1" si="18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7"/>
        <v>0</v>
      </c>
      <c r="U95" s="19" t="b">
        <f>COUNTIF(FIELD_NAME,B95)&gt;1</f>
        <v>0</v>
      </c>
      <c r="V95" s="19" t="b">
        <f t="shared" ca="1" si="18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7"/>
        <v>0</v>
      </c>
      <c r="U96" s="19" t="b">
        <f>COUNTIF(FIELD_NAME,B96)&gt;1</f>
        <v>0</v>
      </c>
      <c r="V96" s="19" t="b">
        <f t="shared" ca="1" si="18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7"/>
        <v>0</v>
      </c>
      <c r="U97" s="19" t="b">
        <f>COUNTIF(FIELD_NAME,B97)&gt;1</f>
        <v>0</v>
      </c>
      <c r="V97" s="19" t="b">
        <f t="shared" ca="1" si="18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7"/>
        <v>0</v>
      </c>
      <c r="U98" s="19" t="b">
        <f>COUNTIF(FIELD_NAME,B98)&gt;1</f>
        <v>0</v>
      </c>
      <c r="V98" s="19" t="b">
        <f t="shared" ca="1" si="18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7"/>
        <v>0</v>
      </c>
      <c r="U99" s="19" t="b">
        <f>COUNTIF(FIELD_NAME,B99)&gt;1</f>
        <v>0</v>
      </c>
      <c r="V99" s="19" t="b">
        <f t="shared" ca="1" si="18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7"/>
        <v>0</v>
      </c>
      <c r="U100" s="19" t="b">
        <f>COUNTIF(FIELD_NAME,B100)&gt;1</f>
        <v>0</v>
      </c>
      <c r="V100" s="19" t="b">
        <f t="shared" ca="1" si="18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7"/>
        <v>0</v>
      </c>
      <c r="U101" s="19" t="b">
        <f>COUNTIF(FIELD_NAME,B101)&gt;1</f>
        <v>0</v>
      </c>
      <c r="V101" s="19" t="b">
        <f t="shared" ca="1" si="18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7"/>
        <v>0</v>
      </c>
      <c r="U102" s="19" t="b">
        <f>COUNTIF(FIELD_NAME,B102)&gt;1</f>
        <v>0</v>
      </c>
      <c r="V102" s="19" t="b">
        <f t="shared" ca="1" si="18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7"/>
        <v>0</v>
      </c>
      <c r="U103" s="19" t="b">
        <f>COUNTIF(FIELD_NAME,B103)&gt;1</f>
        <v>0</v>
      </c>
      <c r="V103" s="19" t="b">
        <f t="shared" ca="1" si="18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7"/>
        <v>0</v>
      </c>
      <c r="U104" s="19" t="b">
        <f>COUNTIF(FIELD_NAME,B104)&gt;1</f>
        <v>0</v>
      </c>
      <c r="V104" s="19" t="b">
        <f t="shared" ca="1" si="18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7"/>
        <v>0</v>
      </c>
      <c r="U105" s="19" t="b">
        <f>COUNTIF(FIELD_NAME,B105)&gt;1</f>
        <v>0</v>
      </c>
      <c r="V105" s="19" t="b">
        <f t="shared" ca="1" si="18"/>
        <v>0</v>
      </c>
      <c r="AI105" s="63"/>
      <c r="AJ105" s="74"/>
    </row>
  </sheetData>
  <phoneticPr fontId="2"/>
  <conditionalFormatting sqref="B2:C2">
    <cfRule type="expression" dxfId="43" priority="57">
      <formula>ISERROR(B2)</formula>
    </cfRule>
  </conditionalFormatting>
  <conditionalFormatting sqref="B6:B105">
    <cfRule type="expression" dxfId="42" priority="54">
      <formula>COUNTIF(FIELD_NAME,B6)&gt;1</formula>
    </cfRule>
    <cfRule type="expression" dxfId="41" priority="55">
      <formula>AND($B6&lt;&gt;"",ISNA(MATCH($B6,項目リスト,0)))</formula>
    </cfRule>
  </conditionalFormatting>
  <conditionalFormatting sqref="B6">
    <cfRule type="expression" dxfId="40" priority="49">
      <formula>$AI$6="N/A"</formula>
    </cfRule>
  </conditionalFormatting>
  <conditionalFormatting sqref="E6:E105">
    <cfRule type="expression" dxfId="39" priority="58">
      <formula>$V6</formula>
    </cfRule>
  </conditionalFormatting>
  <conditionalFormatting sqref="D1">
    <cfRule type="cellIs" dxfId="38" priority="38" operator="greaterThan">
      <formula>0</formula>
    </cfRule>
  </conditionalFormatting>
  <conditionalFormatting sqref="L8:P8">
    <cfRule type="expression" dxfId="37" priority="69">
      <formula>Y8</formula>
    </cfRule>
    <cfRule type="expression" dxfId="36" priority="70">
      <formula>Y7</formula>
    </cfRule>
  </conditionalFormatting>
  <conditionalFormatting sqref="L13:P22">
    <cfRule type="expression" dxfId="35" priority="1">
      <formula>Y13</formula>
    </cfRule>
    <cfRule type="expression" dxfId="34" priority="2">
      <formula>$AD13</formula>
    </cfRule>
  </conditionalFormatting>
  <conditionalFormatting sqref="L8">
    <cfRule type="expression" dxfId="33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23F24-5414-4141-8C3F-9251EC6628B4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1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S13" s="63" t="b">
        <f>R13&lt;&gt;""</f>
        <v>1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str">
        <f ca="1">VLOOKUP(L13,FIELD_NAME__,2,FALSE)</f>
        <v>customer_name</v>
      </c>
      <c r="AL13" s="63" t="str">
        <f ca="1">VLOOKUP(M13,FIELD_NAME__,2,FALSE)</f>
        <v>person_in_charge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3">_xlfn.CONCAT(L14:P14)</f>
        <v>登録日</v>
      </c>
      <c r="S14" s="63" t="b">
        <f t="shared" ref="S14:S22" si="4">R14&lt;&gt;""</f>
        <v>1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str">
        <f ca="1">VLOOKUP(L14,FIELD_NAME__,2,FALSE)</f>
        <v>registration_date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6">AND(N41&lt;&gt;"",ISNA(MATCH(N41,テーブル項目KEY,0)))</f>
        <v>0</v>
      </c>
      <c r="Y52" s="19" t="b">
        <f t="shared" ref="Y52:Y61" si="7">AND(O41&lt;&gt;"",ISNA(MATCH(O41,テーブル項目KEY,0)))</f>
        <v>0</v>
      </c>
      <c r="Z52" s="19" t="b">
        <f t="shared" ref="Z52:Z61" si="8">AND(P41&lt;&gt;"",ISNA(MATCH(P41,テーブル項目KEY,0)))</f>
        <v>0</v>
      </c>
      <c r="AA52" s="19" t="b">
        <f t="shared" ref="AA52:AA61" si="9">AND(Q41&lt;&gt;"",ISNA(MATCH(Q41,テーブル項目KEY,0)))</f>
        <v>0</v>
      </c>
      <c r="AB52" s="19" t="b">
        <f t="shared" ref="AB52:AB61" si="10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6"/>
        <v>0</v>
      </c>
      <c r="Y53" s="19" t="b">
        <f t="shared" si="7"/>
        <v>0</v>
      </c>
      <c r="Z53" s="19" t="b">
        <f t="shared" si="8"/>
        <v>0</v>
      </c>
      <c r="AA53" s="19" t="b">
        <f t="shared" si="9"/>
        <v>0</v>
      </c>
      <c r="AB53" s="19" t="b">
        <f t="shared" si="10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6"/>
        <v>0</v>
      </c>
      <c r="Y54" s="19" t="b">
        <f t="shared" si="7"/>
        <v>0</v>
      </c>
      <c r="Z54" s="19" t="b">
        <f t="shared" si="8"/>
        <v>0</v>
      </c>
      <c r="AA54" s="19" t="b">
        <f t="shared" si="9"/>
        <v>0</v>
      </c>
      <c r="AB54" s="19" t="b">
        <f t="shared" si="10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6"/>
        <v>0</v>
      </c>
      <c r="Y55" s="19" t="b">
        <f t="shared" si="7"/>
        <v>0</v>
      </c>
      <c r="Z55" s="19" t="b">
        <f t="shared" si="8"/>
        <v>0</v>
      </c>
      <c r="AA55" s="19" t="b">
        <f t="shared" si="9"/>
        <v>0</v>
      </c>
      <c r="AB55" s="19" t="b">
        <f t="shared" si="10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6"/>
        <v>0</v>
      </c>
      <c r="Y56" s="19" t="b">
        <f t="shared" si="7"/>
        <v>0</v>
      </c>
      <c r="Z56" s="19" t="b">
        <f t="shared" si="8"/>
        <v>0</v>
      </c>
      <c r="AA56" s="19" t="b">
        <f t="shared" si="9"/>
        <v>0</v>
      </c>
      <c r="AB56" s="19" t="b">
        <f t="shared" si="10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6"/>
        <v>0</v>
      </c>
      <c r="Y57" s="19" t="b">
        <f t="shared" si="7"/>
        <v>0</v>
      </c>
      <c r="Z57" s="19" t="b">
        <f t="shared" si="8"/>
        <v>0</v>
      </c>
      <c r="AA57" s="19" t="b">
        <f t="shared" si="9"/>
        <v>0</v>
      </c>
      <c r="AB57" s="19" t="b">
        <f t="shared" si="10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6"/>
        <v>0</v>
      </c>
      <c r="Y58" s="19" t="b">
        <f t="shared" si="7"/>
        <v>0</v>
      </c>
      <c r="Z58" s="19" t="b">
        <f t="shared" si="8"/>
        <v>0</v>
      </c>
      <c r="AA58" s="19" t="b">
        <f t="shared" si="9"/>
        <v>0</v>
      </c>
      <c r="AB58" s="19" t="b">
        <f t="shared" si="10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6"/>
        <v>0</v>
      </c>
      <c r="Y59" s="19" t="b">
        <f t="shared" si="7"/>
        <v>0</v>
      </c>
      <c r="Z59" s="19" t="b">
        <f t="shared" si="8"/>
        <v>0</v>
      </c>
      <c r="AA59" s="19" t="b">
        <f t="shared" si="9"/>
        <v>0</v>
      </c>
      <c r="AB59" s="19" t="b">
        <f t="shared" si="10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6"/>
        <v>0</v>
      </c>
      <c r="Y60" s="19" t="b">
        <f t="shared" si="7"/>
        <v>0</v>
      </c>
      <c r="Z60" s="19" t="b">
        <f t="shared" si="8"/>
        <v>0</v>
      </c>
      <c r="AA60" s="19" t="b">
        <f t="shared" si="9"/>
        <v>0</v>
      </c>
      <c r="AB60" s="19" t="b">
        <f t="shared" si="10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6"/>
        <v>0</v>
      </c>
      <c r="Y61" s="19" t="b">
        <f t="shared" si="7"/>
        <v>0</v>
      </c>
      <c r="Z61" s="19" t="b">
        <f t="shared" si="8"/>
        <v>0</v>
      </c>
      <c r="AA61" s="19" t="b">
        <f t="shared" si="9"/>
        <v>0</v>
      </c>
      <c r="AB61" s="19" t="b">
        <f t="shared" si="10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1">COUNTIF($N41:$R41,N41)&gt;1</f>
        <v>0</v>
      </c>
      <c r="Y65" s="19" t="b">
        <f t="shared" si="11"/>
        <v>0</v>
      </c>
      <c r="Z65" s="19" t="b">
        <f t="shared" si="11"/>
        <v>0</v>
      </c>
      <c r="AA65" s="19" t="b">
        <f t="shared" si="11"/>
        <v>0</v>
      </c>
      <c r="AB65" s="19" t="b">
        <f t="shared" si="11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1"/>
        <v>0</v>
      </c>
      <c r="Y66" s="19" t="b">
        <f t="shared" si="11"/>
        <v>0</v>
      </c>
      <c r="Z66" s="19" t="b">
        <f t="shared" si="11"/>
        <v>0</v>
      </c>
      <c r="AA66" s="19" t="b">
        <f t="shared" si="11"/>
        <v>0</v>
      </c>
      <c r="AB66" s="19" t="b">
        <f t="shared" si="11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1"/>
        <v>0</v>
      </c>
      <c r="Y67" s="19" t="b">
        <f t="shared" si="11"/>
        <v>0</v>
      </c>
      <c r="Z67" s="19" t="b">
        <f t="shared" si="11"/>
        <v>0</v>
      </c>
      <c r="AA67" s="19" t="b">
        <f t="shared" si="11"/>
        <v>0</v>
      </c>
      <c r="AB67" s="19" t="b">
        <f t="shared" si="11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1"/>
        <v>0</v>
      </c>
      <c r="Y68" s="19" t="b">
        <f t="shared" si="11"/>
        <v>0</v>
      </c>
      <c r="Z68" s="19" t="b">
        <f t="shared" si="11"/>
        <v>0</v>
      </c>
      <c r="AA68" s="19" t="b">
        <f t="shared" si="11"/>
        <v>0</v>
      </c>
      <c r="AB68" s="19" t="b">
        <f t="shared" si="11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1"/>
        <v>0</v>
      </c>
      <c r="Y69" s="19" t="b">
        <f t="shared" si="11"/>
        <v>0</v>
      </c>
      <c r="Z69" s="19" t="b">
        <f t="shared" si="11"/>
        <v>0</v>
      </c>
      <c r="AA69" s="19" t="b">
        <f t="shared" si="11"/>
        <v>0</v>
      </c>
      <c r="AB69" s="19" t="b">
        <f t="shared" si="11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2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1"/>
        <v>0</v>
      </c>
      <c r="Y70" s="19" t="b">
        <f t="shared" si="11"/>
        <v>0</v>
      </c>
      <c r="Z70" s="19" t="b">
        <f t="shared" si="11"/>
        <v>0</v>
      </c>
      <c r="AA70" s="19" t="b">
        <f t="shared" si="11"/>
        <v>0</v>
      </c>
      <c r="AB70" s="19" t="b">
        <f t="shared" si="11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2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1"/>
        <v>0</v>
      </c>
      <c r="Y71" s="19" t="b">
        <f t="shared" si="11"/>
        <v>0</v>
      </c>
      <c r="Z71" s="19" t="b">
        <f t="shared" si="11"/>
        <v>0</v>
      </c>
      <c r="AA71" s="19" t="b">
        <f t="shared" si="11"/>
        <v>0</v>
      </c>
      <c r="AB71" s="19" t="b">
        <f t="shared" si="11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2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1"/>
        <v>0</v>
      </c>
      <c r="Y72" s="19" t="b">
        <f t="shared" si="11"/>
        <v>0</v>
      </c>
      <c r="Z72" s="19" t="b">
        <f t="shared" si="11"/>
        <v>0</v>
      </c>
      <c r="AA72" s="19" t="b">
        <f t="shared" si="11"/>
        <v>0</v>
      </c>
      <c r="AB72" s="19" t="b">
        <f t="shared" si="11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2"/>
        <v>0</v>
      </c>
      <c r="U73" s="19" t="b">
        <f>COUNTIF(FIELD_NAME,B73)&gt;1</f>
        <v>0</v>
      </c>
      <c r="V73" s="19" t="b">
        <f t="shared" ref="V73:V105" ca="1" si="13">AND(E73="",H73&lt;&gt;"",H73)</f>
        <v>0</v>
      </c>
      <c r="X73" s="19" t="b">
        <f t="shared" si="11"/>
        <v>0</v>
      </c>
      <c r="Y73" s="19" t="b">
        <f t="shared" si="11"/>
        <v>0</v>
      </c>
      <c r="Z73" s="19" t="b">
        <f t="shared" si="11"/>
        <v>0</v>
      </c>
      <c r="AA73" s="19" t="b">
        <f t="shared" si="11"/>
        <v>0</v>
      </c>
      <c r="AB73" s="19" t="b">
        <f t="shared" si="11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2"/>
        <v>0</v>
      </c>
      <c r="U74" s="19" t="b">
        <f>COUNTIF(FIELD_NAME,B74)&gt;1</f>
        <v>0</v>
      </c>
      <c r="V74" s="19" t="b">
        <f t="shared" ca="1" si="13"/>
        <v>0</v>
      </c>
      <c r="X74" s="19" t="b">
        <f t="shared" si="11"/>
        <v>0</v>
      </c>
      <c r="Y74" s="19" t="b">
        <f t="shared" si="11"/>
        <v>0</v>
      </c>
      <c r="Z74" s="19" t="b">
        <f t="shared" si="11"/>
        <v>0</v>
      </c>
      <c r="AA74" s="19" t="b">
        <f t="shared" si="11"/>
        <v>0</v>
      </c>
      <c r="AB74" s="19" t="b">
        <f t="shared" si="11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2"/>
        <v>0</v>
      </c>
      <c r="U75" s="19" t="b">
        <f>COUNTIF(FIELD_NAME,B75)&gt;1</f>
        <v>0</v>
      </c>
      <c r="V75" s="19" t="b">
        <f t="shared" ca="1" si="13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2"/>
        <v>0</v>
      </c>
      <c r="U76" s="19" t="b">
        <f>COUNTIF(FIELD_NAME,B76)&gt;1</f>
        <v>0</v>
      </c>
      <c r="V76" s="19" t="b">
        <f t="shared" ca="1" si="13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2"/>
        <v>0</v>
      </c>
      <c r="U77" s="19" t="b">
        <f>COUNTIF(FIELD_NAME,B77)&gt;1</f>
        <v>0</v>
      </c>
      <c r="V77" s="19" t="b">
        <f t="shared" ca="1" si="13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2"/>
        <v>0</v>
      </c>
      <c r="U78" s="19" t="b">
        <f>COUNTIF(FIELD_NAME,B78)&gt;1</f>
        <v>0</v>
      </c>
      <c r="V78" s="19" t="b">
        <f t="shared" ca="1" si="13"/>
        <v>0</v>
      </c>
      <c r="X78" s="19" t="b">
        <f t="shared" ref="X78:X87" ca="1" si="14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2"/>
        <v>0</v>
      </c>
      <c r="U79" s="19" t="b">
        <f>COUNTIF(FIELD_NAME,B79)&gt;1</f>
        <v>0</v>
      </c>
      <c r="V79" s="19" t="b">
        <f t="shared" ca="1" si="13"/>
        <v>0</v>
      </c>
      <c r="X79" s="19" t="b">
        <f t="shared" ca="1" si="14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2"/>
        <v>0</v>
      </c>
      <c r="U80" s="19" t="b">
        <f>COUNTIF(FIELD_NAME,B80)&gt;1</f>
        <v>0</v>
      </c>
      <c r="V80" s="19" t="b">
        <f t="shared" ca="1" si="13"/>
        <v>0</v>
      </c>
      <c r="X80" s="19" t="b">
        <f t="shared" ca="1" si="14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2"/>
        <v>0</v>
      </c>
      <c r="U81" s="19" t="b">
        <f>COUNTIF(FIELD_NAME,B81)&gt;1</f>
        <v>0</v>
      </c>
      <c r="V81" s="19" t="b">
        <f t="shared" ca="1" si="13"/>
        <v>0</v>
      </c>
      <c r="X81" s="19" t="b">
        <f t="shared" ca="1" si="14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2"/>
        <v>0</v>
      </c>
      <c r="U82" s="19" t="b">
        <f>COUNTIF(FIELD_NAME,B82)&gt;1</f>
        <v>0</v>
      </c>
      <c r="V82" s="19" t="b">
        <f t="shared" ca="1" si="13"/>
        <v>0</v>
      </c>
      <c r="X82" s="19" t="b">
        <f t="shared" ca="1" si="14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2"/>
        <v>0</v>
      </c>
      <c r="U83" s="19" t="b">
        <f>COUNTIF(FIELD_NAME,B83)&gt;1</f>
        <v>0</v>
      </c>
      <c r="V83" s="19" t="b">
        <f t="shared" ca="1" si="13"/>
        <v>0</v>
      </c>
      <c r="X83" s="19" t="b">
        <f t="shared" ca="1" si="14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2"/>
        <v>0</v>
      </c>
      <c r="U84" s="19" t="b">
        <f>COUNTIF(FIELD_NAME,B84)&gt;1</f>
        <v>0</v>
      </c>
      <c r="V84" s="19" t="b">
        <f t="shared" ca="1" si="13"/>
        <v>0</v>
      </c>
      <c r="X84" s="19" t="b">
        <f t="shared" ca="1" si="14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2"/>
        <v>0</v>
      </c>
      <c r="U85" s="19" t="b">
        <f>COUNTIF(FIELD_NAME,B85)&gt;1</f>
        <v>0</v>
      </c>
      <c r="V85" s="19" t="b">
        <f t="shared" ca="1" si="13"/>
        <v>0</v>
      </c>
      <c r="X85" s="19" t="b">
        <f t="shared" ca="1" si="14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2"/>
        <v>0</v>
      </c>
      <c r="U86" s="19" t="b">
        <f>COUNTIF(FIELD_NAME,B86)&gt;1</f>
        <v>0</v>
      </c>
      <c r="V86" s="19" t="b">
        <f t="shared" ca="1" si="13"/>
        <v>0</v>
      </c>
      <c r="X86" s="19" t="b">
        <f t="shared" ca="1" si="14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2"/>
        <v>0</v>
      </c>
      <c r="U87" s="19" t="b">
        <f>COUNTIF(FIELD_NAME,B87)&gt;1</f>
        <v>0</v>
      </c>
      <c r="V87" s="19" t="b">
        <f t="shared" ca="1" si="13"/>
        <v>0</v>
      </c>
      <c r="X87" s="19" t="e">
        <f t="shared" ca="1" si="14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2"/>
        <v>0</v>
      </c>
      <c r="U88" s="19" t="b">
        <f>COUNTIF(FIELD_NAME,B88)&gt;1</f>
        <v>0</v>
      </c>
      <c r="V88" s="19" t="b">
        <f t="shared" ca="1" si="13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2"/>
        <v>0</v>
      </c>
      <c r="U89" s="19" t="b">
        <f>COUNTIF(FIELD_NAME,B89)&gt;1</f>
        <v>0</v>
      </c>
      <c r="V89" s="19" t="b">
        <f t="shared" ca="1" si="13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2"/>
        <v>0</v>
      </c>
      <c r="U90" s="19" t="b">
        <f>COUNTIF(FIELD_NAME,B90)&gt;1</f>
        <v>0</v>
      </c>
      <c r="V90" s="19" t="b">
        <f t="shared" ca="1" si="13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2"/>
        <v>0</v>
      </c>
      <c r="U91" s="19" t="b">
        <f>COUNTIF(FIELD_NAME,B91)&gt;1</f>
        <v>0</v>
      </c>
      <c r="V91" s="19" t="b">
        <f t="shared" ca="1" si="13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2"/>
        <v>0</v>
      </c>
      <c r="U92" s="19" t="b">
        <f>COUNTIF(FIELD_NAME,B92)&gt;1</f>
        <v>0</v>
      </c>
      <c r="V92" s="19" t="b">
        <f t="shared" ca="1" si="13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2"/>
        <v>0</v>
      </c>
      <c r="U93" s="19" t="b">
        <f>COUNTIF(FIELD_NAME,B93)&gt;1</f>
        <v>0</v>
      </c>
      <c r="V93" s="19" t="b">
        <f t="shared" ca="1" si="13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2"/>
        <v>0</v>
      </c>
      <c r="U94" s="19" t="b">
        <f>COUNTIF(FIELD_NAME,B94)&gt;1</f>
        <v>0</v>
      </c>
      <c r="V94" s="19" t="b">
        <f t="shared" ca="1" si="13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2"/>
        <v>0</v>
      </c>
      <c r="U95" s="19" t="b">
        <f>COUNTIF(FIELD_NAME,B95)&gt;1</f>
        <v>0</v>
      </c>
      <c r="V95" s="19" t="b">
        <f t="shared" ca="1" si="13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2"/>
        <v>0</v>
      </c>
      <c r="U96" s="19" t="b">
        <f>COUNTIF(FIELD_NAME,B96)&gt;1</f>
        <v>0</v>
      </c>
      <c r="V96" s="19" t="b">
        <f t="shared" ca="1" si="13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2"/>
        <v>0</v>
      </c>
      <c r="U97" s="19" t="b">
        <f>COUNTIF(FIELD_NAME,B97)&gt;1</f>
        <v>0</v>
      </c>
      <c r="V97" s="19" t="b">
        <f t="shared" ca="1" si="13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2"/>
        <v>0</v>
      </c>
      <c r="U98" s="19" t="b">
        <f>COUNTIF(FIELD_NAME,B98)&gt;1</f>
        <v>0</v>
      </c>
      <c r="V98" s="19" t="b">
        <f t="shared" ca="1" si="13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2"/>
        <v>0</v>
      </c>
      <c r="U99" s="19" t="b">
        <f>COUNTIF(FIELD_NAME,B99)&gt;1</f>
        <v>0</v>
      </c>
      <c r="V99" s="19" t="b">
        <f t="shared" ca="1" si="13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2"/>
        <v>0</v>
      </c>
      <c r="U100" s="19" t="b">
        <f>COUNTIF(FIELD_NAME,B100)&gt;1</f>
        <v>0</v>
      </c>
      <c r="V100" s="19" t="b">
        <f t="shared" ca="1" si="13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2"/>
        <v>0</v>
      </c>
      <c r="U101" s="19" t="b">
        <f>COUNTIF(FIELD_NAME,B101)&gt;1</f>
        <v>0</v>
      </c>
      <c r="V101" s="19" t="b">
        <f t="shared" ca="1" si="13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2"/>
        <v>0</v>
      </c>
      <c r="U102" s="19" t="b">
        <f>COUNTIF(FIELD_NAME,B102)&gt;1</f>
        <v>0</v>
      </c>
      <c r="V102" s="19" t="b">
        <f t="shared" ca="1" si="13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2"/>
        <v>0</v>
      </c>
      <c r="U103" s="19" t="b">
        <f>COUNTIF(FIELD_NAME,B103)&gt;1</f>
        <v>0</v>
      </c>
      <c r="V103" s="19" t="b">
        <f t="shared" ca="1" si="13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2"/>
        <v>0</v>
      </c>
      <c r="U104" s="19" t="b">
        <f>COUNTIF(FIELD_NAME,B104)&gt;1</f>
        <v>0</v>
      </c>
      <c r="V104" s="19" t="b">
        <f t="shared" ca="1" si="13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2"/>
        <v>0</v>
      </c>
      <c r="U105" s="19" t="b">
        <f>COUNTIF(FIELD_NAME,B105)&gt;1</f>
        <v>0</v>
      </c>
      <c r="V105" s="19" t="b">
        <f t="shared" ca="1" si="13"/>
        <v>0</v>
      </c>
      <c r="AI105" s="63"/>
      <c r="AJ105" s="74"/>
    </row>
  </sheetData>
  <phoneticPr fontId="2"/>
  <conditionalFormatting sqref="B2:C2">
    <cfRule type="expression" dxfId="32" priority="7">
      <formula>ISERROR(B2)</formula>
    </cfRule>
  </conditionalFormatting>
  <conditionalFormatting sqref="B6:B105">
    <cfRule type="expression" dxfId="31" priority="5">
      <formula>COUNTIF(FIELD_NAME,B6)&gt;1</formula>
    </cfRule>
    <cfRule type="expression" dxfId="30" priority="6">
      <formula>AND($B6&lt;&gt;"",ISNA(MATCH($B6,項目リスト,0)))</formula>
    </cfRule>
  </conditionalFormatting>
  <conditionalFormatting sqref="B6">
    <cfRule type="expression" dxfId="29" priority="4">
      <formula>$AI$6="N/A"</formula>
    </cfRule>
  </conditionalFormatting>
  <conditionalFormatting sqref="E6:E105">
    <cfRule type="expression" dxfId="28" priority="8">
      <formula>$V6</formula>
    </cfRule>
  </conditionalFormatting>
  <conditionalFormatting sqref="D1">
    <cfRule type="cellIs" dxfId="27" priority="3" operator="greaterThan">
      <formula>0</formula>
    </cfRule>
  </conditionalFormatting>
  <conditionalFormatting sqref="L8:P8">
    <cfRule type="expression" dxfId="26" priority="10">
      <formula>Y8</formula>
    </cfRule>
    <cfRule type="expression" dxfId="25" priority="11">
      <formula>Y7</formula>
    </cfRule>
  </conditionalFormatting>
  <conditionalFormatting sqref="L13:P22">
    <cfRule type="expression" dxfId="24" priority="1">
      <formula>Y13</formula>
    </cfRule>
    <cfRule type="expression" dxfId="23" priority="2">
      <formula>$AD13</formula>
    </cfRule>
  </conditionalFormatting>
  <conditionalFormatting sqref="L8">
    <cfRule type="expression" dxfId="22" priority="9">
      <formula>$AG$7</formula>
    </cfRule>
  </conditionalFormatting>
  <dataValidations count="6">
    <dataValidation imeMode="off" allowBlank="1" showInputMessage="1" showErrorMessage="1" sqref="D5:F5 C2" xr:uid="{E4859009-E6F9-424B-85A9-9B2990EBE63F}"/>
    <dataValidation type="list" allowBlank="1" showInputMessage="1" showErrorMessage="1" sqref="L13:P22" xr:uid="{D65FCE08-8112-4012-AD7E-5A5C2B6B83FE}">
      <formula1>FIELDリスト</formula1>
    </dataValidation>
    <dataValidation type="list" allowBlank="1" showInputMessage="1" showErrorMessage="1" sqref="L8:P8" xr:uid="{AD118120-79BC-40D9-A0E8-6ED29A1876E0}">
      <formula1>FIELDリストNN</formula1>
    </dataValidation>
    <dataValidation type="whole" imeMode="off" operator="equal" allowBlank="1" showInputMessage="1" showErrorMessage="1" error="NotNullの場合は[1]を入力する。" sqref="E6:E105" xr:uid="{69153FA2-AFCD-4184-8E0B-46D7F55999E9}">
      <formula1>1</formula1>
    </dataValidation>
    <dataValidation type="list" allowBlank="1" showInputMessage="1" showErrorMessage="1" sqref="B6:B105" xr:uid="{F35BD121-BE55-497F-8FAA-C6F080284018}">
      <formula1>項目リスト</formula1>
    </dataValidation>
    <dataValidation imeMode="on" allowBlank="1" showInputMessage="1" showErrorMessage="1" sqref="K12 A5 A1:A2 F6:I105 K7" xr:uid="{6D4C39FA-B2B1-408F-93D9-95EDB58CBA4D}"/>
  </dataValidations>
  <hyperlinks>
    <hyperlink ref="E1" location="一覧!R1C1" display="一覧へ" xr:uid="{A6E32BAE-D9CE-4AD9-B24F-6E8F762AA80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50D0A-7C23-496B-B340-354C81CA5D18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S14" s="63" t="b">
        <f t="shared" ref="S14:S22" si="4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6">AND(N41&lt;&gt;"",ISNA(MATCH(N41,テーブル項目KEY,0)))</f>
        <v>0</v>
      </c>
      <c r="Y52" s="19" t="b">
        <f t="shared" ref="Y52:Y61" si="7">AND(O41&lt;&gt;"",ISNA(MATCH(O41,テーブル項目KEY,0)))</f>
        <v>0</v>
      </c>
      <c r="Z52" s="19" t="b">
        <f t="shared" ref="Z52:Z61" si="8">AND(P41&lt;&gt;"",ISNA(MATCH(P41,テーブル項目KEY,0)))</f>
        <v>0</v>
      </c>
      <c r="AA52" s="19" t="b">
        <f t="shared" ref="AA52:AA61" si="9">AND(Q41&lt;&gt;"",ISNA(MATCH(Q41,テーブル項目KEY,0)))</f>
        <v>0</v>
      </c>
      <c r="AB52" s="19" t="b">
        <f t="shared" ref="AB52:AB61" si="10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6"/>
        <v>0</v>
      </c>
      <c r="Y53" s="19" t="b">
        <f t="shared" si="7"/>
        <v>0</v>
      </c>
      <c r="Z53" s="19" t="b">
        <f t="shared" si="8"/>
        <v>0</v>
      </c>
      <c r="AA53" s="19" t="b">
        <f t="shared" si="9"/>
        <v>0</v>
      </c>
      <c r="AB53" s="19" t="b">
        <f t="shared" si="10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6"/>
        <v>0</v>
      </c>
      <c r="Y54" s="19" t="b">
        <f t="shared" si="7"/>
        <v>0</v>
      </c>
      <c r="Z54" s="19" t="b">
        <f t="shared" si="8"/>
        <v>0</v>
      </c>
      <c r="AA54" s="19" t="b">
        <f t="shared" si="9"/>
        <v>0</v>
      </c>
      <c r="AB54" s="19" t="b">
        <f t="shared" si="10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6"/>
        <v>0</v>
      </c>
      <c r="Y55" s="19" t="b">
        <f t="shared" si="7"/>
        <v>0</v>
      </c>
      <c r="Z55" s="19" t="b">
        <f t="shared" si="8"/>
        <v>0</v>
      </c>
      <c r="AA55" s="19" t="b">
        <f t="shared" si="9"/>
        <v>0</v>
      </c>
      <c r="AB55" s="19" t="b">
        <f t="shared" si="10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6"/>
        <v>0</v>
      </c>
      <c r="Y56" s="19" t="b">
        <f t="shared" si="7"/>
        <v>0</v>
      </c>
      <c r="Z56" s="19" t="b">
        <f t="shared" si="8"/>
        <v>0</v>
      </c>
      <c r="AA56" s="19" t="b">
        <f t="shared" si="9"/>
        <v>0</v>
      </c>
      <c r="AB56" s="19" t="b">
        <f t="shared" si="10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6"/>
        <v>0</v>
      </c>
      <c r="Y57" s="19" t="b">
        <f t="shared" si="7"/>
        <v>0</v>
      </c>
      <c r="Z57" s="19" t="b">
        <f t="shared" si="8"/>
        <v>0</v>
      </c>
      <c r="AA57" s="19" t="b">
        <f t="shared" si="9"/>
        <v>0</v>
      </c>
      <c r="AB57" s="19" t="b">
        <f t="shared" si="10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6"/>
        <v>0</v>
      </c>
      <c r="Y58" s="19" t="b">
        <f t="shared" si="7"/>
        <v>0</v>
      </c>
      <c r="Z58" s="19" t="b">
        <f t="shared" si="8"/>
        <v>0</v>
      </c>
      <c r="AA58" s="19" t="b">
        <f t="shared" si="9"/>
        <v>0</v>
      </c>
      <c r="AB58" s="19" t="b">
        <f t="shared" si="10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6"/>
        <v>0</v>
      </c>
      <c r="Y59" s="19" t="b">
        <f t="shared" si="7"/>
        <v>0</v>
      </c>
      <c r="Z59" s="19" t="b">
        <f t="shared" si="8"/>
        <v>0</v>
      </c>
      <c r="AA59" s="19" t="b">
        <f t="shared" si="9"/>
        <v>0</v>
      </c>
      <c r="AB59" s="19" t="b">
        <f t="shared" si="10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6"/>
        <v>0</v>
      </c>
      <c r="Y60" s="19" t="b">
        <f t="shared" si="7"/>
        <v>0</v>
      </c>
      <c r="Z60" s="19" t="b">
        <f t="shared" si="8"/>
        <v>0</v>
      </c>
      <c r="AA60" s="19" t="b">
        <f t="shared" si="9"/>
        <v>0</v>
      </c>
      <c r="AB60" s="19" t="b">
        <f t="shared" si="10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6"/>
        <v>0</v>
      </c>
      <c r="Y61" s="19" t="b">
        <f t="shared" si="7"/>
        <v>0</v>
      </c>
      <c r="Z61" s="19" t="b">
        <f t="shared" si="8"/>
        <v>0</v>
      </c>
      <c r="AA61" s="19" t="b">
        <f t="shared" si="9"/>
        <v>0</v>
      </c>
      <c r="AB61" s="19" t="b">
        <f t="shared" si="10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1">COUNTIF($N41:$R41,N41)&gt;1</f>
        <v>0</v>
      </c>
      <c r="Y65" s="19" t="b">
        <f t="shared" si="11"/>
        <v>0</v>
      </c>
      <c r="Z65" s="19" t="b">
        <f t="shared" si="11"/>
        <v>0</v>
      </c>
      <c r="AA65" s="19" t="b">
        <f t="shared" si="11"/>
        <v>0</v>
      </c>
      <c r="AB65" s="19" t="b">
        <f t="shared" si="11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1"/>
        <v>0</v>
      </c>
      <c r="Y66" s="19" t="b">
        <f t="shared" si="11"/>
        <v>0</v>
      </c>
      <c r="Z66" s="19" t="b">
        <f t="shared" si="11"/>
        <v>0</v>
      </c>
      <c r="AA66" s="19" t="b">
        <f t="shared" si="11"/>
        <v>0</v>
      </c>
      <c r="AB66" s="19" t="b">
        <f t="shared" si="11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1"/>
        <v>0</v>
      </c>
      <c r="Y67" s="19" t="b">
        <f t="shared" si="11"/>
        <v>0</v>
      </c>
      <c r="Z67" s="19" t="b">
        <f t="shared" si="11"/>
        <v>0</v>
      </c>
      <c r="AA67" s="19" t="b">
        <f t="shared" si="11"/>
        <v>0</v>
      </c>
      <c r="AB67" s="19" t="b">
        <f t="shared" si="11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1"/>
        <v>0</v>
      </c>
      <c r="Y68" s="19" t="b">
        <f t="shared" si="11"/>
        <v>0</v>
      </c>
      <c r="Z68" s="19" t="b">
        <f t="shared" si="11"/>
        <v>0</v>
      </c>
      <c r="AA68" s="19" t="b">
        <f t="shared" si="11"/>
        <v>0</v>
      </c>
      <c r="AB68" s="19" t="b">
        <f t="shared" si="11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1"/>
        <v>0</v>
      </c>
      <c r="Y69" s="19" t="b">
        <f t="shared" si="11"/>
        <v>0</v>
      </c>
      <c r="Z69" s="19" t="b">
        <f t="shared" si="11"/>
        <v>0</v>
      </c>
      <c r="AA69" s="19" t="b">
        <f t="shared" si="11"/>
        <v>0</v>
      </c>
      <c r="AB69" s="19" t="b">
        <f t="shared" si="11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2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1"/>
        <v>0</v>
      </c>
      <c r="Y70" s="19" t="b">
        <f t="shared" si="11"/>
        <v>0</v>
      </c>
      <c r="Z70" s="19" t="b">
        <f t="shared" si="11"/>
        <v>0</v>
      </c>
      <c r="AA70" s="19" t="b">
        <f t="shared" si="11"/>
        <v>0</v>
      </c>
      <c r="AB70" s="19" t="b">
        <f t="shared" si="11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2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1"/>
        <v>0</v>
      </c>
      <c r="Y71" s="19" t="b">
        <f t="shared" si="11"/>
        <v>0</v>
      </c>
      <c r="Z71" s="19" t="b">
        <f t="shared" si="11"/>
        <v>0</v>
      </c>
      <c r="AA71" s="19" t="b">
        <f t="shared" si="11"/>
        <v>0</v>
      </c>
      <c r="AB71" s="19" t="b">
        <f t="shared" si="11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2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1"/>
        <v>0</v>
      </c>
      <c r="Y72" s="19" t="b">
        <f t="shared" si="11"/>
        <v>0</v>
      </c>
      <c r="Z72" s="19" t="b">
        <f t="shared" si="11"/>
        <v>0</v>
      </c>
      <c r="AA72" s="19" t="b">
        <f t="shared" si="11"/>
        <v>0</v>
      </c>
      <c r="AB72" s="19" t="b">
        <f t="shared" si="11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2"/>
        <v>0</v>
      </c>
      <c r="U73" s="19" t="b">
        <f>COUNTIF(FIELD_NAME,B73)&gt;1</f>
        <v>0</v>
      </c>
      <c r="V73" s="19" t="b">
        <f t="shared" ref="V73:V105" ca="1" si="13">AND(E73="",H73&lt;&gt;"",H73)</f>
        <v>0</v>
      </c>
      <c r="X73" s="19" t="b">
        <f t="shared" si="11"/>
        <v>0</v>
      </c>
      <c r="Y73" s="19" t="b">
        <f t="shared" si="11"/>
        <v>0</v>
      </c>
      <c r="Z73" s="19" t="b">
        <f t="shared" si="11"/>
        <v>0</v>
      </c>
      <c r="AA73" s="19" t="b">
        <f t="shared" si="11"/>
        <v>0</v>
      </c>
      <c r="AB73" s="19" t="b">
        <f t="shared" si="11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2"/>
        <v>0</v>
      </c>
      <c r="U74" s="19" t="b">
        <f>COUNTIF(FIELD_NAME,B74)&gt;1</f>
        <v>0</v>
      </c>
      <c r="V74" s="19" t="b">
        <f t="shared" ca="1" si="13"/>
        <v>0</v>
      </c>
      <c r="X74" s="19" t="b">
        <f t="shared" si="11"/>
        <v>0</v>
      </c>
      <c r="Y74" s="19" t="b">
        <f t="shared" si="11"/>
        <v>0</v>
      </c>
      <c r="Z74" s="19" t="b">
        <f t="shared" si="11"/>
        <v>0</v>
      </c>
      <c r="AA74" s="19" t="b">
        <f t="shared" si="11"/>
        <v>0</v>
      </c>
      <c r="AB74" s="19" t="b">
        <f t="shared" si="11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2"/>
        <v>0</v>
      </c>
      <c r="U75" s="19" t="b">
        <f>COUNTIF(FIELD_NAME,B75)&gt;1</f>
        <v>0</v>
      </c>
      <c r="V75" s="19" t="b">
        <f t="shared" ca="1" si="13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2"/>
        <v>0</v>
      </c>
      <c r="U76" s="19" t="b">
        <f>COUNTIF(FIELD_NAME,B76)&gt;1</f>
        <v>0</v>
      </c>
      <c r="V76" s="19" t="b">
        <f t="shared" ca="1" si="13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2"/>
        <v>0</v>
      </c>
      <c r="U77" s="19" t="b">
        <f>COUNTIF(FIELD_NAME,B77)&gt;1</f>
        <v>0</v>
      </c>
      <c r="V77" s="19" t="b">
        <f t="shared" ca="1" si="13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2"/>
        <v>0</v>
      </c>
      <c r="U78" s="19" t="b">
        <f>COUNTIF(FIELD_NAME,B78)&gt;1</f>
        <v>0</v>
      </c>
      <c r="V78" s="19" t="b">
        <f t="shared" ca="1" si="13"/>
        <v>0</v>
      </c>
      <c r="X78" s="19" t="b">
        <f t="shared" ref="X78:X87" ca="1" si="14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2"/>
        <v>0</v>
      </c>
      <c r="U79" s="19" t="b">
        <f>COUNTIF(FIELD_NAME,B79)&gt;1</f>
        <v>0</v>
      </c>
      <c r="V79" s="19" t="b">
        <f t="shared" ca="1" si="13"/>
        <v>0</v>
      </c>
      <c r="X79" s="19" t="b">
        <f t="shared" ca="1" si="14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2"/>
        <v>0</v>
      </c>
      <c r="U80" s="19" t="b">
        <f>COUNTIF(FIELD_NAME,B80)&gt;1</f>
        <v>0</v>
      </c>
      <c r="V80" s="19" t="b">
        <f t="shared" ca="1" si="13"/>
        <v>0</v>
      </c>
      <c r="X80" s="19" t="b">
        <f t="shared" ca="1" si="14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2"/>
        <v>0</v>
      </c>
      <c r="U81" s="19" t="b">
        <f>COUNTIF(FIELD_NAME,B81)&gt;1</f>
        <v>0</v>
      </c>
      <c r="V81" s="19" t="b">
        <f t="shared" ca="1" si="13"/>
        <v>0</v>
      </c>
      <c r="X81" s="19" t="b">
        <f t="shared" ca="1" si="14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2"/>
        <v>0</v>
      </c>
      <c r="U82" s="19" t="b">
        <f>COUNTIF(FIELD_NAME,B82)&gt;1</f>
        <v>0</v>
      </c>
      <c r="V82" s="19" t="b">
        <f t="shared" ca="1" si="13"/>
        <v>0</v>
      </c>
      <c r="X82" s="19" t="b">
        <f t="shared" ca="1" si="14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2"/>
        <v>0</v>
      </c>
      <c r="U83" s="19" t="b">
        <f>COUNTIF(FIELD_NAME,B83)&gt;1</f>
        <v>0</v>
      </c>
      <c r="V83" s="19" t="b">
        <f t="shared" ca="1" si="13"/>
        <v>0</v>
      </c>
      <c r="X83" s="19" t="b">
        <f t="shared" ca="1" si="14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2"/>
        <v>0</v>
      </c>
      <c r="U84" s="19" t="b">
        <f>COUNTIF(FIELD_NAME,B84)&gt;1</f>
        <v>0</v>
      </c>
      <c r="V84" s="19" t="b">
        <f t="shared" ca="1" si="13"/>
        <v>0</v>
      </c>
      <c r="X84" s="19" t="b">
        <f t="shared" ca="1" si="14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2"/>
        <v>0</v>
      </c>
      <c r="U85" s="19" t="b">
        <f>COUNTIF(FIELD_NAME,B85)&gt;1</f>
        <v>0</v>
      </c>
      <c r="V85" s="19" t="b">
        <f t="shared" ca="1" si="13"/>
        <v>0</v>
      </c>
      <c r="X85" s="19" t="e">
        <f t="shared" ca="1" si="14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2"/>
        <v>0</v>
      </c>
      <c r="U86" s="19" t="b">
        <f>COUNTIF(FIELD_NAME,B86)&gt;1</f>
        <v>0</v>
      </c>
      <c r="V86" s="19" t="b">
        <f t="shared" ca="1" si="13"/>
        <v>0</v>
      </c>
      <c r="X86" s="19" t="e">
        <f t="shared" ca="1" si="14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2"/>
        <v>0</v>
      </c>
      <c r="U87" s="19" t="b">
        <f>COUNTIF(FIELD_NAME,B87)&gt;1</f>
        <v>0</v>
      </c>
      <c r="V87" s="19" t="b">
        <f t="shared" ca="1" si="13"/>
        <v>0</v>
      </c>
      <c r="X87" s="19" t="e">
        <f t="shared" ca="1" si="14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2"/>
        <v>0</v>
      </c>
      <c r="U88" s="19" t="b">
        <f>COUNTIF(FIELD_NAME,B88)&gt;1</f>
        <v>0</v>
      </c>
      <c r="V88" s="19" t="b">
        <f t="shared" ca="1" si="13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2"/>
        <v>0</v>
      </c>
      <c r="U89" s="19" t="b">
        <f>COUNTIF(FIELD_NAME,B89)&gt;1</f>
        <v>0</v>
      </c>
      <c r="V89" s="19" t="b">
        <f t="shared" ca="1" si="13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2"/>
        <v>0</v>
      </c>
      <c r="U90" s="19" t="b">
        <f>COUNTIF(FIELD_NAME,B90)&gt;1</f>
        <v>0</v>
      </c>
      <c r="V90" s="19" t="b">
        <f t="shared" ca="1" si="13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2"/>
        <v>0</v>
      </c>
      <c r="U91" s="19" t="b">
        <f>COUNTIF(FIELD_NAME,B91)&gt;1</f>
        <v>0</v>
      </c>
      <c r="V91" s="19" t="b">
        <f t="shared" ca="1" si="13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2"/>
        <v>0</v>
      </c>
      <c r="U92" s="19" t="b">
        <f>COUNTIF(FIELD_NAME,B92)&gt;1</f>
        <v>0</v>
      </c>
      <c r="V92" s="19" t="b">
        <f t="shared" ca="1" si="13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2"/>
        <v>0</v>
      </c>
      <c r="U93" s="19" t="b">
        <f>COUNTIF(FIELD_NAME,B93)&gt;1</f>
        <v>0</v>
      </c>
      <c r="V93" s="19" t="b">
        <f t="shared" ca="1" si="13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2"/>
        <v>0</v>
      </c>
      <c r="U94" s="19" t="b">
        <f>COUNTIF(FIELD_NAME,B94)&gt;1</f>
        <v>0</v>
      </c>
      <c r="V94" s="19" t="b">
        <f t="shared" ca="1" si="13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2"/>
        <v>0</v>
      </c>
      <c r="U95" s="19" t="b">
        <f>COUNTIF(FIELD_NAME,B95)&gt;1</f>
        <v>0</v>
      </c>
      <c r="V95" s="19" t="b">
        <f t="shared" ca="1" si="13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2"/>
        <v>0</v>
      </c>
      <c r="U96" s="19" t="b">
        <f>COUNTIF(FIELD_NAME,B96)&gt;1</f>
        <v>0</v>
      </c>
      <c r="V96" s="19" t="b">
        <f t="shared" ca="1" si="13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2"/>
        <v>0</v>
      </c>
      <c r="U97" s="19" t="b">
        <f>COUNTIF(FIELD_NAME,B97)&gt;1</f>
        <v>0</v>
      </c>
      <c r="V97" s="19" t="b">
        <f t="shared" ca="1" si="13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2"/>
        <v>0</v>
      </c>
      <c r="U98" s="19" t="b">
        <f>COUNTIF(FIELD_NAME,B98)&gt;1</f>
        <v>0</v>
      </c>
      <c r="V98" s="19" t="b">
        <f t="shared" ca="1" si="13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2"/>
        <v>0</v>
      </c>
      <c r="U99" s="19" t="b">
        <f>COUNTIF(FIELD_NAME,B99)&gt;1</f>
        <v>0</v>
      </c>
      <c r="V99" s="19" t="b">
        <f t="shared" ca="1" si="13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2"/>
        <v>0</v>
      </c>
      <c r="U100" s="19" t="b">
        <f>COUNTIF(FIELD_NAME,B100)&gt;1</f>
        <v>0</v>
      </c>
      <c r="V100" s="19" t="b">
        <f t="shared" ca="1" si="13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2"/>
        <v>0</v>
      </c>
      <c r="U101" s="19" t="b">
        <f>COUNTIF(FIELD_NAME,B101)&gt;1</f>
        <v>0</v>
      </c>
      <c r="V101" s="19" t="b">
        <f t="shared" ca="1" si="13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2"/>
        <v>0</v>
      </c>
      <c r="U102" s="19" t="b">
        <f>COUNTIF(FIELD_NAME,B102)&gt;1</f>
        <v>0</v>
      </c>
      <c r="V102" s="19" t="b">
        <f t="shared" ca="1" si="13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2"/>
        <v>0</v>
      </c>
      <c r="U103" s="19" t="b">
        <f>COUNTIF(FIELD_NAME,B103)&gt;1</f>
        <v>0</v>
      </c>
      <c r="V103" s="19" t="b">
        <f t="shared" ca="1" si="13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2"/>
        <v>0</v>
      </c>
      <c r="U104" s="19" t="b">
        <f>COUNTIF(FIELD_NAME,B104)&gt;1</f>
        <v>0</v>
      </c>
      <c r="V104" s="19" t="b">
        <f t="shared" ca="1" si="13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2"/>
        <v>0</v>
      </c>
      <c r="U105" s="19" t="b">
        <f>COUNTIF(FIELD_NAME,B105)&gt;1</f>
        <v>0</v>
      </c>
      <c r="V105" s="19" t="b">
        <f t="shared" ca="1" si="13"/>
        <v>0</v>
      </c>
      <c r="AI105" s="63"/>
      <c r="AJ105" s="74"/>
    </row>
  </sheetData>
  <phoneticPr fontId="2"/>
  <conditionalFormatting sqref="B2:C2">
    <cfRule type="expression" dxfId="21" priority="7">
      <formula>ISERROR(B2)</formula>
    </cfRule>
  </conditionalFormatting>
  <conditionalFormatting sqref="B6:B105">
    <cfRule type="expression" dxfId="20" priority="5">
      <formula>COUNTIF(FIELD_NAME,B6)&gt;1</formula>
    </cfRule>
    <cfRule type="expression" dxfId="19" priority="6">
      <formula>AND($B6&lt;&gt;"",ISNA(MATCH($B6,項目リスト,0)))</formula>
    </cfRule>
  </conditionalFormatting>
  <conditionalFormatting sqref="B6">
    <cfRule type="expression" dxfId="18" priority="4">
      <formula>$AI$6="N/A"</formula>
    </cfRule>
  </conditionalFormatting>
  <conditionalFormatting sqref="E6:E105">
    <cfRule type="expression" dxfId="17" priority="8">
      <formula>$V6</formula>
    </cfRule>
  </conditionalFormatting>
  <conditionalFormatting sqref="D1">
    <cfRule type="cellIs" dxfId="16" priority="3" operator="greaterThan">
      <formula>0</formula>
    </cfRule>
  </conditionalFormatting>
  <conditionalFormatting sqref="L8:P8">
    <cfRule type="expression" dxfId="15" priority="10">
      <formula>Y8</formula>
    </cfRule>
    <cfRule type="expression" dxfId="14" priority="11">
      <formula>Y7</formula>
    </cfRule>
  </conditionalFormatting>
  <conditionalFormatting sqref="L13:P22">
    <cfRule type="expression" dxfId="13" priority="1">
      <formula>Y13</formula>
    </cfRule>
    <cfRule type="expression" dxfId="12" priority="2">
      <formula>$AD13</formula>
    </cfRule>
  </conditionalFormatting>
  <conditionalFormatting sqref="L8">
    <cfRule type="expression" dxfId="11" priority="9">
      <formula>$AG$7</formula>
    </cfRule>
  </conditionalFormatting>
  <dataValidations count="6">
    <dataValidation imeMode="off" allowBlank="1" showInputMessage="1" showErrorMessage="1" sqref="D5:F5 C2" xr:uid="{968307B1-F1BE-462E-A0DE-595FCA295A44}"/>
    <dataValidation type="list" allowBlank="1" showInputMessage="1" showErrorMessage="1" sqref="L13:P22" xr:uid="{D4CC040B-45B0-490A-875E-E4AFF6BA815F}">
      <formula1>FIELDリスト</formula1>
    </dataValidation>
    <dataValidation type="list" allowBlank="1" showInputMessage="1" showErrorMessage="1" sqref="L8:P8" xr:uid="{F2CA92E7-F870-44B2-97FE-5EA54FE60A03}">
      <formula1>FIELDリストNN</formula1>
    </dataValidation>
    <dataValidation type="whole" imeMode="off" operator="equal" allowBlank="1" showInputMessage="1" showErrorMessage="1" error="NotNullの場合は[1]を入力する。" sqref="E6:E105" xr:uid="{9576D9B2-121B-4E98-8A65-E86D94A5F539}">
      <formula1>1</formula1>
    </dataValidation>
    <dataValidation type="list" allowBlank="1" showInputMessage="1" showErrorMessage="1" sqref="B6:B105" xr:uid="{C185B52D-6FEC-474A-80AC-A0C4E227B68E}">
      <formula1>項目リスト</formula1>
    </dataValidation>
    <dataValidation imeMode="on" allowBlank="1" showInputMessage="1" showErrorMessage="1" sqref="K12 A5 A1:A2 F6:I105 K7" xr:uid="{BAE74EFF-ACEA-4C20-8D83-E479BE341EF7}"/>
  </dataValidations>
  <hyperlinks>
    <hyperlink ref="E1" location="一覧!R1C1" display="一覧へ" xr:uid="{57A7D5BD-F0CA-42C2-AFB1-3E16C3C26EC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5416-DC17-455D-BFF6-CC2D94BFAB79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>COUNTIF(FIELD_NAME,B6)&gt;1</f>
        <v>0</v>
      </c>
      <c r="V6" s="19" t="b">
        <f t="shared" ref="V6:V7" ca="1" si="1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>COUNTIF(FIELD_NAME,B7)&gt;1</f>
        <v>0</v>
      </c>
      <c r="V7" s="19" t="b">
        <f t="shared" ca="1" si="1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>COUNTIF(FIELD_NAME,B8)&gt;1</f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>COUNTIF(FIELD_NAME,B9)&gt;1</f>
        <v>0</v>
      </c>
      <c r="V9" s="19" t="b">
        <f t="shared" ref="V9:V72" ca="1" si="2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>COUNTIF(FIELD_NAME,B10)&gt;1</f>
        <v>0</v>
      </c>
      <c r="V10" s="19" t="b">
        <f t="shared" ca="1" si="2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OR($S$13:$S$22)</f>
        <v>0</v>
      </c>
      <c r="T11" s="19" t="b">
        <f t="shared" ca="1" si="0"/>
        <v>0</v>
      </c>
      <c r="U11" s="19" t="b">
        <f>COUNTIF(FIELD_NAME,B11)&gt;1</f>
        <v>0</v>
      </c>
      <c r="V11" s="19" t="b">
        <f t="shared" ca="1" si="2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>COUNTIF(FIELD_NAME,B12)&gt;1</f>
        <v>0</v>
      </c>
      <c r="V12" s="19" t="b">
        <f t="shared" ca="1" si="2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S13" s="63" t="b">
        <f>R13&lt;&gt;""</f>
        <v>0</v>
      </c>
      <c r="T13" s="19" t="b">
        <f t="shared" ca="1" si="0"/>
        <v>0</v>
      </c>
      <c r="U13" s="19" t="b">
        <f>COUNTIF(FIELD_NAME,B13)&gt;1</f>
        <v>0</v>
      </c>
      <c r="V13" s="19" t="b">
        <f t="shared" ca="1" si="2"/>
        <v>0</v>
      </c>
      <c r="X13" s="7" t="s">
        <v>175</v>
      </c>
      <c r="Y13" s="19" t="b">
        <f ca="1">OR(AND(L13&lt;&gt;"",ISNA(MATCH(L13,FIELDリスト,0))),COUNTIF($L13:$P13,L13)&gt;1)</f>
        <v>0</v>
      </c>
      <c r="Z13" s="19" t="b">
        <f ca="1">OR(AND(M13&lt;&gt;"",ISNA(MATCH(M13,FIELDリスト,0))),COUNTIF($L13:$P13,M13)&gt;1)</f>
        <v>0</v>
      </c>
      <c r="AA13" s="19" t="b">
        <f ca="1">OR(AND(N13&lt;&gt;"",ISNA(MATCH(N13,FIELDリスト,0))),COUNTIF($L13:$P13,N13)&gt;1)</f>
        <v>0</v>
      </c>
      <c r="AB13" s="19" t="b">
        <f ca="1">OR(AND(O13&lt;&gt;"",ISNA(MATCH(O13,FIELDリスト,0))),COUNTIF($L13:$P13,O13)&gt;1)</f>
        <v>0</v>
      </c>
      <c r="AC13" s="19" t="b">
        <f ca="1">OR(AND(P13&lt;&gt;"",ISNA(MATCH(P13,FIELDリスト,0))),COUNTIF($L13:$P13,P13)&gt;1)</f>
        <v>0</v>
      </c>
      <c r="AD13" s="19" t="b">
        <f>AND(S13,COUNTIF(R$13:R$22,R13)&gt;1)</f>
        <v>0</v>
      </c>
      <c r="AI13" s="63"/>
      <c r="AJ13" s="74"/>
      <c r="AK13" s="63" t="e">
        <f ca="1">VLOOKUP(L13,FIELD_NAME__,2,FALSE)</f>
        <v>#N/A</v>
      </c>
      <c r="AL13" s="63" t="e">
        <f ca="1">VLOOKUP(M13,FIELD_NAME__,2,FALSE)</f>
        <v>#N/A</v>
      </c>
      <c r="AM13" s="63" t="e">
        <f ca="1">VLOOKUP(N13,FIELD_NAME__,2,FALSE)</f>
        <v>#N/A</v>
      </c>
      <c r="AN13" s="63" t="e">
        <f ca="1">VLOOKUP(O13,FIELD_NAME__,2,FALSE)</f>
        <v>#N/A</v>
      </c>
      <c r="AO13" s="63" t="e">
        <f ca="1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3">_xlfn.CONCAT(L14:P14)</f>
        <v/>
      </c>
      <c r="S14" s="63" t="b">
        <f t="shared" ref="S14:S22" si="4">R14&lt;&gt;""</f>
        <v>0</v>
      </c>
      <c r="T14" s="19" t="b">
        <f t="shared" ca="1" si="0"/>
        <v>0</v>
      </c>
      <c r="U14" s="19" t="b">
        <f>COUNTIF(FIELD_NAME,B14)&gt;1</f>
        <v>0</v>
      </c>
      <c r="V14" s="19" t="b">
        <f t="shared" ca="1" si="2"/>
        <v>0</v>
      </c>
      <c r="X14" s="7" t="s">
        <v>176</v>
      </c>
      <c r="Y14" s="19" t="b">
        <f ca="1">OR(AND(L14&lt;&gt;"",ISNA(MATCH(L14,FIELDリスト,0))),COUNTIF($L14:$P14,L14)&gt;1)</f>
        <v>0</v>
      </c>
      <c r="Z14" s="19" t="b">
        <f ca="1">OR(AND(M14&lt;&gt;"",ISNA(MATCH(M14,FIELDリスト,0))),COUNTIF($L14:$P14,M14)&gt;1)</f>
        <v>0</v>
      </c>
      <c r="AA14" s="19" t="b">
        <f ca="1">OR(AND(N14&lt;&gt;"",ISNA(MATCH(N14,FIELDリスト,0))),COUNTIF($L14:$P14,N14)&gt;1)</f>
        <v>0</v>
      </c>
      <c r="AB14" s="19" t="b">
        <f ca="1">OR(AND(O14&lt;&gt;"",ISNA(MATCH(O14,FIELDリスト,0))),COUNTIF($L14:$P14,O14)&gt;1)</f>
        <v>0</v>
      </c>
      <c r="AC14" s="19" t="b">
        <f ca="1">OR(AND(P14&lt;&gt;"",ISNA(MATCH(P14,FIELDリスト,0))),COUNTIF($L14:$P14,P14)&gt;1)</f>
        <v>0</v>
      </c>
      <c r="AD14" s="19" t="b">
        <f t="shared" ref="AD14:AD22" si="5">AND(S14,COUNTIF(R$13:R$22,R14)&gt;1)</f>
        <v>0</v>
      </c>
      <c r="AI14" s="63"/>
      <c r="AJ14" s="74"/>
      <c r="AK14" s="63" t="e">
        <f ca="1">VLOOKUP(L14,FIELD_NAME__,2,FALSE)</f>
        <v>#N/A</v>
      </c>
      <c r="AL14" s="63" t="e">
        <f ca="1">VLOOKUP(M14,FIELD_NAME__,2,FALSE)</f>
        <v>#N/A</v>
      </c>
      <c r="AM14" s="63" t="e">
        <f ca="1">VLOOKUP(N14,FIELD_NAME__,2,FALSE)</f>
        <v>#N/A</v>
      </c>
      <c r="AN14" s="63" t="e">
        <f ca="1">VLOOKUP(O14,FIELD_NAME__,2,FALSE)</f>
        <v>#N/A</v>
      </c>
      <c r="AO14" s="63" t="e">
        <f ca="1">VLOOKUP(P14,FIELD_NAME__,2,FALSE)</f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3"/>
        <v/>
      </c>
      <c r="S15" s="63" t="b">
        <f t="shared" si="4"/>
        <v>0</v>
      </c>
      <c r="T15" s="19" t="b">
        <f t="shared" ca="1" si="0"/>
        <v>0</v>
      </c>
      <c r="U15" s="19" t="b">
        <f>COUNTIF(FIELD_NAME,B15)&gt;1</f>
        <v>0</v>
      </c>
      <c r="V15" s="19" t="b">
        <f t="shared" ca="1" si="2"/>
        <v>0</v>
      </c>
      <c r="Y15" s="19" t="b">
        <f ca="1">OR(AND(L15&lt;&gt;"",ISNA(MATCH(L15,FIELDリスト,0))),COUNTIF($L15:$P15,L15)&gt;1)</f>
        <v>0</v>
      </c>
      <c r="Z15" s="19" t="b">
        <f ca="1">OR(AND(M15&lt;&gt;"",ISNA(MATCH(M15,FIELDリスト,0))),COUNTIF($L15:$P15,M15)&gt;1)</f>
        <v>0</v>
      </c>
      <c r="AA15" s="19" t="b">
        <f ca="1">OR(AND(N15&lt;&gt;"",ISNA(MATCH(N15,FIELDリスト,0))),COUNTIF($L15:$P15,N15)&gt;1)</f>
        <v>0</v>
      </c>
      <c r="AB15" s="19" t="b">
        <f ca="1">OR(AND(O15&lt;&gt;"",ISNA(MATCH(O15,FIELDリスト,0))),COUNTIF($L15:$P15,O15)&gt;1)</f>
        <v>0</v>
      </c>
      <c r="AC15" s="19" t="b">
        <f ca="1">OR(AND(P15&lt;&gt;"",ISNA(MATCH(P15,FIELDリスト,0))),COUNTIF($L15:$P15,P15)&gt;1)</f>
        <v>0</v>
      </c>
      <c r="AD15" s="19" t="b">
        <f t="shared" si="5"/>
        <v>0</v>
      </c>
      <c r="AI15" s="63"/>
      <c r="AJ15" s="74"/>
      <c r="AK15" s="63" t="e">
        <f ca="1">VLOOKUP(L15,FIELD_NAME__,2,FALSE)</f>
        <v>#N/A</v>
      </c>
      <c r="AL15" s="63" t="e">
        <f ca="1">VLOOKUP(M15,FIELD_NAME__,2,FALSE)</f>
        <v>#N/A</v>
      </c>
      <c r="AM15" s="63" t="e">
        <f ca="1">VLOOKUP(N15,FIELD_NAME__,2,FALSE)</f>
        <v>#N/A</v>
      </c>
      <c r="AN15" s="63" t="e">
        <f ca="1">VLOOKUP(O15,FIELD_NAME__,2,FALSE)</f>
        <v>#N/A</v>
      </c>
      <c r="AO15" s="63" t="e">
        <f ca="1">VLOOKUP(P15,FIELD_NAME__,2,FALSE)</f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3"/>
        <v/>
      </c>
      <c r="S16" s="63" t="b">
        <f t="shared" si="4"/>
        <v>0</v>
      </c>
      <c r="T16" s="19" t="b">
        <f t="shared" ca="1" si="0"/>
        <v>0</v>
      </c>
      <c r="U16" s="19" t="b">
        <f>COUNTIF(FIELD_NAME,B16)&gt;1</f>
        <v>0</v>
      </c>
      <c r="V16" s="19" t="b">
        <f t="shared" ca="1" si="2"/>
        <v>0</v>
      </c>
      <c r="Y16" s="19" t="b">
        <f ca="1">OR(AND(L16&lt;&gt;"",ISNA(MATCH(L16,FIELDリスト,0))),COUNTIF($L16:$P16,L16)&gt;1)</f>
        <v>0</v>
      </c>
      <c r="Z16" s="19" t="b">
        <f ca="1">OR(AND(M16&lt;&gt;"",ISNA(MATCH(M16,FIELDリスト,0))),COUNTIF($L16:$P16,M16)&gt;1)</f>
        <v>0</v>
      </c>
      <c r="AA16" s="19" t="b">
        <f ca="1">OR(AND(N16&lt;&gt;"",ISNA(MATCH(N16,FIELDリスト,0))),COUNTIF($L16:$P16,N16)&gt;1)</f>
        <v>0</v>
      </c>
      <c r="AB16" s="19" t="b">
        <f ca="1">OR(AND(O16&lt;&gt;"",ISNA(MATCH(O16,FIELDリスト,0))),COUNTIF($L16:$P16,O16)&gt;1)</f>
        <v>0</v>
      </c>
      <c r="AC16" s="19" t="b">
        <f ca="1">OR(AND(P16&lt;&gt;"",ISNA(MATCH(P16,FIELDリスト,0))),COUNTIF($L16:$P16,P16)&gt;1)</f>
        <v>0</v>
      </c>
      <c r="AD16" s="19" t="b">
        <f t="shared" si="5"/>
        <v>0</v>
      </c>
      <c r="AI16" s="63"/>
      <c r="AJ16" s="74"/>
      <c r="AK16" s="63" t="e">
        <f ca="1">VLOOKUP(L16,FIELD_NAME__,2,FALSE)</f>
        <v>#N/A</v>
      </c>
      <c r="AL16" s="63" t="e">
        <f ca="1">VLOOKUP(M16,FIELD_NAME__,2,FALSE)</f>
        <v>#N/A</v>
      </c>
      <c r="AM16" s="63" t="e">
        <f ca="1">VLOOKUP(N16,FIELD_NAME__,2,FALSE)</f>
        <v>#N/A</v>
      </c>
      <c r="AN16" s="63" t="e">
        <f ca="1">VLOOKUP(O16,FIELD_NAME__,2,FALSE)</f>
        <v>#N/A</v>
      </c>
      <c r="AO16" s="63" t="e">
        <f ca="1">VLOOKUP(P16,FIELD_NAME__,2,FALSE)</f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3"/>
        <v/>
      </c>
      <c r="S17" s="63" t="b">
        <f t="shared" si="4"/>
        <v>0</v>
      </c>
      <c r="T17" s="19" t="b">
        <f t="shared" ca="1" si="0"/>
        <v>0</v>
      </c>
      <c r="U17" s="19" t="b">
        <f>COUNTIF(FIELD_NAME,B17)&gt;1</f>
        <v>0</v>
      </c>
      <c r="V17" s="19" t="b">
        <f t="shared" ca="1" si="2"/>
        <v>0</v>
      </c>
      <c r="Y17" s="19" t="b">
        <f ca="1">OR(AND(L17&lt;&gt;"",ISNA(MATCH(L17,FIELDリスト,0))),COUNTIF($L17:$P17,L17)&gt;1)</f>
        <v>0</v>
      </c>
      <c r="Z17" s="19" t="b">
        <f ca="1">OR(AND(M17&lt;&gt;"",ISNA(MATCH(M17,FIELDリスト,0))),COUNTIF($L17:$P17,M17)&gt;1)</f>
        <v>0</v>
      </c>
      <c r="AA17" s="19" t="b">
        <f ca="1">OR(AND(N17&lt;&gt;"",ISNA(MATCH(N17,FIELDリスト,0))),COUNTIF($L17:$P17,N17)&gt;1)</f>
        <v>0</v>
      </c>
      <c r="AB17" s="19" t="b">
        <f ca="1">OR(AND(O17&lt;&gt;"",ISNA(MATCH(O17,FIELDリスト,0))),COUNTIF($L17:$P17,O17)&gt;1)</f>
        <v>0</v>
      </c>
      <c r="AC17" s="19" t="b">
        <f ca="1">OR(AND(P17&lt;&gt;"",ISNA(MATCH(P17,FIELDリスト,0))),COUNTIF($L17:$P17,P17)&gt;1)</f>
        <v>0</v>
      </c>
      <c r="AD17" s="19" t="b">
        <f t="shared" si="5"/>
        <v>0</v>
      </c>
      <c r="AI17" s="63"/>
      <c r="AJ17" s="74"/>
      <c r="AK17" s="63" t="e">
        <f ca="1">VLOOKUP(L17,FIELD_NAME__,2,FALSE)</f>
        <v>#N/A</v>
      </c>
      <c r="AL17" s="63" t="e">
        <f ca="1">VLOOKUP(M17,FIELD_NAME__,2,FALSE)</f>
        <v>#N/A</v>
      </c>
      <c r="AM17" s="63" t="e">
        <f ca="1">VLOOKUP(N17,FIELD_NAME__,2,FALSE)</f>
        <v>#N/A</v>
      </c>
      <c r="AN17" s="63" t="e">
        <f ca="1">VLOOKUP(O17,FIELD_NAME__,2,FALSE)</f>
        <v>#N/A</v>
      </c>
      <c r="AO17" s="63" t="e">
        <f ca="1">VLOOKUP(P17,FIELD_NAME__,2,FALSE)</f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3"/>
        <v/>
      </c>
      <c r="S18" s="63" t="b">
        <f t="shared" si="4"/>
        <v>0</v>
      </c>
      <c r="T18" s="19" t="b">
        <f t="shared" ca="1" si="0"/>
        <v>0</v>
      </c>
      <c r="U18" s="19" t="b">
        <f>COUNTIF(FIELD_NAME,B18)&gt;1</f>
        <v>0</v>
      </c>
      <c r="V18" s="19" t="b">
        <f t="shared" ca="1" si="2"/>
        <v>0</v>
      </c>
      <c r="Y18" s="19" t="b">
        <f ca="1">OR(AND(L18&lt;&gt;"",ISNA(MATCH(L18,FIELDリスト,0))),COUNTIF($L18:$P18,L18)&gt;1)</f>
        <v>0</v>
      </c>
      <c r="Z18" s="19" t="b">
        <f ca="1">OR(AND(M18&lt;&gt;"",ISNA(MATCH(M18,FIELDリスト,0))),COUNTIF($L18:$P18,M18)&gt;1)</f>
        <v>0</v>
      </c>
      <c r="AA18" s="19" t="b">
        <f ca="1">OR(AND(N18&lt;&gt;"",ISNA(MATCH(N18,FIELDリスト,0))),COUNTIF($L18:$P18,N18)&gt;1)</f>
        <v>0</v>
      </c>
      <c r="AB18" s="19" t="b">
        <f ca="1">OR(AND(O18&lt;&gt;"",ISNA(MATCH(O18,FIELDリスト,0))),COUNTIF($L18:$P18,O18)&gt;1)</f>
        <v>0</v>
      </c>
      <c r="AC18" s="19" t="b">
        <f ca="1">OR(AND(P18&lt;&gt;"",ISNA(MATCH(P18,FIELDリスト,0))),COUNTIF($L18:$P18,P18)&gt;1)</f>
        <v>0</v>
      </c>
      <c r="AD18" s="19" t="b">
        <f t="shared" si="5"/>
        <v>0</v>
      </c>
      <c r="AI18" s="63"/>
      <c r="AJ18" s="74"/>
      <c r="AK18" s="63" t="e">
        <f ca="1">VLOOKUP(L18,FIELD_NAME__,2,FALSE)</f>
        <v>#N/A</v>
      </c>
      <c r="AL18" s="63" t="e">
        <f ca="1">VLOOKUP(M18,FIELD_NAME__,2,FALSE)</f>
        <v>#N/A</v>
      </c>
      <c r="AM18" s="63" t="e">
        <f ca="1">VLOOKUP(N18,FIELD_NAME__,2,FALSE)</f>
        <v>#N/A</v>
      </c>
      <c r="AN18" s="63" t="e">
        <f ca="1">VLOOKUP(O18,FIELD_NAME__,2,FALSE)</f>
        <v>#N/A</v>
      </c>
      <c r="AO18" s="63" t="e">
        <f ca="1">VLOOKUP(P18,FIELD_NAME__,2,FALSE)</f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3"/>
        <v/>
      </c>
      <c r="S19" s="63" t="b">
        <f t="shared" si="4"/>
        <v>0</v>
      </c>
      <c r="T19" s="19" t="b">
        <f t="shared" ca="1" si="0"/>
        <v>0</v>
      </c>
      <c r="U19" s="19" t="b">
        <f>COUNTIF(FIELD_NAME,B19)&gt;1</f>
        <v>0</v>
      </c>
      <c r="V19" s="19" t="b">
        <f t="shared" ca="1" si="2"/>
        <v>0</v>
      </c>
      <c r="Y19" s="19" t="b">
        <f ca="1">OR(AND(L19&lt;&gt;"",ISNA(MATCH(L19,FIELDリスト,0))),COUNTIF($L19:$P19,L19)&gt;1)</f>
        <v>0</v>
      </c>
      <c r="Z19" s="19" t="b">
        <f ca="1">OR(AND(M19&lt;&gt;"",ISNA(MATCH(M19,FIELDリスト,0))),COUNTIF($L19:$P19,M19)&gt;1)</f>
        <v>0</v>
      </c>
      <c r="AA19" s="19" t="b">
        <f ca="1">OR(AND(N19&lt;&gt;"",ISNA(MATCH(N19,FIELDリスト,0))),COUNTIF($L19:$P19,N19)&gt;1)</f>
        <v>0</v>
      </c>
      <c r="AB19" s="19" t="b">
        <f ca="1">OR(AND(O19&lt;&gt;"",ISNA(MATCH(O19,FIELDリスト,0))),COUNTIF($L19:$P19,O19)&gt;1)</f>
        <v>0</v>
      </c>
      <c r="AC19" s="19" t="b">
        <f ca="1">OR(AND(P19&lt;&gt;"",ISNA(MATCH(P19,FIELDリスト,0))),COUNTIF($L19:$P19,P19)&gt;1)</f>
        <v>0</v>
      </c>
      <c r="AD19" s="19" t="b">
        <f t="shared" si="5"/>
        <v>0</v>
      </c>
      <c r="AI19" s="63"/>
      <c r="AJ19" s="74"/>
      <c r="AK19" s="63" t="e">
        <f ca="1">VLOOKUP(L19,FIELD_NAME__,2,FALSE)</f>
        <v>#N/A</v>
      </c>
      <c r="AL19" s="63" t="e">
        <f ca="1">VLOOKUP(M19,FIELD_NAME__,2,FALSE)</f>
        <v>#N/A</v>
      </c>
      <c r="AM19" s="63" t="e">
        <f ca="1">VLOOKUP(N19,FIELD_NAME__,2,FALSE)</f>
        <v>#N/A</v>
      </c>
      <c r="AN19" s="63" t="e">
        <f ca="1">VLOOKUP(O19,FIELD_NAME__,2,FALSE)</f>
        <v>#N/A</v>
      </c>
      <c r="AO19" s="63" t="e">
        <f ca="1">VLOOKUP(P19,FIELD_NAME__,2,FALSE)</f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3"/>
        <v/>
      </c>
      <c r="S20" s="63" t="b">
        <f t="shared" si="4"/>
        <v>0</v>
      </c>
      <c r="T20" s="19" t="b">
        <f t="shared" ca="1" si="0"/>
        <v>0</v>
      </c>
      <c r="U20" s="19" t="b">
        <f>COUNTIF(FIELD_NAME,B20)&gt;1</f>
        <v>0</v>
      </c>
      <c r="V20" s="19" t="b">
        <f t="shared" ca="1" si="2"/>
        <v>0</v>
      </c>
      <c r="Y20" s="19" t="b">
        <f ca="1">OR(AND(L20&lt;&gt;"",ISNA(MATCH(L20,FIELDリスト,0))),COUNTIF($L20:$P20,L20)&gt;1)</f>
        <v>0</v>
      </c>
      <c r="Z20" s="19" t="b">
        <f ca="1">OR(AND(M20&lt;&gt;"",ISNA(MATCH(M20,FIELDリスト,0))),COUNTIF($L20:$P20,M20)&gt;1)</f>
        <v>0</v>
      </c>
      <c r="AA20" s="19" t="b">
        <f ca="1">OR(AND(N20&lt;&gt;"",ISNA(MATCH(N20,FIELDリスト,0))),COUNTIF($L20:$P20,N20)&gt;1)</f>
        <v>0</v>
      </c>
      <c r="AB20" s="19" t="b">
        <f ca="1">OR(AND(O20&lt;&gt;"",ISNA(MATCH(O20,FIELDリスト,0))),COUNTIF($L20:$P20,O20)&gt;1)</f>
        <v>0</v>
      </c>
      <c r="AC20" s="19" t="b">
        <f ca="1">OR(AND(P20&lt;&gt;"",ISNA(MATCH(P20,FIELDリスト,0))),COUNTIF($L20:$P20,P20)&gt;1)</f>
        <v>0</v>
      </c>
      <c r="AD20" s="19" t="b">
        <f t="shared" si="5"/>
        <v>0</v>
      </c>
      <c r="AI20" s="63"/>
      <c r="AJ20" s="74"/>
      <c r="AK20" s="63" t="e">
        <f ca="1">VLOOKUP(L20,FIELD_NAME__,2,FALSE)</f>
        <v>#N/A</v>
      </c>
      <c r="AL20" s="63" t="e">
        <f ca="1">VLOOKUP(M20,FIELD_NAME__,2,FALSE)</f>
        <v>#N/A</v>
      </c>
      <c r="AM20" s="63" t="e">
        <f ca="1">VLOOKUP(N20,FIELD_NAME__,2,FALSE)</f>
        <v>#N/A</v>
      </c>
      <c r="AN20" s="63" t="e">
        <f ca="1">VLOOKUP(O20,FIELD_NAME__,2,FALSE)</f>
        <v>#N/A</v>
      </c>
      <c r="AO20" s="63" t="e">
        <f ca="1">VLOOKUP(P20,FIELD_NAME__,2,FALSE)</f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3"/>
        <v/>
      </c>
      <c r="S21" s="63" t="b">
        <f t="shared" si="4"/>
        <v>0</v>
      </c>
      <c r="T21" s="19" t="b">
        <f t="shared" ca="1" si="0"/>
        <v>0</v>
      </c>
      <c r="U21" s="19" t="b">
        <f>COUNTIF(FIELD_NAME,B21)&gt;1</f>
        <v>0</v>
      </c>
      <c r="V21" s="19" t="b">
        <f t="shared" ca="1" si="2"/>
        <v>0</v>
      </c>
      <c r="Y21" s="19" t="b">
        <f ca="1">OR(AND(L21&lt;&gt;"",ISNA(MATCH(L21,FIELDリスト,0))),COUNTIF($L21:$P21,L21)&gt;1)</f>
        <v>0</v>
      </c>
      <c r="Z21" s="19" t="b">
        <f ca="1">OR(AND(M21&lt;&gt;"",ISNA(MATCH(M21,FIELDリスト,0))),COUNTIF($L21:$P21,M21)&gt;1)</f>
        <v>0</v>
      </c>
      <c r="AA21" s="19" t="b">
        <f ca="1">OR(AND(N21&lt;&gt;"",ISNA(MATCH(N21,FIELDリスト,0))),COUNTIF($L21:$P21,N21)&gt;1)</f>
        <v>0</v>
      </c>
      <c r="AB21" s="19" t="b">
        <f ca="1">OR(AND(O21&lt;&gt;"",ISNA(MATCH(O21,FIELDリスト,0))),COUNTIF($L21:$P21,O21)&gt;1)</f>
        <v>0</v>
      </c>
      <c r="AC21" s="19" t="b">
        <f ca="1">OR(AND(P21&lt;&gt;"",ISNA(MATCH(P21,FIELDリスト,0))),COUNTIF($L21:$P21,P21)&gt;1)</f>
        <v>0</v>
      </c>
      <c r="AD21" s="19" t="b">
        <f t="shared" si="5"/>
        <v>0</v>
      </c>
      <c r="AI21" s="63"/>
      <c r="AJ21" s="74"/>
      <c r="AK21" s="63" t="e">
        <f ca="1">VLOOKUP(L21,FIELD_NAME__,2,FALSE)</f>
        <v>#N/A</v>
      </c>
      <c r="AL21" s="63" t="e">
        <f ca="1">VLOOKUP(M21,FIELD_NAME__,2,FALSE)</f>
        <v>#N/A</v>
      </c>
      <c r="AM21" s="63" t="e">
        <f ca="1">VLOOKUP(N21,FIELD_NAME__,2,FALSE)</f>
        <v>#N/A</v>
      </c>
      <c r="AN21" s="63" t="e">
        <f ca="1">VLOOKUP(O21,FIELD_NAME__,2,FALSE)</f>
        <v>#N/A</v>
      </c>
      <c r="AO21" s="63" t="e">
        <f ca="1">VLOOKUP(P21,FIELD_NAME__,2,FALSE)</f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3"/>
        <v/>
      </c>
      <c r="S22" s="63" t="b">
        <f t="shared" si="4"/>
        <v>0</v>
      </c>
      <c r="T22" s="19" t="b">
        <f t="shared" ca="1" si="0"/>
        <v>0</v>
      </c>
      <c r="U22" s="19" t="b">
        <f>COUNTIF(FIELD_NAME,B22)&gt;1</f>
        <v>0</v>
      </c>
      <c r="V22" s="19" t="b">
        <f t="shared" ca="1" si="2"/>
        <v>0</v>
      </c>
      <c r="Y22" s="19" t="b">
        <f ca="1">OR(AND(L22&lt;&gt;"",ISNA(MATCH(L22,FIELDリスト,0))),COUNTIF($L22:$P22,L22)&gt;1)</f>
        <v>0</v>
      </c>
      <c r="Z22" s="19" t="b">
        <f ca="1">OR(AND(M22&lt;&gt;"",ISNA(MATCH(M22,FIELDリスト,0))),COUNTIF($L22:$P22,M22)&gt;1)</f>
        <v>0</v>
      </c>
      <c r="AA22" s="19" t="b">
        <f ca="1">OR(AND(N22&lt;&gt;"",ISNA(MATCH(N22,FIELDリスト,0))),COUNTIF($L22:$P22,N22)&gt;1)</f>
        <v>0</v>
      </c>
      <c r="AB22" s="19" t="b">
        <f ca="1">OR(AND(O22&lt;&gt;"",ISNA(MATCH(O22,FIELDリスト,0))),COUNTIF($L22:$P22,O22)&gt;1)</f>
        <v>0</v>
      </c>
      <c r="AC22" s="19" t="b">
        <f ca="1">OR(AND(P22&lt;&gt;"",ISNA(MATCH(P22,FIELDリスト,0))),COUNTIF($L22:$P22,P22)&gt;1)</f>
        <v>0</v>
      </c>
      <c r="AD22" s="19" t="b">
        <f t="shared" si="5"/>
        <v>0</v>
      </c>
      <c r="AI22" s="63"/>
      <c r="AJ22" s="74"/>
      <c r="AK22" s="63" t="e">
        <f ca="1">VLOOKUP(L22,FIELD_NAME__,2,FALSE)</f>
        <v>#N/A</v>
      </c>
      <c r="AL22" s="63" t="e">
        <f ca="1">VLOOKUP(M22,FIELD_NAME__,2,FALSE)</f>
        <v>#N/A</v>
      </c>
      <c r="AM22" s="63" t="e">
        <f ca="1">VLOOKUP(N22,FIELD_NAME__,2,FALSE)</f>
        <v>#N/A</v>
      </c>
      <c r="AN22" s="63" t="e">
        <f ca="1">VLOOKUP(O22,FIELD_NAME__,2,FALSE)</f>
        <v>#N/A</v>
      </c>
      <c r="AO22" s="63" t="e">
        <f ca="1">VLOOKUP(P22,FIELD_NAME__,2,FALSE)</f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>COUNTIF(FIELD_NAME,B23)&gt;1</f>
        <v>0</v>
      </c>
      <c r="V23" s="19" t="b">
        <f t="shared" ca="1" si="2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>COUNTIF(FIELD_NAME,B24)&gt;1</f>
        <v>0</v>
      </c>
      <c r="V24" s="19" t="b">
        <f t="shared" ca="1" si="2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>COUNTIF(FIELD_NAME,B25)&gt;1</f>
        <v>0</v>
      </c>
      <c r="V25" s="19" t="b">
        <f t="shared" ca="1" si="2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>COUNTIF(FIELD_NAME,B26)&gt;1</f>
        <v>0</v>
      </c>
      <c r="V26" s="19" t="b">
        <f t="shared" ca="1" si="2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>COUNTIF(FIELD_NAME,B27)&gt;1</f>
        <v>0</v>
      </c>
      <c r="V27" s="19" t="b">
        <f t="shared" ca="1" si="2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>COUNTIF(FIELD_NAME,B28)&gt;1</f>
        <v>0</v>
      </c>
      <c r="V28" s="19" t="b">
        <f t="shared" ca="1" si="2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>COUNTIF(FIELD_NAME,B29)&gt;1</f>
        <v>0</v>
      </c>
      <c r="V29" s="19" t="b">
        <f t="shared" ca="1" si="2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>COUNTIF(FIELD_NAME,B30)&gt;1</f>
        <v>0</v>
      </c>
      <c r="V30" s="19" t="b">
        <f t="shared" ca="1" si="2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>COUNTIF(FIELD_NAME,B31)&gt;1</f>
        <v>0</v>
      </c>
      <c r="V31" s="19" t="b">
        <f t="shared" ca="1" si="2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>COUNTIF(FIELD_NAME,B32)&gt;1</f>
        <v>0</v>
      </c>
      <c r="V32" s="19" t="b">
        <f t="shared" ca="1" si="2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>COUNTIF(FIELD_NAME,B33)&gt;1</f>
        <v>0</v>
      </c>
      <c r="V33" s="19" t="b">
        <f t="shared" ca="1" si="2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>COUNTIF(FIELD_NAME,B34)&gt;1</f>
        <v>0</v>
      </c>
      <c r="V34" s="19" t="b">
        <f t="shared" ca="1" si="2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>COUNTIF(FIELD_NAME,B35)&gt;1</f>
        <v>0</v>
      </c>
      <c r="V35" s="19" t="b">
        <f t="shared" ca="1" si="2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>COUNTIF(FIELD_NAME,B36)&gt;1</f>
        <v>0</v>
      </c>
      <c r="V36" s="19" t="b">
        <f t="shared" ca="1" si="2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>COUNTIF(FIELD_NAME,B37)&gt;1</f>
        <v>0</v>
      </c>
      <c r="V37" s="19" t="b">
        <f t="shared" ca="1" si="2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>COUNTIF(FIELD_NAME,B38)&gt;1</f>
        <v>0</v>
      </c>
      <c r="V38" s="19" t="b">
        <f t="shared" ca="1" si="2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>COUNTIF(FIELD_NAME,B39)&gt;1</f>
        <v>0</v>
      </c>
      <c r="V39" s="19" t="b">
        <f t="shared" ca="1" si="2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>COUNTIF(FIELD_NAME,B40)&gt;1</f>
        <v>0</v>
      </c>
      <c r="V40" s="19" t="b">
        <f t="shared" ca="1" si="2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>COUNTIF(FIELD_NAME,B41)&gt;1</f>
        <v>0</v>
      </c>
      <c r="V41" s="19" t="b">
        <f t="shared" ca="1" si="2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>COUNTIF(FIELD_NAME,B42)&gt;1</f>
        <v>0</v>
      </c>
      <c r="V42" s="19" t="b">
        <f t="shared" ca="1" si="2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>COUNTIF(FIELD_NAME,B43)&gt;1</f>
        <v>0</v>
      </c>
      <c r="V43" s="19" t="b">
        <f t="shared" ca="1" si="2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>COUNTIF(FIELD_NAME,B44)&gt;1</f>
        <v>0</v>
      </c>
      <c r="V44" s="19" t="b">
        <f t="shared" ca="1" si="2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>COUNTIF(FIELD_NAME,B45)&gt;1</f>
        <v>0</v>
      </c>
      <c r="V45" s="19" t="b">
        <f t="shared" ca="1" si="2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>COUNTIF(FIELD_NAME,B46)&gt;1</f>
        <v>0</v>
      </c>
      <c r="V46" s="19" t="b">
        <f t="shared" ca="1" si="2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>COUNTIF(FIELD_NAME,B47)&gt;1</f>
        <v>0</v>
      </c>
      <c r="V47" s="19" t="b">
        <f t="shared" ca="1" si="2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>COUNTIF(FIELD_NAME,B48)&gt;1</f>
        <v>0</v>
      </c>
      <c r="V48" s="19" t="b">
        <f t="shared" ca="1" si="2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>COUNTIF(FIELD_NAME,B49)&gt;1</f>
        <v>0</v>
      </c>
      <c r="V49" s="19" t="b">
        <f t="shared" ca="1" si="2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>COUNTIF(FIELD_NAME,B50)&gt;1</f>
        <v>0</v>
      </c>
      <c r="V50" s="19" t="b">
        <f t="shared" ca="1" si="2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>COUNTIF(FIELD_NAME,B51)&gt;1</f>
        <v>0</v>
      </c>
      <c r="V51" s="19" t="b">
        <f t="shared" ca="1" si="2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>COUNTIF(FIELD_NAME,B52)&gt;1</f>
        <v>0</v>
      </c>
      <c r="V52" s="19" t="b">
        <f t="shared" ca="1" si="2"/>
        <v>0</v>
      </c>
      <c r="X52" s="19" t="b">
        <f t="shared" ref="X52:X61" si="6">AND(N41&lt;&gt;"",ISNA(MATCH(N41,テーブル項目KEY,0)))</f>
        <v>0</v>
      </c>
      <c r="Y52" s="19" t="b">
        <f t="shared" ref="Y52:Y61" si="7">AND(O41&lt;&gt;"",ISNA(MATCH(O41,テーブル項目KEY,0)))</f>
        <v>0</v>
      </c>
      <c r="Z52" s="19" t="b">
        <f t="shared" ref="Z52:Z61" si="8">AND(P41&lt;&gt;"",ISNA(MATCH(P41,テーブル項目KEY,0)))</f>
        <v>0</v>
      </c>
      <c r="AA52" s="19" t="b">
        <f t="shared" ref="AA52:AA61" si="9">AND(Q41&lt;&gt;"",ISNA(MATCH(Q41,テーブル項目KEY,0)))</f>
        <v>0</v>
      </c>
      <c r="AB52" s="19" t="b">
        <f t="shared" ref="AB52:AB61" si="10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>COUNTIF(FIELD_NAME,B53)&gt;1</f>
        <v>0</v>
      </c>
      <c r="V53" s="19" t="b">
        <f t="shared" ca="1" si="2"/>
        <v>0</v>
      </c>
      <c r="X53" s="19" t="b">
        <f t="shared" si="6"/>
        <v>0</v>
      </c>
      <c r="Y53" s="19" t="b">
        <f t="shared" si="7"/>
        <v>0</v>
      </c>
      <c r="Z53" s="19" t="b">
        <f t="shared" si="8"/>
        <v>0</v>
      </c>
      <c r="AA53" s="19" t="b">
        <f t="shared" si="9"/>
        <v>0</v>
      </c>
      <c r="AB53" s="19" t="b">
        <f t="shared" si="10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>COUNTIF(FIELD_NAME,B54)&gt;1</f>
        <v>0</v>
      </c>
      <c r="V54" s="19" t="b">
        <f t="shared" ca="1" si="2"/>
        <v>0</v>
      </c>
      <c r="X54" s="19" t="b">
        <f t="shared" si="6"/>
        <v>0</v>
      </c>
      <c r="Y54" s="19" t="b">
        <f t="shared" si="7"/>
        <v>0</v>
      </c>
      <c r="Z54" s="19" t="b">
        <f t="shared" si="8"/>
        <v>0</v>
      </c>
      <c r="AA54" s="19" t="b">
        <f t="shared" si="9"/>
        <v>0</v>
      </c>
      <c r="AB54" s="19" t="b">
        <f t="shared" si="10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>COUNTIF(FIELD_NAME,B55)&gt;1</f>
        <v>0</v>
      </c>
      <c r="V55" s="19" t="b">
        <f t="shared" ca="1" si="2"/>
        <v>0</v>
      </c>
      <c r="X55" s="19" t="b">
        <f t="shared" si="6"/>
        <v>0</v>
      </c>
      <c r="Y55" s="19" t="b">
        <f t="shared" si="7"/>
        <v>0</v>
      </c>
      <c r="Z55" s="19" t="b">
        <f t="shared" si="8"/>
        <v>0</v>
      </c>
      <c r="AA55" s="19" t="b">
        <f t="shared" si="9"/>
        <v>0</v>
      </c>
      <c r="AB55" s="19" t="b">
        <f t="shared" si="10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>COUNTIF(FIELD_NAME,B56)&gt;1</f>
        <v>0</v>
      </c>
      <c r="V56" s="19" t="b">
        <f t="shared" ca="1" si="2"/>
        <v>0</v>
      </c>
      <c r="X56" s="19" t="b">
        <f t="shared" si="6"/>
        <v>0</v>
      </c>
      <c r="Y56" s="19" t="b">
        <f t="shared" si="7"/>
        <v>0</v>
      </c>
      <c r="Z56" s="19" t="b">
        <f t="shared" si="8"/>
        <v>0</v>
      </c>
      <c r="AA56" s="19" t="b">
        <f t="shared" si="9"/>
        <v>0</v>
      </c>
      <c r="AB56" s="19" t="b">
        <f t="shared" si="10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>COUNTIF(FIELD_NAME,B57)&gt;1</f>
        <v>0</v>
      </c>
      <c r="V57" s="19" t="b">
        <f t="shared" ca="1" si="2"/>
        <v>0</v>
      </c>
      <c r="X57" s="19" t="b">
        <f t="shared" si="6"/>
        <v>0</v>
      </c>
      <c r="Y57" s="19" t="b">
        <f t="shared" si="7"/>
        <v>0</v>
      </c>
      <c r="Z57" s="19" t="b">
        <f t="shared" si="8"/>
        <v>0</v>
      </c>
      <c r="AA57" s="19" t="b">
        <f t="shared" si="9"/>
        <v>0</v>
      </c>
      <c r="AB57" s="19" t="b">
        <f t="shared" si="10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>COUNTIF(FIELD_NAME,B58)&gt;1</f>
        <v>0</v>
      </c>
      <c r="V58" s="19" t="b">
        <f t="shared" ca="1" si="2"/>
        <v>0</v>
      </c>
      <c r="X58" s="19" t="b">
        <f t="shared" si="6"/>
        <v>0</v>
      </c>
      <c r="Y58" s="19" t="b">
        <f t="shared" si="7"/>
        <v>0</v>
      </c>
      <c r="Z58" s="19" t="b">
        <f t="shared" si="8"/>
        <v>0</v>
      </c>
      <c r="AA58" s="19" t="b">
        <f t="shared" si="9"/>
        <v>0</v>
      </c>
      <c r="AB58" s="19" t="b">
        <f t="shared" si="10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>COUNTIF(FIELD_NAME,B59)&gt;1</f>
        <v>0</v>
      </c>
      <c r="V59" s="19" t="b">
        <f t="shared" ca="1" si="2"/>
        <v>0</v>
      </c>
      <c r="X59" s="19" t="b">
        <f t="shared" si="6"/>
        <v>0</v>
      </c>
      <c r="Y59" s="19" t="b">
        <f t="shared" si="7"/>
        <v>0</v>
      </c>
      <c r="Z59" s="19" t="b">
        <f t="shared" si="8"/>
        <v>0</v>
      </c>
      <c r="AA59" s="19" t="b">
        <f t="shared" si="9"/>
        <v>0</v>
      </c>
      <c r="AB59" s="19" t="b">
        <f t="shared" si="10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>COUNTIF(FIELD_NAME,B60)&gt;1</f>
        <v>0</v>
      </c>
      <c r="V60" s="19" t="b">
        <f t="shared" ca="1" si="2"/>
        <v>0</v>
      </c>
      <c r="X60" s="19" t="b">
        <f t="shared" si="6"/>
        <v>0</v>
      </c>
      <c r="Y60" s="19" t="b">
        <f t="shared" si="7"/>
        <v>0</v>
      </c>
      <c r="Z60" s="19" t="b">
        <f t="shared" si="8"/>
        <v>0</v>
      </c>
      <c r="AA60" s="19" t="b">
        <f t="shared" si="9"/>
        <v>0</v>
      </c>
      <c r="AB60" s="19" t="b">
        <f t="shared" si="10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>COUNTIF(FIELD_NAME,B61)&gt;1</f>
        <v>0</v>
      </c>
      <c r="V61" s="19" t="b">
        <f t="shared" ca="1" si="2"/>
        <v>0</v>
      </c>
      <c r="X61" s="19" t="b">
        <f t="shared" si="6"/>
        <v>0</v>
      </c>
      <c r="Y61" s="19" t="b">
        <f t="shared" si="7"/>
        <v>0</v>
      </c>
      <c r="Z61" s="19" t="b">
        <f t="shared" si="8"/>
        <v>0</v>
      </c>
      <c r="AA61" s="19" t="b">
        <f t="shared" si="9"/>
        <v>0</v>
      </c>
      <c r="AB61" s="19" t="b">
        <f t="shared" si="10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>COUNTIF(FIELD_NAME,B62)&gt;1</f>
        <v>0</v>
      </c>
      <c r="V62" s="19" t="b">
        <f t="shared" ca="1" si="2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>COUNTIF(FIELD_NAME,B63)&gt;1</f>
        <v>0</v>
      </c>
      <c r="V63" s="19" t="b">
        <f t="shared" ca="1" si="2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>COUNTIF(FIELD_NAME,B64)&gt;1</f>
        <v>0</v>
      </c>
      <c r="V64" s="19" t="b">
        <f t="shared" ca="1" si="2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>COUNTIF(FIELD_NAME,B65)&gt;1</f>
        <v>0</v>
      </c>
      <c r="V65" s="19" t="b">
        <f t="shared" ca="1" si="2"/>
        <v>0</v>
      </c>
      <c r="X65" s="19" t="b">
        <f t="shared" ref="X65:AB74" si="11">COUNTIF($N41:$R41,N41)&gt;1</f>
        <v>0</v>
      </c>
      <c r="Y65" s="19" t="b">
        <f t="shared" si="11"/>
        <v>0</v>
      </c>
      <c r="Z65" s="19" t="b">
        <f t="shared" si="11"/>
        <v>0</v>
      </c>
      <c r="AA65" s="19" t="b">
        <f t="shared" si="11"/>
        <v>0</v>
      </c>
      <c r="AB65" s="19" t="b">
        <f t="shared" si="11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>COUNTIF(FIELD_NAME,B66)&gt;1</f>
        <v>0</v>
      </c>
      <c r="V66" s="19" t="b">
        <f t="shared" ca="1" si="2"/>
        <v>0</v>
      </c>
      <c r="X66" s="19" t="b">
        <f t="shared" si="11"/>
        <v>0</v>
      </c>
      <c r="Y66" s="19" t="b">
        <f t="shared" si="11"/>
        <v>0</v>
      </c>
      <c r="Z66" s="19" t="b">
        <f t="shared" si="11"/>
        <v>0</v>
      </c>
      <c r="AA66" s="19" t="b">
        <f t="shared" si="11"/>
        <v>0</v>
      </c>
      <c r="AB66" s="19" t="b">
        <f t="shared" si="11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>COUNTIF(FIELD_NAME,B67)&gt;1</f>
        <v>0</v>
      </c>
      <c r="V67" s="19" t="b">
        <f t="shared" ca="1" si="2"/>
        <v>0</v>
      </c>
      <c r="X67" s="19" t="b">
        <f t="shared" si="11"/>
        <v>0</v>
      </c>
      <c r="Y67" s="19" t="b">
        <f t="shared" si="11"/>
        <v>0</v>
      </c>
      <c r="Z67" s="19" t="b">
        <f t="shared" si="11"/>
        <v>0</v>
      </c>
      <c r="AA67" s="19" t="b">
        <f t="shared" si="11"/>
        <v>0</v>
      </c>
      <c r="AB67" s="19" t="b">
        <f t="shared" si="11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>COUNTIF(FIELD_NAME,B68)&gt;1</f>
        <v>0</v>
      </c>
      <c r="V68" s="19" t="b">
        <f t="shared" ca="1" si="2"/>
        <v>0</v>
      </c>
      <c r="X68" s="19" t="b">
        <f t="shared" si="11"/>
        <v>0</v>
      </c>
      <c r="Y68" s="19" t="b">
        <f t="shared" si="11"/>
        <v>0</v>
      </c>
      <c r="Z68" s="19" t="b">
        <f t="shared" si="11"/>
        <v>0</v>
      </c>
      <c r="AA68" s="19" t="b">
        <f t="shared" si="11"/>
        <v>0</v>
      </c>
      <c r="AB68" s="19" t="b">
        <f t="shared" si="11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>COUNTIF(FIELD_NAME,B69)&gt;1</f>
        <v>0</v>
      </c>
      <c r="V69" s="19" t="b">
        <f t="shared" ca="1" si="2"/>
        <v>0</v>
      </c>
      <c r="X69" s="19" t="b">
        <f t="shared" si="11"/>
        <v>0</v>
      </c>
      <c r="Y69" s="19" t="b">
        <f t="shared" si="11"/>
        <v>0</v>
      </c>
      <c r="Z69" s="19" t="b">
        <f t="shared" si="11"/>
        <v>0</v>
      </c>
      <c r="AA69" s="19" t="b">
        <f t="shared" si="11"/>
        <v>0</v>
      </c>
      <c r="AB69" s="19" t="b">
        <f t="shared" si="11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2">AND(B70&lt;&gt;"",ISNA(MATCH(B70,項目リスト,0)))</f>
        <v>0</v>
      </c>
      <c r="U70" s="19" t="b">
        <f>COUNTIF(FIELD_NAME,B70)&gt;1</f>
        <v>0</v>
      </c>
      <c r="V70" s="19" t="b">
        <f t="shared" ca="1" si="2"/>
        <v>0</v>
      </c>
      <c r="X70" s="19" t="b">
        <f t="shared" si="11"/>
        <v>0</v>
      </c>
      <c r="Y70" s="19" t="b">
        <f t="shared" si="11"/>
        <v>0</v>
      </c>
      <c r="Z70" s="19" t="b">
        <f t="shared" si="11"/>
        <v>0</v>
      </c>
      <c r="AA70" s="19" t="b">
        <f t="shared" si="11"/>
        <v>0</v>
      </c>
      <c r="AB70" s="19" t="b">
        <f t="shared" si="11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2"/>
        <v>0</v>
      </c>
      <c r="U71" s="19" t="b">
        <f>COUNTIF(FIELD_NAME,B71)&gt;1</f>
        <v>0</v>
      </c>
      <c r="V71" s="19" t="b">
        <f t="shared" ca="1" si="2"/>
        <v>0</v>
      </c>
      <c r="X71" s="19" t="b">
        <f t="shared" si="11"/>
        <v>0</v>
      </c>
      <c r="Y71" s="19" t="b">
        <f t="shared" si="11"/>
        <v>0</v>
      </c>
      <c r="Z71" s="19" t="b">
        <f t="shared" si="11"/>
        <v>0</v>
      </c>
      <c r="AA71" s="19" t="b">
        <f t="shared" si="11"/>
        <v>0</v>
      </c>
      <c r="AB71" s="19" t="b">
        <f t="shared" si="11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2"/>
        <v>0</v>
      </c>
      <c r="U72" s="19" t="b">
        <f>COUNTIF(FIELD_NAME,B72)&gt;1</f>
        <v>0</v>
      </c>
      <c r="V72" s="19" t="b">
        <f t="shared" ca="1" si="2"/>
        <v>0</v>
      </c>
      <c r="X72" s="19" t="b">
        <f t="shared" si="11"/>
        <v>0</v>
      </c>
      <c r="Y72" s="19" t="b">
        <f t="shared" si="11"/>
        <v>0</v>
      </c>
      <c r="Z72" s="19" t="b">
        <f t="shared" si="11"/>
        <v>0</v>
      </c>
      <c r="AA72" s="19" t="b">
        <f t="shared" si="11"/>
        <v>0</v>
      </c>
      <c r="AB72" s="19" t="b">
        <f t="shared" si="11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2"/>
        <v>0</v>
      </c>
      <c r="U73" s="19" t="b">
        <f>COUNTIF(FIELD_NAME,B73)&gt;1</f>
        <v>0</v>
      </c>
      <c r="V73" s="19" t="b">
        <f t="shared" ref="V73:V105" ca="1" si="13">AND(E73="",H73&lt;&gt;"",H73)</f>
        <v>0</v>
      </c>
      <c r="X73" s="19" t="b">
        <f t="shared" si="11"/>
        <v>0</v>
      </c>
      <c r="Y73" s="19" t="b">
        <f t="shared" si="11"/>
        <v>0</v>
      </c>
      <c r="Z73" s="19" t="b">
        <f t="shared" si="11"/>
        <v>0</v>
      </c>
      <c r="AA73" s="19" t="b">
        <f t="shared" si="11"/>
        <v>0</v>
      </c>
      <c r="AB73" s="19" t="b">
        <f t="shared" si="11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2"/>
        <v>0</v>
      </c>
      <c r="U74" s="19" t="b">
        <f>COUNTIF(FIELD_NAME,B74)&gt;1</f>
        <v>0</v>
      </c>
      <c r="V74" s="19" t="b">
        <f t="shared" ca="1" si="13"/>
        <v>0</v>
      </c>
      <c r="X74" s="19" t="b">
        <f t="shared" si="11"/>
        <v>0</v>
      </c>
      <c r="Y74" s="19" t="b">
        <f t="shared" si="11"/>
        <v>0</v>
      </c>
      <c r="Z74" s="19" t="b">
        <f t="shared" si="11"/>
        <v>0</v>
      </c>
      <c r="AA74" s="19" t="b">
        <f t="shared" si="11"/>
        <v>0</v>
      </c>
      <c r="AB74" s="19" t="b">
        <f t="shared" si="11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2"/>
        <v>0</v>
      </c>
      <c r="U75" s="19" t="b">
        <f>COUNTIF(FIELD_NAME,B75)&gt;1</f>
        <v>0</v>
      </c>
      <c r="V75" s="19" t="b">
        <f t="shared" ca="1" si="13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2"/>
        <v>0</v>
      </c>
      <c r="U76" s="19" t="b">
        <f>COUNTIF(FIELD_NAME,B76)&gt;1</f>
        <v>0</v>
      </c>
      <c r="V76" s="19" t="b">
        <f t="shared" ca="1" si="13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2"/>
        <v>0</v>
      </c>
      <c r="U77" s="19" t="b">
        <f>COUNTIF(FIELD_NAME,B77)&gt;1</f>
        <v>0</v>
      </c>
      <c r="V77" s="19" t="b">
        <f t="shared" ca="1" si="13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2"/>
        <v>0</v>
      </c>
      <c r="U78" s="19" t="b">
        <f>COUNTIF(FIELD_NAME,B78)&gt;1</f>
        <v>0</v>
      </c>
      <c r="V78" s="19" t="b">
        <f t="shared" ca="1" si="13"/>
        <v>0</v>
      </c>
      <c r="X78" s="19" t="b">
        <f t="shared" ref="X78:X87" ca="1" si="14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2"/>
        <v>0</v>
      </c>
      <c r="U79" s="19" t="b">
        <f>COUNTIF(FIELD_NAME,B79)&gt;1</f>
        <v>0</v>
      </c>
      <c r="V79" s="19" t="b">
        <f t="shared" ca="1" si="13"/>
        <v>0</v>
      </c>
      <c r="X79" s="19" t="b">
        <f t="shared" ca="1" si="14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2"/>
        <v>0</v>
      </c>
      <c r="U80" s="19" t="b">
        <f>COUNTIF(FIELD_NAME,B80)&gt;1</f>
        <v>0</v>
      </c>
      <c r="V80" s="19" t="b">
        <f t="shared" ca="1" si="13"/>
        <v>0</v>
      </c>
      <c r="X80" s="19" t="b">
        <f t="shared" ca="1" si="14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2"/>
        <v>0</v>
      </c>
      <c r="U81" s="19" t="b">
        <f>COUNTIF(FIELD_NAME,B81)&gt;1</f>
        <v>0</v>
      </c>
      <c r="V81" s="19" t="b">
        <f t="shared" ca="1" si="13"/>
        <v>0</v>
      </c>
      <c r="X81" s="19" t="b">
        <f t="shared" ca="1" si="14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2"/>
        <v>0</v>
      </c>
      <c r="U82" s="19" t="b">
        <f>COUNTIF(FIELD_NAME,B82)&gt;1</f>
        <v>0</v>
      </c>
      <c r="V82" s="19" t="b">
        <f t="shared" ca="1" si="13"/>
        <v>0</v>
      </c>
      <c r="X82" s="19" t="b">
        <f t="shared" ca="1" si="14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2"/>
        <v>0</v>
      </c>
      <c r="U83" s="19" t="b">
        <f>COUNTIF(FIELD_NAME,B83)&gt;1</f>
        <v>0</v>
      </c>
      <c r="V83" s="19" t="b">
        <f t="shared" ca="1" si="13"/>
        <v>0</v>
      </c>
      <c r="X83" s="19" t="b">
        <f t="shared" ca="1" si="14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2"/>
        <v>0</v>
      </c>
      <c r="U84" s="19" t="b">
        <f>COUNTIF(FIELD_NAME,B84)&gt;1</f>
        <v>0</v>
      </c>
      <c r="V84" s="19" t="b">
        <f t="shared" ca="1" si="13"/>
        <v>0</v>
      </c>
      <c r="X84" s="19" t="b">
        <f t="shared" ca="1" si="14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2"/>
        <v>0</v>
      </c>
      <c r="U85" s="19" t="b">
        <f>COUNTIF(FIELD_NAME,B85)&gt;1</f>
        <v>0</v>
      </c>
      <c r="V85" s="19" t="b">
        <f t="shared" ca="1" si="13"/>
        <v>0</v>
      </c>
      <c r="X85" s="19" t="e">
        <f t="shared" ca="1" si="14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2"/>
        <v>0</v>
      </c>
      <c r="U86" s="19" t="b">
        <f>COUNTIF(FIELD_NAME,B86)&gt;1</f>
        <v>0</v>
      </c>
      <c r="V86" s="19" t="b">
        <f t="shared" ca="1" si="13"/>
        <v>0</v>
      </c>
      <c r="X86" s="19" t="e">
        <f t="shared" ca="1" si="14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2"/>
        <v>0</v>
      </c>
      <c r="U87" s="19" t="b">
        <f>COUNTIF(FIELD_NAME,B87)&gt;1</f>
        <v>0</v>
      </c>
      <c r="V87" s="19" t="b">
        <f t="shared" ca="1" si="13"/>
        <v>0</v>
      </c>
      <c r="X87" s="19" t="e">
        <f t="shared" ca="1" si="14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2"/>
        <v>0</v>
      </c>
      <c r="U88" s="19" t="b">
        <f>COUNTIF(FIELD_NAME,B88)&gt;1</f>
        <v>0</v>
      </c>
      <c r="V88" s="19" t="b">
        <f t="shared" ca="1" si="13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2"/>
        <v>0</v>
      </c>
      <c r="U89" s="19" t="b">
        <f>COUNTIF(FIELD_NAME,B89)&gt;1</f>
        <v>0</v>
      </c>
      <c r="V89" s="19" t="b">
        <f t="shared" ca="1" si="13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2"/>
        <v>0</v>
      </c>
      <c r="U90" s="19" t="b">
        <f>COUNTIF(FIELD_NAME,B90)&gt;1</f>
        <v>0</v>
      </c>
      <c r="V90" s="19" t="b">
        <f t="shared" ca="1" si="13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2"/>
        <v>0</v>
      </c>
      <c r="U91" s="19" t="b">
        <f>COUNTIF(FIELD_NAME,B91)&gt;1</f>
        <v>0</v>
      </c>
      <c r="V91" s="19" t="b">
        <f t="shared" ca="1" si="13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2"/>
        <v>0</v>
      </c>
      <c r="U92" s="19" t="b">
        <f>COUNTIF(FIELD_NAME,B92)&gt;1</f>
        <v>0</v>
      </c>
      <c r="V92" s="19" t="b">
        <f t="shared" ca="1" si="13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2"/>
        <v>0</v>
      </c>
      <c r="U93" s="19" t="b">
        <f>COUNTIF(FIELD_NAME,B93)&gt;1</f>
        <v>0</v>
      </c>
      <c r="V93" s="19" t="b">
        <f t="shared" ca="1" si="13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2"/>
        <v>0</v>
      </c>
      <c r="U94" s="19" t="b">
        <f>COUNTIF(FIELD_NAME,B94)&gt;1</f>
        <v>0</v>
      </c>
      <c r="V94" s="19" t="b">
        <f t="shared" ca="1" si="13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2"/>
        <v>0</v>
      </c>
      <c r="U95" s="19" t="b">
        <f>COUNTIF(FIELD_NAME,B95)&gt;1</f>
        <v>0</v>
      </c>
      <c r="V95" s="19" t="b">
        <f t="shared" ca="1" si="13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2"/>
        <v>0</v>
      </c>
      <c r="U96" s="19" t="b">
        <f>COUNTIF(FIELD_NAME,B96)&gt;1</f>
        <v>0</v>
      </c>
      <c r="V96" s="19" t="b">
        <f t="shared" ca="1" si="13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2"/>
        <v>0</v>
      </c>
      <c r="U97" s="19" t="b">
        <f>COUNTIF(FIELD_NAME,B97)&gt;1</f>
        <v>0</v>
      </c>
      <c r="V97" s="19" t="b">
        <f t="shared" ca="1" si="13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2"/>
        <v>0</v>
      </c>
      <c r="U98" s="19" t="b">
        <f>COUNTIF(FIELD_NAME,B98)&gt;1</f>
        <v>0</v>
      </c>
      <c r="V98" s="19" t="b">
        <f t="shared" ca="1" si="13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2"/>
        <v>0</v>
      </c>
      <c r="U99" s="19" t="b">
        <f>COUNTIF(FIELD_NAME,B99)&gt;1</f>
        <v>0</v>
      </c>
      <c r="V99" s="19" t="b">
        <f t="shared" ca="1" si="13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2"/>
        <v>0</v>
      </c>
      <c r="U100" s="19" t="b">
        <f>COUNTIF(FIELD_NAME,B100)&gt;1</f>
        <v>0</v>
      </c>
      <c r="V100" s="19" t="b">
        <f t="shared" ca="1" si="13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2"/>
        <v>0</v>
      </c>
      <c r="U101" s="19" t="b">
        <f>COUNTIF(FIELD_NAME,B101)&gt;1</f>
        <v>0</v>
      </c>
      <c r="V101" s="19" t="b">
        <f t="shared" ca="1" si="13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2"/>
        <v>0</v>
      </c>
      <c r="U102" s="19" t="b">
        <f>COUNTIF(FIELD_NAME,B102)&gt;1</f>
        <v>0</v>
      </c>
      <c r="V102" s="19" t="b">
        <f t="shared" ca="1" si="13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2"/>
        <v>0</v>
      </c>
      <c r="U103" s="19" t="b">
        <f>COUNTIF(FIELD_NAME,B103)&gt;1</f>
        <v>0</v>
      </c>
      <c r="V103" s="19" t="b">
        <f t="shared" ca="1" si="13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2"/>
        <v>0</v>
      </c>
      <c r="U104" s="19" t="b">
        <f>COUNTIF(FIELD_NAME,B104)&gt;1</f>
        <v>0</v>
      </c>
      <c r="V104" s="19" t="b">
        <f t="shared" ca="1" si="13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2"/>
        <v>0</v>
      </c>
      <c r="U105" s="19" t="b">
        <f>COUNTIF(FIELD_NAME,B105)&gt;1</f>
        <v>0</v>
      </c>
      <c r="V105" s="19" t="b">
        <f t="shared" ca="1" si="13"/>
        <v>0</v>
      </c>
      <c r="AI105" s="63"/>
      <c r="AJ105" s="74"/>
    </row>
  </sheetData>
  <phoneticPr fontId="2"/>
  <conditionalFormatting sqref="B2:C2">
    <cfRule type="expression" dxfId="10" priority="7">
      <formula>ISERROR(B2)</formula>
    </cfRule>
  </conditionalFormatting>
  <conditionalFormatting sqref="B6:B105">
    <cfRule type="expression" dxfId="9" priority="5">
      <formula>COUNTIF(FIELD_NAME,B6)&gt;1</formula>
    </cfRule>
    <cfRule type="expression" dxfId="8" priority="6">
      <formula>AND($B6&lt;&gt;"",ISNA(MATCH($B6,項目リスト,0)))</formula>
    </cfRule>
  </conditionalFormatting>
  <conditionalFormatting sqref="B6">
    <cfRule type="expression" dxfId="7" priority="4">
      <formula>$AI$6="N/A"</formula>
    </cfRule>
  </conditionalFormatting>
  <conditionalFormatting sqref="E6:E105">
    <cfRule type="expression" dxfId="6" priority="8">
      <formula>$V6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10">
      <formula>Y8</formula>
    </cfRule>
    <cfRule type="expression" dxfId="3" priority="11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9">
      <formula>$AG$7</formula>
    </cfRule>
  </conditionalFormatting>
  <dataValidations count="6">
    <dataValidation imeMode="off" allowBlank="1" showInputMessage="1" showErrorMessage="1" sqref="D5:F5 C2" xr:uid="{ADC201A6-B6B9-4E9D-A654-3D73A987A503}"/>
    <dataValidation type="list" allowBlank="1" showInputMessage="1" showErrorMessage="1" sqref="L13:P22" xr:uid="{D6CBC146-9AFD-4118-8CDB-C27C6759BCB5}">
      <formula1>FIELDリスト</formula1>
    </dataValidation>
    <dataValidation type="list" allowBlank="1" showInputMessage="1" showErrorMessage="1" sqref="L8:P8" xr:uid="{6EF392BB-70FD-43EB-849C-5A217EC530C7}">
      <formula1>FIELDリストNN</formula1>
    </dataValidation>
    <dataValidation type="whole" imeMode="off" operator="equal" allowBlank="1" showInputMessage="1" showErrorMessage="1" error="NotNullの場合は[1]を入力する。" sqref="E6:E105" xr:uid="{85B235C2-2C8A-46FC-B0A6-6EC240EF6E28}">
      <formula1>1</formula1>
    </dataValidation>
    <dataValidation type="list" allowBlank="1" showInputMessage="1" showErrorMessage="1" sqref="B6:B105" xr:uid="{18B4D52B-480F-441F-8035-027D1DF86B7E}">
      <formula1>項目リスト</formula1>
    </dataValidation>
    <dataValidation imeMode="on" allowBlank="1" showInputMessage="1" showErrorMessage="1" sqref="K12 A5 A1:A2 F6:I105 K7" xr:uid="{19E0D9C9-7391-44F6-9EF9-07C03DD07504}"/>
  </dataValidations>
  <hyperlinks>
    <hyperlink ref="E1" location="一覧!R1C1" display="一覧へ" xr:uid="{F968B321-94BC-421D-A6EF-6E82417AF41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</row>
    <row r="6" spans="1:8">
      <c r="A6" s="72" t="s">
        <v>162</v>
      </c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58</vt:i4>
      </vt:variant>
    </vt:vector>
  </HeadingPairs>
  <TitlesOfParts>
    <vt:vector size="65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受注!インデックスSTART</vt:lpstr>
      <vt:lpstr>受注明細!インデックスSTART</vt:lpstr>
      <vt:lpstr>得意先!インデックスSTART</vt:lpstr>
      <vt:lpstr>テーブル一覧START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2024-02-16T14:40:26Z</dcterms:modified>
</cp:coreProperties>
</file>