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C3614930-DA6F-460F-B06B-879129E8EB9D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項目" sheetId="2" r:id="rId1"/>
    <sheet name="一覧" sheetId="1" r:id="rId2"/>
    <sheet name="テンプレート" sheetId="4" state="hidden" r:id="rId3"/>
    <sheet name="WORK" sheetId="5" state="hidden" r:id="rId4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FIELD_AREA" localSheetId="2">テンプレート!$AI$6:$AJ$105</definedName>
    <definedName name="FIELD_COUNT" localSheetId="2">テンプレート!$AI$5</definedName>
    <definedName name="FIELD_COUNT">#REF!</definedName>
    <definedName name="FIELD_COUNT_NN" localSheetId="2">テンプレート!$AJ$5</definedName>
    <definedName name="FIELD_COUNT_NN">#REF!</definedName>
    <definedName name="FIELD_NAME" localSheetId="2">テンプレート!$B$6:$B$105</definedName>
    <definedName name="FIELD_NAME">#REF!</definedName>
    <definedName name="FIELD_NAME__" localSheetId="2">OFFSET(テンプレート!FIELD_NAME,,,,2)</definedName>
    <definedName name="FIELD_NN" localSheetId="2">テンプレート!$E$6:$E$105</definedName>
    <definedName name="FIELDリスト" localSheetId="2">OFFSET(テンプレート!$AI$6,,,テンプレート!FIELD_COUNT,)</definedName>
    <definedName name="FIELDリストNN" localSheetId="2">OFFSET(テンプレート!$AJ$6,,,テンプレート!FIELD_COUNT_NN,)</definedName>
    <definedName name="INVALID">FALSE</definedName>
    <definedName name="IS_MASTER" localSheetId="2">テンプレート!$F$2</definedName>
    <definedName name="MODIFY_DATETIME">45342.3099884259</definedName>
    <definedName name="PK_AREA" localSheetId="2">テンプレート!$L$8:$P$8</definedName>
    <definedName name="SCHEMA_EN">WORK!$A$9</definedName>
    <definedName name="SCHEMA_JP">WORK!$A$6</definedName>
    <definedName name="TABLE_EN" localSheetId="2">テンプレート!$C$2</definedName>
    <definedName name="TABLE_JP" localSheetId="2">テンプレート!$B$2</definedName>
    <definedName name="TABLE_NO" localSheetId="2">テンプレート!$D$2</definedName>
    <definedName name="UNIQUE_AREA" localSheetId="2">テンプレート!$L$13:$P$22</definedName>
    <definedName name="UNIQUE_EXIST" localSheetId="2">テンプレート!$R$11</definedName>
    <definedName name="UNIQUE_LIST" localSheetId="2">テンプレート!$R$13:$R$22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1" i="4" l="1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Y13" i="4" l="1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10" i="4" l="1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I101" i="1" l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<sst xmlns="http://schemas.openxmlformats.org/spreadsheetml/2006/main" count="239" uniqueCount="169">
  <si>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</si>
  <si>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</si>
  <si>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</si>
  <si>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</si>
  <si>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</si>
  <si>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</si>
  <si>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</si>
  <si>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</si>
  <si>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</si>
  <si>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</si>
  <si>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</si>
  <si>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</si>
  <si>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</si>
  <si>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</si>
  <si>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</si>
  <si>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</si>
  <si>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</si>
  <si>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</si>
  <si>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</si>
  <si>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</si>
  <si>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</si>
  <si>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</si>
  <si>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</si>
  <si>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</si>
  <si>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</si>
  <si>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</si>
  <si>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</si>
  <si>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</si>
  <si>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</si>
  <si>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</si>
  <si>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</si>
  <si>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</si>
  <si>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</si>
  <si>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</si>
  <si>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</si>
  <si>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</si>
  <si>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</si>
  <si>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</si>
  <si>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</si>
  <si>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</si>
  <si>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</si>
  <si>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</si>
  <si>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</si>
  <si>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</si>
  <si>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</si>
  <si>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</si>
  <si>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</si>
  <si>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</si>
  <si>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得意先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</si>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</sst>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6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3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40"/>
  <sheetViews>
    <sheetView showGridLines="0" workbookViewId="0">
      <pane ySplit="1" topLeftCell="A2" activePane="bottomLeft" state="frozen"/>
      <selection pane="bottomLeft" activeCell="D12" sqref="D1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42</v>
      </c>
      <c r="F1" s="4" t="s">
        <v>2</v>
      </c>
      <c r="G1" s="5" t="s">
        <v>5</v>
      </c>
      <c r="H1" s="5" t="s">
        <v>54</v>
      </c>
    </row>
    <row r="2" spans="1:9" ht="18">
      <c r="A2" s="64" t="s">
        <v>28</v>
      </c>
      <c r="B2" s="64" t="s">
        <v>55</v>
      </c>
      <c r="C2" s="64" t="s">
        <v>56</v>
      </c>
      <c r="D2" s="64" t="s">
        <v>57</v>
      </c>
      <c r="E2" s="64" t="b">
        <v>0</v>
      </c>
      <c r="F2" s="64" t="s">
        <v>58</v>
      </c>
      <c r="G2" s="66">
        <v>0</v>
      </c>
      <c r="H2" s="64" t="s">
        <v>28</v>
      </c>
      <c r="I2"/>
    </row>
    <row r="3" spans="1:9" ht="18">
      <c r="A3" s="64" t="s">
        <v>4</v>
      </c>
      <c r="B3" s="64" t="s">
        <v>59</v>
      </c>
      <c r="C3" s="64" t="s">
        <v>60</v>
      </c>
      <c r="D3" s="64" t="s">
        <v>61</v>
      </c>
      <c r="E3" s="64" t="b">
        <v>0</v>
      </c>
      <c r="F3" s="64" t="s">
        <v>62</v>
      </c>
      <c r="G3" s="66">
        <v>0</v>
      </c>
      <c r="H3" s="64" t="s">
        <v>4</v>
      </c>
      <c r="I3"/>
    </row>
    <row r="4" spans="1:9" ht="18">
      <c r="A4" s="64" t="s">
        <v>63</v>
      </c>
      <c r="B4" s="64" t="s">
        <v>64</v>
      </c>
      <c r="C4" s="64" t="s">
        <v>65</v>
      </c>
      <c r="D4" s="64" t="s">
        <v>66</v>
      </c>
      <c r="E4" s="64" t="b">
        <v>0</v>
      </c>
      <c r="F4" s="64" t="s">
        <v>67</v>
      </c>
      <c r="G4" s="66">
        <v>0</v>
      </c>
      <c r="H4" s="64" t="s">
        <v>63</v>
      </c>
      <c r="I4"/>
    </row>
    <row r="5" spans="1:9" ht="18">
      <c r="A5" s="64" t="s">
        <v>21</v>
      </c>
      <c r="B5" s="64" t="s">
        <v>68</v>
      </c>
      <c r="C5" s="64" t="s">
        <v>69</v>
      </c>
      <c r="D5" s="64"/>
      <c r="E5" s="64" t="b">
        <v>0</v>
      </c>
      <c r="F5" s="64" t="s">
        <v>21</v>
      </c>
      <c r="G5" s="66">
        <v>0</v>
      </c>
      <c r="H5" s="64" t="s">
        <v>21</v>
      </c>
      <c r="I5"/>
    </row>
    <row r="6" spans="1:9" ht="18">
      <c r="A6" s="64" t="s">
        <v>70</v>
      </c>
      <c r="B6" s="64" t="s">
        <v>71</v>
      </c>
      <c r="C6" s="64" t="s">
        <v>71</v>
      </c>
      <c r="D6" s="64"/>
      <c r="E6" s="64" t="b">
        <v>1</v>
      </c>
      <c r="F6" s="64" t="s">
        <v>72</v>
      </c>
      <c r="G6" s="66">
        <v>0</v>
      </c>
      <c r="H6" s="64" t="s">
        <v>70</v>
      </c>
      <c r="I6"/>
    </row>
    <row r="7" spans="1:9" ht="18">
      <c r="A7" s="64" t="s">
        <v>22</v>
      </c>
      <c r="B7" s="64" t="s">
        <v>73</v>
      </c>
      <c r="C7" s="64" t="s">
        <v>74</v>
      </c>
      <c r="D7" s="64" t="s">
        <v>75</v>
      </c>
      <c r="E7" s="64" t="b">
        <v>0</v>
      </c>
      <c r="F7" s="64" t="s">
        <v>22</v>
      </c>
      <c r="G7" s="66">
        <v>0</v>
      </c>
      <c r="H7" s="64" t="s">
        <v>22</v>
      </c>
      <c r="I7"/>
    </row>
    <row r="8" spans="1:9" ht="18">
      <c r="A8" s="64" t="s">
        <v>76</v>
      </c>
      <c r="B8" s="64" t="s">
        <v>77</v>
      </c>
      <c r="C8" s="64" t="s">
        <v>78</v>
      </c>
      <c r="D8" s="64"/>
      <c r="E8" s="64" t="b">
        <v>1</v>
      </c>
      <c r="F8" s="64" t="s">
        <v>79</v>
      </c>
      <c r="G8" s="66">
        <v>0</v>
      </c>
      <c r="H8" s="64" t="s">
        <v>76</v>
      </c>
      <c r="I8"/>
    </row>
    <row r="9" spans="1:9" ht="18">
      <c r="A9" s="64" t="s">
        <v>80</v>
      </c>
      <c r="B9" s="64" t="s">
        <v>81</v>
      </c>
      <c r="C9" s="64" t="s">
        <v>81</v>
      </c>
      <c r="D9" s="64"/>
      <c r="E9" s="64" t="b">
        <v>1</v>
      </c>
      <c r="F9" s="64" t="s">
        <v>80</v>
      </c>
      <c r="G9" s="66">
        <v>0</v>
      </c>
      <c r="H9" s="64" t="s">
        <v>80</v>
      </c>
      <c r="I9"/>
    </row>
    <row r="10" spans="1:9" ht="18">
      <c r="A10" s="64" t="s">
        <v>29</v>
      </c>
      <c r="B10" s="64" t="s">
        <v>82</v>
      </c>
      <c r="C10" s="64" t="s">
        <v>69</v>
      </c>
      <c r="D10" s="64"/>
      <c r="E10" s="64" t="b">
        <v>0</v>
      </c>
      <c r="F10" s="64" t="s">
        <v>29</v>
      </c>
      <c r="G10" s="66">
        <v>0</v>
      </c>
      <c r="H10" s="64" t="s">
        <v>29</v>
      </c>
      <c r="I10"/>
    </row>
    <row r="11" spans="1:9" ht="18">
      <c r="A11" s="64" t="s">
        <v>30</v>
      </c>
      <c r="B11" s="64" t="s">
        <v>83</v>
      </c>
      <c r="C11" s="64" t="s">
        <v>60</v>
      </c>
      <c r="D11" s="64" t="s">
        <v>84</v>
      </c>
      <c r="E11" s="64" t="b">
        <v>0</v>
      </c>
      <c r="F11" s="64" t="s">
        <v>30</v>
      </c>
      <c r="G11" s="66">
        <v>0</v>
      </c>
      <c r="H11" s="64" t="s">
        <v>30</v>
      </c>
      <c r="I11"/>
    </row>
    <row r="12" spans="1:9" ht="18">
      <c r="A12" s="64" t="s">
        <v>31</v>
      </c>
      <c r="B12" s="64" t="s">
        <v>85</v>
      </c>
      <c r="C12" s="64" t="s">
        <v>56</v>
      </c>
      <c r="D12" s="64" t="s">
        <v>163</v>
      </c>
      <c r="E12" s="64" t="b">
        <v>0</v>
      </c>
      <c r="F12" s="64" t="s">
        <v>86</v>
      </c>
      <c r="G12" s="66">
        <v>0</v>
      </c>
      <c r="H12" s="64" t="s">
        <v>31</v>
      </c>
      <c r="I12"/>
    </row>
    <row r="13" spans="1:9" ht="18">
      <c r="A13" s="64" t="s">
        <v>87</v>
      </c>
      <c r="B13" s="64" t="s">
        <v>88</v>
      </c>
      <c r="C13" s="64" t="s">
        <v>89</v>
      </c>
      <c r="D13" s="64"/>
      <c r="E13" s="64" t="b">
        <v>0</v>
      </c>
      <c r="F13" s="64" t="s">
        <v>90</v>
      </c>
      <c r="G13" s="66">
        <v>0</v>
      </c>
      <c r="H13" s="64" t="s">
        <v>87</v>
      </c>
      <c r="I13"/>
    </row>
    <row r="14" spans="1:9" ht="18">
      <c r="A14" s="64" t="s">
        <v>32</v>
      </c>
      <c r="B14" s="64" t="s">
        <v>91</v>
      </c>
      <c r="C14" s="64" t="s">
        <v>92</v>
      </c>
      <c r="D14" s="64"/>
      <c r="E14" s="64" t="b">
        <v>0</v>
      </c>
      <c r="F14" s="64" t="s">
        <v>93</v>
      </c>
      <c r="G14" s="66">
        <v>0</v>
      </c>
      <c r="H14" s="64" t="s">
        <v>32</v>
      </c>
      <c r="I14"/>
    </row>
    <row r="15" spans="1:9" ht="18">
      <c r="A15" s="64" t="s">
        <v>94</v>
      </c>
      <c r="B15" s="64" t="s">
        <v>95</v>
      </c>
      <c r="C15" s="64" t="s">
        <v>96</v>
      </c>
      <c r="D15" s="64" t="s">
        <v>164</v>
      </c>
      <c r="E15" s="64" t="b">
        <v>0</v>
      </c>
      <c r="F15" s="64" t="s">
        <v>97</v>
      </c>
      <c r="G15" s="66">
        <v>0</v>
      </c>
      <c r="H15" s="64" t="s">
        <v>94</v>
      </c>
      <c r="I15"/>
    </row>
    <row r="16" spans="1:9" ht="18">
      <c r="A16" s="64" t="s">
        <v>98</v>
      </c>
      <c r="B16" s="64" t="s">
        <v>99</v>
      </c>
      <c r="C16" s="64" t="s">
        <v>100</v>
      </c>
      <c r="D16" s="64"/>
      <c r="E16" s="64" t="b">
        <v>0</v>
      </c>
      <c r="F16" s="64" t="s">
        <v>101</v>
      </c>
      <c r="G16" s="66">
        <v>0</v>
      </c>
      <c r="H16" s="64" t="s">
        <v>98</v>
      </c>
      <c r="I16"/>
    </row>
    <row r="17" spans="1:9" ht="18">
      <c r="A17" s="64" t="s">
        <v>33</v>
      </c>
      <c r="B17" s="64" t="s">
        <v>102</v>
      </c>
      <c r="C17" s="64" t="s">
        <v>103</v>
      </c>
      <c r="D17" s="64" t="s">
        <v>165</v>
      </c>
      <c r="E17" s="64" t="b">
        <v>0</v>
      </c>
      <c r="F17" s="64" t="s">
        <v>104</v>
      </c>
      <c r="G17" s="66">
        <v>0</v>
      </c>
      <c r="H17" s="64" t="s">
        <v>33</v>
      </c>
      <c r="I17"/>
    </row>
    <row r="18" spans="1:9" ht="18">
      <c r="A18" s="64" t="s">
        <v>48</v>
      </c>
      <c r="B18" s="64" t="s">
        <v>105</v>
      </c>
      <c r="C18" s="64" t="s">
        <v>100</v>
      </c>
      <c r="D18" s="64"/>
      <c r="E18" s="64" t="b">
        <v>0</v>
      </c>
      <c r="F18" s="64" t="s">
        <v>106</v>
      </c>
      <c r="G18" s="66">
        <v>0</v>
      </c>
      <c r="H18" s="64" t="s">
        <v>48</v>
      </c>
      <c r="I18"/>
    </row>
    <row r="19" spans="1:9" ht="18">
      <c r="A19" s="64" t="s">
        <v>107</v>
      </c>
      <c r="B19" s="64" t="s">
        <v>108</v>
      </c>
      <c r="C19" s="64" t="s">
        <v>78</v>
      </c>
      <c r="D19" s="64"/>
      <c r="E19" s="64" t="b">
        <v>1</v>
      </c>
      <c r="F19" s="64" t="s">
        <v>109</v>
      </c>
      <c r="G19" s="66">
        <v>0</v>
      </c>
      <c r="H19" s="64" t="s">
        <v>107</v>
      </c>
      <c r="I19"/>
    </row>
    <row r="20" spans="1:9" ht="18">
      <c r="A20" s="64" t="s">
        <v>110</v>
      </c>
      <c r="B20" s="64" t="s">
        <v>111</v>
      </c>
      <c r="C20" s="64" t="s">
        <v>65</v>
      </c>
      <c r="D20" s="64" t="s">
        <v>112</v>
      </c>
      <c r="E20" s="64" t="b">
        <v>0</v>
      </c>
      <c r="F20" s="64" t="s">
        <v>110</v>
      </c>
      <c r="G20" s="66">
        <v>0</v>
      </c>
      <c r="H20" s="64" t="s">
        <v>110</v>
      </c>
      <c r="I20"/>
    </row>
    <row r="21" spans="1:9" ht="18">
      <c r="A21" s="64" t="s">
        <v>113</v>
      </c>
      <c r="B21" s="64" t="s">
        <v>114</v>
      </c>
      <c r="C21" s="64" t="s">
        <v>78</v>
      </c>
      <c r="D21" s="64"/>
      <c r="E21" s="64" t="b">
        <v>1</v>
      </c>
      <c r="F21" s="64" t="s">
        <v>115</v>
      </c>
      <c r="G21" s="66">
        <v>0</v>
      </c>
      <c r="H21" s="64" t="s">
        <v>113</v>
      </c>
      <c r="I21"/>
    </row>
    <row r="22" spans="1:9" ht="18">
      <c r="A22" s="64" t="s">
        <v>116</v>
      </c>
      <c r="B22" s="64" t="s">
        <v>117</v>
      </c>
      <c r="C22" s="64" t="s">
        <v>118</v>
      </c>
      <c r="D22" s="64" t="s">
        <v>119</v>
      </c>
      <c r="E22" s="64" t="b">
        <v>0</v>
      </c>
      <c r="F22" s="64" t="s">
        <v>120</v>
      </c>
      <c r="G22" s="66">
        <v>0</v>
      </c>
      <c r="H22" s="64" t="s">
        <v>116</v>
      </c>
      <c r="I22"/>
    </row>
    <row r="23" spans="1:9" ht="18">
      <c r="A23" s="64" t="s">
        <v>121</v>
      </c>
      <c r="B23" s="64" t="s">
        <v>122</v>
      </c>
      <c r="C23" s="64" t="s">
        <v>78</v>
      </c>
      <c r="D23" s="64"/>
      <c r="E23" s="64" t="b">
        <v>1</v>
      </c>
      <c r="F23" s="64" t="s">
        <v>123</v>
      </c>
      <c r="G23" s="66">
        <v>0</v>
      </c>
      <c r="H23" s="64" t="s">
        <v>121</v>
      </c>
      <c r="I23"/>
    </row>
    <row r="24" spans="1:9" ht="18">
      <c r="A24" s="64" t="s">
        <v>53</v>
      </c>
      <c r="B24" s="64" t="s">
        <v>124</v>
      </c>
      <c r="C24" s="64" t="s">
        <v>124</v>
      </c>
      <c r="D24" s="64"/>
      <c r="E24" s="64" t="b">
        <v>1</v>
      </c>
      <c r="F24" s="64" t="s">
        <v>125</v>
      </c>
      <c r="G24" s="66">
        <v>0</v>
      </c>
      <c r="H24" s="64" t="s">
        <v>53</v>
      </c>
      <c r="I24"/>
    </row>
    <row r="25" spans="1:9" ht="18">
      <c r="A25" s="64" t="s">
        <v>126</v>
      </c>
      <c r="B25" s="64" t="s">
        <v>127</v>
      </c>
      <c r="C25" s="64" t="s">
        <v>128</v>
      </c>
      <c r="D25" s="64"/>
      <c r="E25" s="64" t="b">
        <v>0</v>
      </c>
      <c r="F25" s="64" t="s">
        <v>129</v>
      </c>
      <c r="G25" s="66">
        <v>0</v>
      </c>
      <c r="H25" s="64" t="s">
        <v>126</v>
      </c>
      <c r="I25"/>
    </row>
    <row r="26" spans="1:9" ht="18">
      <c r="A26" s="64" t="s">
        <v>130</v>
      </c>
      <c r="B26" s="64" t="s">
        <v>131</v>
      </c>
      <c r="C26" s="64" t="s">
        <v>96</v>
      </c>
      <c r="D26" s="64" t="s">
        <v>166</v>
      </c>
      <c r="E26" s="64" t="b">
        <v>0</v>
      </c>
      <c r="F26" s="64" t="s">
        <v>130</v>
      </c>
      <c r="G26" s="66">
        <v>0</v>
      </c>
      <c r="H26" s="64" t="s">
        <v>130</v>
      </c>
      <c r="I26"/>
    </row>
    <row r="27" spans="1:9" ht="18">
      <c r="A27" s="64" t="s">
        <v>132</v>
      </c>
      <c r="B27" s="64" t="s">
        <v>133</v>
      </c>
      <c r="C27" s="64" t="s">
        <v>134</v>
      </c>
      <c r="D27" s="64"/>
      <c r="E27" s="64" t="b">
        <v>0</v>
      </c>
      <c r="F27" s="64" t="s">
        <v>135</v>
      </c>
      <c r="G27" s="66">
        <v>0</v>
      </c>
      <c r="H27" s="64" t="s">
        <v>132</v>
      </c>
      <c r="I27"/>
    </row>
    <row r="28" spans="1:9" ht="18">
      <c r="A28" s="64" t="s">
        <v>136</v>
      </c>
      <c r="B28" s="64" t="s">
        <v>137</v>
      </c>
      <c r="C28" s="64" t="s">
        <v>60</v>
      </c>
      <c r="D28" s="64" t="s">
        <v>138</v>
      </c>
      <c r="E28" s="64" t="b">
        <v>0</v>
      </c>
      <c r="F28" s="64" t="s">
        <v>139</v>
      </c>
      <c r="G28" s="66">
        <v>1</v>
      </c>
      <c r="H28" s="64" t="s">
        <v>4</v>
      </c>
      <c r="I28"/>
    </row>
    <row r="29" spans="1:9" ht="18">
      <c r="A29" s="64" t="s">
        <v>140</v>
      </c>
      <c r="B29" s="64" t="s">
        <v>141</v>
      </c>
      <c r="C29" s="64" t="s">
        <v>96</v>
      </c>
      <c r="D29" s="64" t="s">
        <v>167</v>
      </c>
      <c r="E29" s="64" t="b">
        <v>0</v>
      </c>
      <c r="F29" s="64" t="s">
        <v>142</v>
      </c>
      <c r="G29" s="66">
        <v>1</v>
      </c>
      <c r="H29" s="64" t="s">
        <v>94</v>
      </c>
      <c r="I29"/>
    </row>
    <row r="30" spans="1:9" ht="18">
      <c r="A30" s="64" t="s">
        <v>143</v>
      </c>
      <c r="B30" s="64" t="s">
        <v>144</v>
      </c>
      <c r="C30" s="64" t="s">
        <v>96</v>
      </c>
      <c r="D30" s="64" t="s">
        <v>168</v>
      </c>
      <c r="E30" s="64" t="b">
        <v>0</v>
      </c>
      <c r="F30" s="64" t="s">
        <v>145</v>
      </c>
      <c r="G30" s="66">
        <v>1</v>
      </c>
      <c r="H30" s="64" t="s">
        <v>94</v>
      </c>
      <c r="I30"/>
    </row>
    <row r="31" spans="1:9" ht="18">
      <c r="A31" s="65" t="s">
        <v>146</v>
      </c>
      <c r="B31" s="65" t="s">
        <v>147</v>
      </c>
      <c r="C31" s="65" t="s">
        <v>81</v>
      </c>
      <c r="D31" s="65"/>
      <c r="E31" s="65" t="b">
        <v>1</v>
      </c>
      <c r="F31" s="65" t="s">
        <v>146</v>
      </c>
      <c r="G31" s="67">
        <v>1</v>
      </c>
      <c r="H31" s="65" t="s">
        <v>80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tabSelected="1" workbookViewId="0">
      <pane ySplit="1" topLeftCell="A2" activePane="bottomLeft" state="frozen"/>
      <selection pane="bottomLeft" activeCell="E12" sqref="E12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4">
        <f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/>
      <c r="D2" s="22"/>
      <c r="E2" s="22"/>
      <c r="F2" s="91"/>
      <c r="G2" s="54"/>
      <c r="H2" s="28" t="b">
        <f>NOT(C2="")</f>
        <v>0</v>
      </c>
      <c r="I2" s="28" t="b">
        <f>AND(D2&lt;&gt;"",E2&lt;&gt;"")</f>
        <v>0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/>
      <c r="D3" s="24"/>
      <c r="E3" s="24"/>
      <c r="F3" s="92"/>
      <c r="G3" s="54"/>
      <c r="H3" s="28" t="b">
        <f t="shared" ref="H3:H66" si="2">NOT(C3="")</f>
        <v>0</v>
      </c>
      <c r="I3" s="28" t="b">
        <f t="shared" ref="I3:I66" si="3">AND(D3&lt;&gt;"",E3&lt;&gt;"")</f>
        <v>0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/>
      <c r="D4" s="24"/>
      <c r="E4" s="24"/>
      <c r="F4" s="92"/>
      <c r="H4" s="28" t="b">
        <f t="shared" si="2"/>
        <v>0</v>
      </c>
      <c r="I4" s="28" t="b">
        <f t="shared" si="3"/>
        <v>0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2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2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2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2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2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2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2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2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2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2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2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2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2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2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2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2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2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2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2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2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2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2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2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2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2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2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2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2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2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2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2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2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2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2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2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2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2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2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2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2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2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2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2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2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2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2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2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2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2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2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2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2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2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2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2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2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2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2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2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2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2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2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2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2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2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2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2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2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2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2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2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2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2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2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2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2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2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2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2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2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2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2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2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2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2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2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2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2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2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2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2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2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2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2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2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2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3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2" priority="4" operator="equal">
      <formula>1</formula>
    </cfRule>
  </conditionalFormatting>
  <conditionalFormatting sqref="D2:E101">
    <cfRule type="expression" dxfId="11" priority="3">
      <formula>$J2</formula>
    </cfRule>
  </conditionalFormatting>
  <conditionalFormatting sqref="F2:F101">
    <cfRule type="cellIs" dxfId="10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5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5"/>
      <c r="E2" s="89" t="s">
        <v>161</v>
      </c>
      <c r="F2" s="90" t="s">
        <v>162</v>
      </c>
      <c r="G2" s="40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46</v>
      </c>
      <c r="K4" s="10" t="s">
        <v>47</v>
      </c>
      <c r="T4" s="69" t="s">
        <v>152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44</v>
      </c>
      <c r="H5" s="3" t="s">
        <v>43</v>
      </c>
      <c r="T5" s="7" t="s">
        <v>19</v>
      </c>
      <c r="U5" s="7" t="s">
        <v>23</v>
      </c>
      <c r="V5" s="7" t="s">
        <v>45</v>
      </c>
      <c r="AF5" s="7" t="s">
        <v>23</v>
      </c>
      <c r="AG5" s="7" t="b">
        <f>OR(U6:U105)</f>
        <v>0</v>
      </c>
      <c r="AI5" s="59">
        <f>COUNTA(AI6:AI105)</f>
        <v>1</v>
      </c>
      <c r="AJ5" s="70">
        <f>COUNTA(AJ6:AJ105)</f>
        <v>1</v>
      </c>
    </row>
    <row r="6" spans="1:41" ht="15" customHeight="1">
      <c r="A6" s="47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50"/>
      <c r="F6" s="44"/>
      <c r="G6" s="37" t="str">
        <f ca="1">IFERROR(VLOOKUP(B6,項目!DATA_AREA,4,FALSE),"")</f>
        <v/>
      </c>
      <c r="H6" s="11" t="str">
        <f ca="1">IFERROR(VLOOKUP(B6,項目!DATA_AREA,5,FALSE),"")</f>
        <v/>
      </c>
      <c r="K6" s="53" t="s">
        <v>49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69" t="s">
        <v>154</v>
      </c>
      <c r="AF6" s="7" t="s">
        <v>24</v>
      </c>
      <c r="AG6" s="7" t="b">
        <f ca="1">OR(V6:V105)</f>
        <v>0</v>
      </c>
      <c r="AI6" s="59" t="s">
        <v>34</v>
      </c>
      <c r="AJ6" s="70" t="s">
        <v>34</v>
      </c>
    </row>
    <row r="7" spans="1:41">
      <c r="A7" s="48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51"/>
      <c r="F7" s="45"/>
      <c r="G7" s="38" t="str">
        <f ca="1">IFERROR(VLOOKUP(B7,項目!DATA_AREA,4,FALSE),"")</f>
        <v/>
      </c>
      <c r="H7" s="12" t="str">
        <f ca="1">IFERROR(VLOOKUP(B7,項目!DATA_AREA,5,FALSE),"")</f>
        <v/>
      </c>
      <c r="K7" s="56" t="s">
        <v>12</v>
      </c>
      <c r="L7" s="57">
        <v>1</v>
      </c>
      <c r="M7" s="57">
        <v>2</v>
      </c>
      <c r="N7" s="57">
        <v>3</v>
      </c>
      <c r="O7" s="57">
        <v>4</v>
      </c>
      <c r="P7" s="58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59"/>
      <c r="AJ7" s="70"/>
    </row>
    <row r="8" spans="1:41">
      <c r="A8" s="48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51"/>
      <c r="F8" s="45"/>
      <c r="G8" s="38" t="str">
        <f ca="1">IFERROR(VLOOKUP(B8,項目!DATA_AREA,4,FALSE),"")</f>
        <v/>
      </c>
      <c r="H8" s="12" t="str">
        <f ca="1">IFERROR(VLOOKUP(B8,項目!DATA_AREA,5,FALSE),"")</f>
        <v/>
      </c>
      <c r="K8" s="71" t="s">
        <v>14</v>
      </c>
      <c r="L8" s="72"/>
      <c r="M8" s="73"/>
      <c r="N8" s="73"/>
      <c r="O8" s="73"/>
      <c r="P8" s="74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59"/>
      <c r="AJ8" s="70"/>
      <c r="AK8" s="59" t="e">
        <f ca="1">VLOOKUP(L8,FIELD_NAME__,2,FALSE)</f>
        <v>#N/A</v>
      </c>
      <c r="AL8" s="59" t="e">
        <f ca="1">VLOOKUP(M8,FIELD_NAME__,2,FALSE)</f>
        <v>#N/A</v>
      </c>
      <c r="AM8" s="59" t="e">
        <f ca="1">VLOOKUP(N8,FIELD_NAME__,2,FALSE)</f>
        <v>#N/A</v>
      </c>
      <c r="AN8" s="59" t="e">
        <f ca="1">VLOOKUP(O8,FIELD_NAME__,2,FALSE)</f>
        <v>#N/A</v>
      </c>
      <c r="AO8" s="59" t="e">
        <f ca="1">VLOOKUP(P8,FIELD_NAME__,2,FALSE)</f>
        <v>#N/A</v>
      </c>
    </row>
    <row r="9" spans="1:41">
      <c r="A9" s="48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51"/>
      <c r="F9" s="45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59"/>
      <c r="AJ9" s="70"/>
    </row>
    <row r="10" spans="1:41">
      <c r="A10" s="48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51"/>
      <c r="F10" s="45"/>
      <c r="G10" s="38" t="str">
        <f ca="1">IFERROR(VLOOKUP(B10,項目!DATA_AREA,4,FALSE),"")</f>
        <v/>
      </c>
      <c r="H10" s="12" t="str">
        <f ca="1">IFERROR(VLOOKUP(B10,項目!DATA_AREA,5,FALSE),"")</f>
        <v/>
      </c>
      <c r="R10" s="69" t="s">
        <v>153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51</v>
      </c>
      <c r="AF10" s="7" t="s">
        <v>157</v>
      </c>
      <c r="AG10" s="7" t="b">
        <f ca="1">OR($Y$13:$AC$22)</f>
        <v>0</v>
      </c>
      <c r="AI10" s="59"/>
      <c r="AJ10" s="70"/>
    </row>
    <row r="11" spans="1:41" ht="15" customHeight="1">
      <c r="A11" s="48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51"/>
      <c r="F11" s="45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3" t="s">
        <v>50</v>
      </c>
      <c r="L11" s="63" t="s">
        <v>52</v>
      </c>
      <c r="R11" s="59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156</v>
      </c>
      <c r="AG11" s="7" t="b">
        <f>OR($AD$13:$AD$22)</f>
        <v>0</v>
      </c>
      <c r="AI11" s="59"/>
      <c r="AJ11" s="70"/>
    </row>
    <row r="12" spans="1:41" ht="15" customHeight="1">
      <c r="A12" s="48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51"/>
      <c r="F12" s="45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60" t="s">
        <v>12</v>
      </c>
      <c r="L12" s="61">
        <v>1</v>
      </c>
      <c r="M12" s="61">
        <v>2</v>
      </c>
      <c r="N12" s="61">
        <v>3</v>
      </c>
      <c r="O12" s="61">
        <v>4</v>
      </c>
      <c r="P12" s="62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69" t="s">
        <v>155</v>
      </c>
      <c r="AD12" s="7" t="s">
        <v>156</v>
      </c>
      <c r="AI12" s="59"/>
      <c r="AJ12" s="70"/>
    </row>
    <row r="13" spans="1:41">
      <c r="A13" s="48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51"/>
      <c r="F13" s="45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5">
        <v>1</v>
      </c>
      <c r="L13" s="76"/>
      <c r="M13" s="77"/>
      <c r="N13" s="77"/>
      <c r="O13" s="77"/>
      <c r="P13" s="78"/>
      <c r="R13" s="87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158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59"/>
      <c r="AJ13" s="70"/>
      <c r="AK13" s="59" t="e">
        <f t="shared" ref="AK13:AK22" ca="1" si="9">VLOOKUP(L13,FIELD_NAME__,2,FALSE)</f>
        <v>#N/A</v>
      </c>
      <c r="AL13" s="59" t="e">
        <f t="shared" ref="AL13:AL22" ca="1" si="10">VLOOKUP(M13,FIELD_NAME__,2,FALSE)</f>
        <v>#N/A</v>
      </c>
      <c r="AM13" s="59" t="e">
        <f t="shared" ref="AM13:AM22" ca="1" si="11">VLOOKUP(N13,FIELD_NAME__,2,FALSE)</f>
        <v>#N/A</v>
      </c>
      <c r="AN13" s="59" t="e">
        <f t="shared" ref="AN13:AN22" ca="1" si="12">VLOOKUP(O13,FIELD_NAME__,2,FALSE)</f>
        <v>#N/A</v>
      </c>
      <c r="AO13" s="59" t="e">
        <f t="shared" ref="AO13:AO22" ca="1" si="13">VLOOKUP(P13,FIELD_NAME__,2,FALSE)</f>
        <v>#N/A</v>
      </c>
    </row>
    <row r="14" spans="1:41">
      <c r="A14" s="48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51"/>
      <c r="F14" s="45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9">
        <v>2</v>
      </c>
      <c r="L14" s="80"/>
      <c r="M14" s="81"/>
      <c r="N14" s="81"/>
      <c r="O14" s="81"/>
      <c r="P14" s="82"/>
      <c r="R14" s="87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159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59"/>
      <c r="AJ14" s="70"/>
      <c r="AK14" s="59" t="e">
        <f t="shared" ca="1" si="9"/>
        <v>#N/A</v>
      </c>
      <c r="AL14" s="59" t="e">
        <f t="shared" ca="1" si="10"/>
        <v>#N/A</v>
      </c>
      <c r="AM14" s="59" t="e">
        <f t="shared" ca="1" si="11"/>
        <v>#N/A</v>
      </c>
      <c r="AN14" s="59" t="e">
        <f t="shared" ca="1" si="12"/>
        <v>#N/A</v>
      </c>
      <c r="AO14" s="59" t="e">
        <f t="shared" ca="1" si="13"/>
        <v>#N/A</v>
      </c>
    </row>
    <row r="15" spans="1:41">
      <c r="A15" s="48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51"/>
      <c r="F15" s="45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9">
        <v>3</v>
      </c>
      <c r="L15" s="80"/>
      <c r="M15" s="81"/>
      <c r="N15" s="81"/>
      <c r="O15" s="81"/>
      <c r="P15" s="82"/>
      <c r="R15" s="87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59"/>
      <c r="AJ15" s="70"/>
      <c r="AK15" s="59" t="e">
        <f t="shared" ca="1" si="9"/>
        <v>#N/A</v>
      </c>
      <c r="AL15" s="59" t="e">
        <f t="shared" ca="1" si="10"/>
        <v>#N/A</v>
      </c>
      <c r="AM15" s="59" t="e">
        <f t="shared" ca="1" si="11"/>
        <v>#N/A</v>
      </c>
      <c r="AN15" s="59" t="e">
        <f t="shared" ca="1" si="12"/>
        <v>#N/A</v>
      </c>
      <c r="AO15" s="59" t="e">
        <f t="shared" ca="1" si="13"/>
        <v>#N/A</v>
      </c>
    </row>
    <row r="16" spans="1:41">
      <c r="A16" s="48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51"/>
      <c r="F16" s="45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9">
        <v>4</v>
      </c>
      <c r="L16" s="80"/>
      <c r="M16" s="81"/>
      <c r="N16" s="81"/>
      <c r="O16" s="81"/>
      <c r="P16" s="82"/>
      <c r="R16" s="87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59"/>
      <c r="AJ16" s="70"/>
      <c r="AK16" s="59" t="e">
        <f t="shared" ca="1" si="9"/>
        <v>#N/A</v>
      </c>
      <c r="AL16" s="59" t="e">
        <f t="shared" ca="1" si="10"/>
        <v>#N/A</v>
      </c>
      <c r="AM16" s="59" t="e">
        <f t="shared" ca="1" si="11"/>
        <v>#N/A</v>
      </c>
      <c r="AN16" s="59" t="e">
        <f t="shared" ca="1" si="12"/>
        <v>#N/A</v>
      </c>
      <c r="AO16" s="59" t="e">
        <f t="shared" ca="1" si="13"/>
        <v>#N/A</v>
      </c>
    </row>
    <row r="17" spans="1:41">
      <c r="A17" s="48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51"/>
      <c r="F17" s="45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9">
        <v>5</v>
      </c>
      <c r="L17" s="80"/>
      <c r="M17" s="81"/>
      <c r="N17" s="81"/>
      <c r="O17" s="81"/>
      <c r="P17" s="82"/>
      <c r="R17" s="87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59"/>
      <c r="AJ17" s="70"/>
      <c r="AK17" s="59" t="e">
        <f t="shared" ca="1" si="9"/>
        <v>#N/A</v>
      </c>
      <c r="AL17" s="59" t="e">
        <f t="shared" ca="1" si="10"/>
        <v>#N/A</v>
      </c>
      <c r="AM17" s="59" t="e">
        <f t="shared" ca="1" si="11"/>
        <v>#N/A</v>
      </c>
      <c r="AN17" s="59" t="e">
        <f t="shared" ca="1" si="12"/>
        <v>#N/A</v>
      </c>
      <c r="AO17" s="59" t="e">
        <f t="shared" ca="1" si="13"/>
        <v>#N/A</v>
      </c>
    </row>
    <row r="18" spans="1:41">
      <c r="A18" s="48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51"/>
      <c r="F18" s="45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9">
        <v>6</v>
      </c>
      <c r="L18" s="80"/>
      <c r="M18" s="81"/>
      <c r="N18" s="81"/>
      <c r="O18" s="81"/>
      <c r="P18" s="82"/>
      <c r="R18" s="87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59"/>
      <c r="AJ18" s="70"/>
      <c r="AK18" s="59" t="e">
        <f t="shared" ca="1" si="9"/>
        <v>#N/A</v>
      </c>
      <c r="AL18" s="59" t="e">
        <f t="shared" ca="1" si="10"/>
        <v>#N/A</v>
      </c>
      <c r="AM18" s="59" t="e">
        <f t="shared" ca="1" si="11"/>
        <v>#N/A</v>
      </c>
      <c r="AN18" s="59" t="e">
        <f t="shared" ca="1" si="12"/>
        <v>#N/A</v>
      </c>
      <c r="AO18" s="59" t="e">
        <f t="shared" ca="1" si="13"/>
        <v>#N/A</v>
      </c>
    </row>
    <row r="19" spans="1:41">
      <c r="A19" s="48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51"/>
      <c r="F19" s="45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9">
        <v>7</v>
      </c>
      <c r="L19" s="80"/>
      <c r="M19" s="81"/>
      <c r="N19" s="81"/>
      <c r="O19" s="81"/>
      <c r="P19" s="82"/>
      <c r="R19" s="87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59"/>
      <c r="AJ19" s="70"/>
      <c r="AK19" s="59" t="e">
        <f t="shared" ca="1" si="9"/>
        <v>#N/A</v>
      </c>
      <c r="AL19" s="59" t="e">
        <f t="shared" ca="1" si="10"/>
        <v>#N/A</v>
      </c>
      <c r="AM19" s="59" t="e">
        <f t="shared" ca="1" si="11"/>
        <v>#N/A</v>
      </c>
      <c r="AN19" s="59" t="e">
        <f t="shared" ca="1" si="12"/>
        <v>#N/A</v>
      </c>
      <c r="AO19" s="59" t="e">
        <f t="shared" ca="1" si="13"/>
        <v>#N/A</v>
      </c>
    </row>
    <row r="20" spans="1:41">
      <c r="A20" s="48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51"/>
      <c r="F20" s="45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9">
        <v>8</v>
      </c>
      <c r="L20" s="80"/>
      <c r="M20" s="81"/>
      <c r="N20" s="81"/>
      <c r="O20" s="81"/>
      <c r="P20" s="82"/>
      <c r="R20" s="87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59"/>
      <c r="AJ20" s="70"/>
      <c r="AK20" s="59" t="e">
        <f t="shared" ca="1" si="9"/>
        <v>#N/A</v>
      </c>
      <c r="AL20" s="59" t="e">
        <f t="shared" ca="1" si="10"/>
        <v>#N/A</v>
      </c>
      <c r="AM20" s="59" t="e">
        <f t="shared" ca="1" si="11"/>
        <v>#N/A</v>
      </c>
      <c r="AN20" s="59" t="e">
        <f t="shared" ca="1" si="12"/>
        <v>#N/A</v>
      </c>
      <c r="AO20" s="59" t="e">
        <f t="shared" ca="1" si="13"/>
        <v>#N/A</v>
      </c>
    </row>
    <row r="21" spans="1:41">
      <c r="A21" s="48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51"/>
      <c r="F21" s="45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9">
        <v>9</v>
      </c>
      <c r="L21" s="80"/>
      <c r="M21" s="81"/>
      <c r="N21" s="81"/>
      <c r="O21" s="81"/>
      <c r="P21" s="82"/>
      <c r="R21" s="87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59"/>
      <c r="AJ21" s="70"/>
      <c r="AK21" s="59" t="e">
        <f t="shared" ca="1" si="9"/>
        <v>#N/A</v>
      </c>
      <c r="AL21" s="59" t="e">
        <f t="shared" ca="1" si="10"/>
        <v>#N/A</v>
      </c>
      <c r="AM21" s="59" t="e">
        <f t="shared" ca="1" si="11"/>
        <v>#N/A</v>
      </c>
      <c r="AN21" s="59" t="e">
        <f t="shared" ca="1" si="12"/>
        <v>#N/A</v>
      </c>
      <c r="AO21" s="59" t="e">
        <f t="shared" ca="1" si="13"/>
        <v>#N/A</v>
      </c>
    </row>
    <row r="22" spans="1:41">
      <c r="A22" s="48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51"/>
      <c r="F22" s="45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83">
        <v>10</v>
      </c>
      <c r="L22" s="84"/>
      <c r="M22" s="85"/>
      <c r="N22" s="85"/>
      <c r="O22" s="85"/>
      <c r="P22" s="86"/>
      <c r="R22" s="87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59"/>
      <c r="AJ22" s="70"/>
      <c r="AK22" s="59" t="e">
        <f t="shared" ca="1" si="9"/>
        <v>#N/A</v>
      </c>
      <c r="AL22" s="59" t="e">
        <f t="shared" ca="1" si="10"/>
        <v>#N/A</v>
      </c>
      <c r="AM22" s="59" t="e">
        <f t="shared" ca="1" si="11"/>
        <v>#N/A</v>
      </c>
      <c r="AN22" s="59" t="e">
        <f t="shared" ca="1" si="12"/>
        <v>#N/A</v>
      </c>
      <c r="AO22" s="59" t="e">
        <f t="shared" ca="1" si="13"/>
        <v>#N/A</v>
      </c>
    </row>
    <row r="23" spans="1:41">
      <c r="A23" s="48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51"/>
      <c r="F23" s="45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59"/>
      <c r="AJ23" s="70"/>
    </row>
    <row r="24" spans="1:41" ht="15" customHeight="1">
      <c r="A24" s="48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51"/>
      <c r="F24" s="45"/>
      <c r="G24" s="38" t="str">
        <f ca="1">IFERROR(VLOOKUP(B24,項目!DATA_AREA,4,FALSE),"")</f>
        <v/>
      </c>
      <c r="H24" s="12" t="str">
        <f ca="1">IFERROR(VLOOKUP(B24,項目!DATA_AREA,5,FALSE),"")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59"/>
      <c r="AJ24" s="70"/>
    </row>
    <row r="25" spans="1:41">
      <c r="A25" s="48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51"/>
      <c r="F25" s="45"/>
      <c r="G25" s="38" t="str">
        <f ca="1">IFERROR(VLOOKUP(B25,項目!DATA_AREA,4,FALSE),"")</f>
        <v/>
      </c>
      <c r="H25" s="12" t="str">
        <f ca="1">IFERROR(VLOOKUP(B25,項目!DATA_AREA,5,FALSE),"")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59"/>
      <c r="AJ25" s="70"/>
    </row>
    <row r="26" spans="1:41">
      <c r="A26" s="48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51"/>
      <c r="F26" s="45"/>
      <c r="G26" s="38" t="str">
        <f ca="1">IFERROR(VLOOKUP(B26,項目!DATA_AREA,4,FALSE),"")</f>
        <v/>
      </c>
      <c r="H26" s="12" t="str">
        <f ca="1">IFERROR(VLOOKUP(B26,項目!DATA_AREA,5,FALSE),"")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59"/>
      <c r="AJ26" s="70"/>
    </row>
    <row r="27" spans="1:41">
      <c r="A27" s="48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51"/>
      <c r="F27" s="45"/>
      <c r="G27" s="38" t="str">
        <f ca="1">IFERROR(VLOOKUP(B27,項目!DATA_AREA,4,FALSE),"")</f>
        <v/>
      </c>
      <c r="H27" s="12" t="str">
        <f ca="1">IFERROR(VLOOKUP(B27,項目!DATA_AREA,5,FALSE),"")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59"/>
      <c r="AJ27" s="70"/>
    </row>
    <row r="28" spans="1:41">
      <c r="A28" s="48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51"/>
      <c r="F28" s="45"/>
      <c r="G28" s="38" t="str">
        <f ca="1">IFERROR(VLOOKUP(B28,項目!DATA_AREA,4,FALSE),"")</f>
        <v/>
      </c>
      <c r="H28" s="12" t="str">
        <f ca="1">IFERROR(VLOOKUP(B28,項目!DATA_AREA,5,FALSE),"")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59"/>
      <c r="AJ28" s="70"/>
    </row>
    <row r="29" spans="1:41">
      <c r="A29" s="48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51"/>
      <c r="F29" s="45"/>
      <c r="G29" s="38" t="str">
        <f ca="1">IFERROR(VLOOKUP(B29,項目!DATA_AREA,4,FALSE),"")</f>
        <v/>
      </c>
      <c r="H29" s="12" t="str">
        <f ca="1">IFERROR(VLOOKUP(B29,項目!DATA_AREA,5,FALSE),"")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59"/>
      <c r="AJ29" s="70"/>
    </row>
    <row r="30" spans="1:41">
      <c r="A30" s="48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51"/>
      <c r="F30" s="45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59"/>
      <c r="AJ30" s="70"/>
    </row>
    <row r="31" spans="1:41">
      <c r="A31" s="48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51"/>
      <c r="F31" s="45"/>
      <c r="G31" s="38" t="str">
        <f ca="1">IFERROR(VLOOKUP(B31,項目!DATA_AREA,4,FALSE),"")</f>
        <v/>
      </c>
      <c r="H31" s="12" t="str">
        <f ca="1">IFERROR(VLOOKUP(B31,項目!DATA_AREA,5,FALSE),"")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59"/>
      <c r="AJ31" s="70"/>
    </row>
    <row r="32" spans="1:41">
      <c r="A32" s="48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51"/>
      <c r="F32" s="45"/>
      <c r="G32" s="38" t="str">
        <f ca="1">IFERROR(VLOOKUP(B32,項目!DATA_AREA,4,FALSE),"")</f>
        <v/>
      </c>
      <c r="H32" s="12" t="str">
        <f ca="1">IFERROR(VLOOKUP(B32,項目!DATA_AREA,5,FALSE),"")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59"/>
      <c r="AJ32" s="70"/>
    </row>
    <row r="33" spans="1:36">
      <c r="A33" s="48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51"/>
      <c r="F33" s="45"/>
      <c r="G33" s="38" t="str">
        <f ca="1">IFERROR(VLOOKUP(B33,項目!DATA_AREA,4,FALSE),"")</f>
        <v/>
      </c>
      <c r="H33" s="12" t="str">
        <f ca="1">IFERROR(VLOOKUP(B33,項目!DATA_AREA,5,FALSE),"")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59"/>
      <c r="AJ33" s="70"/>
    </row>
    <row r="34" spans="1:36">
      <c r="A34" s="48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51"/>
      <c r="F34" s="45"/>
      <c r="G34" s="38" t="str">
        <f ca="1">IFERROR(VLOOKUP(B34,項目!DATA_AREA,4,FALSE),"")</f>
        <v/>
      </c>
      <c r="H34" s="12" t="str">
        <f ca="1">IFERROR(VLOOKUP(B34,項目!DATA_AREA,5,FALSE),"")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59"/>
      <c r="AJ34" s="70"/>
    </row>
    <row r="35" spans="1:36">
      <c r="A35" s="48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51"/>
      <c r="F35" s="45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59"/>
      <c r="AJ35" s="70"/>
    </row>
    <row r="36" spans="1:36">
      <c r="A36" s="48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51"/>
      <c r="F36" s="45"/>
      <c r="G36" s="38" t="str">
        <f ca="1">IFERROR(VLOOKUP(B36,項目!DATA_AREA,4,FALSE),"")</f>
        <v/>
      </c>
      <c r="H36" s="12" t="str">
        <f ca="1">IFERROR(VLOOKUP(B36,項目!DATA_AREA,5,FALSE),"")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59"/>
      <c r="AJ36" s="70"/>
    </row>
    <row r="37" spans="1:36">
      <c r="A37" s="48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51"/>
      <c r="F37" s="45"/>
      <c r="G37" s="38" t="str">
        <f ca="1">IFERROR(VLOOKUP(B37,項目!DATA_AREA,4,FALSE),"")</f>
        <v/>
      </c>
      <c r="H37" s="12" t="str">
        <f ca="1">IFERROR(VLOOKUP(B37,項目!DATA_AREA,5,FALSE),"")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59"/>
      <c r="AJ37" s="70"/>
    </row>
    <row r="38" spans="1:36">
      <c r="A38" s="48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51"/>
      <c r="F38" s="45"/>
      <c r="G38" s="38" t="str">
        <f ca="1">IFERROR(VLOOKUP(B38,項目!DATA_AREA,4,FALSE),"")</f>
        <v/>
      </c>
      <c r="H38" s="12" t="str">
        <f ca="1">IFERROR(VLOOKUP(B38,項目!DATA_AREA,5,FALSE),"")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59"/>
      <c r="AJ38" s="70"/>
    </row>
    <row r="39" spans="1:36">
      <c r="A39" s="48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51"/>
      <c r="F39" s="45"/>
      <c r="G39" s="38" t="str">
        <f ca="1">IFERROR(VLOOKUP(B39,項目!DATA_AREA,4,FALSE),"")</f>
        <v/>
      </c>
      <c r="H39" s="12" t="str">
        <f ca="1">IFERROR(VLOOKUP(B39,項目!DATA_AREA,5,FALSE),"")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59"/>
      <c r="AJ39" s="70"/>
    </row>
    <row r="40" spans="1:36">
      <c r="A40" s="48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51"/>
      <c r="F40" s="45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59"/>
      <c r="AJ40" s="70"/>
    </row>
    <row r="41" spans="1:36">
      <c r="A41" s="48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51"/>
      <c r="F41" s="45"/>
      <c r="G41" s="38" t="str">
        <f ca="1">IFERROR(VLOOKUP(B41,項目!DATA_AREA,4,FALSE),"")</f>
        <v/>
      </c>
      <c r="H41" s="12" t="str">
        <f ca="1">IFERROR(VLOOKUP(B41,項目!DATA_AREA,5,FALSE),"")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59"/>
      <c r="AJ41" s="70"/>
    </row>
    <row r="42" spans="1:36">
      <c r="A42" s="48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51"/>
      <c r="F42" s="45"/>
      <c r="G42" s="38" t="str">
        <f ca="1">IFERROR(VLOOKUP(B42,項目!DATA_AREA,4,FALSE),"")</f>
        <v/>
      </c>
      <c r="H42" s="12" t="str">
        <f ca="1">IFERROR(VLOOKUP(B42,項目!DATA_AREA,5,FALSE),"")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59"/>
      <c r="AJ42" s="70"/>
    </row>
    <row r="43" spans="1:36">
      <c r="A43" s="48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51"/>
      <c r="F43" s="45"/>
      <c r="G43" s="38" t="str">
        <f ca="1">IFERROR(VLOOKUP(B43,項目!DATA_AREA,4,FALSE),"")</f>
        <v/>
      </c>
      <c r="H43" s="12" t="str">
        <f ca="1">IFERROR(VLOOKUP(B43,項目!DATA_AREA,5,FALSE),"")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59"/>
      <c r="AJ43" s="70"/>
    </row>
    <row r="44" spans="1:36">
      <c r="A44" s="48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51"/>
      <c r="F44" s="45"/>
      <c r="G44" s="38" t="str">
        <f ca="1">IFERROR(VLOOKUP(B44,項目!DATA_AREA,4,FALSE),"")</f>
        <v/>
      </c>
      <c r="H44" s="12" t="str">
        <f ca="1">IFERROR(VLOOKUP(B44,項目!DATA_AREA,5,FALSE),"")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59"/>
      <c r="AJ44" s="70"/>
    </row>
    <row r="45" spans="1:36">
      <c r="A45" s="48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51"/>
      <c r="F45" s="45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59"/>
      <c r="AJ45" s="70"/>
    </row>
    <row r="46" spans="1:36">
      <c r="A46" s="48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51"/>
      <c r="F46" s="45"/>
      <c r="G46" s="38" t="str">
        <f ca="1">IFERROR(VLOOKUP(B46,項目!DATA_AREA,4,FALSE),"")</f>
        <v/>
      </c>
      <c r="H46" s="12" t="str">
        <f ca="1">IFERROR(VLOOKUP(B46,項目!DATA_AREA,5,FALSE),"")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59"/>
      <c r="AJ46" s="70"/>
    </row>
    <row r="47" spans="1:36">
      <c r="A47" s="48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51"/>
      <c r="F47" s="45"/>
      <c r="G47" s="38" t="str">
        <f ca="1">IFERROR(VLOOKUP(B47,項目!DATA_AREA,4,FALSE),"")</f>
        <v/>
      </c>
      <c r="H47" s="12" t="str">
        <f ca="1">IFERROR(VLOOKUP(B47,項目!DATA_AREA,5,FALSE),"")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59"/>
      <c r="AJ47" s="70"/>
    </row>
    <row r="48" spans="1:36">
      <c r="A48" s="48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51"/>
      <c r="F48" s="45"/>
      <c r="G48" s="38" t="str">
        <f ca="1">IFERROR(VLOOKUP(B48,項目!DATA_AREA,4,FALSE),"")</f>
        <v/>
      </c>
      <c r="H48" s="12" t="str">
        <f ca="1">IFERROR(VLOOKUP(B48,項目!DATA_AREA,5,FALSE),"")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59"/>
      <c r="AJ48" s="70"/>
    </row>
    <row r="49" spans="1:36">
      <c r="A49" s="48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51"/>
      <c r="F49" s="45"/>
      <c r="G49" s="38" t="str">
        <f ca="1">IFERROR(VLOOKUP(B49,項目!DATA_AREA,4,FALSE),"")</f>
        <v/>
      </c>
      <c r="H49" s="12" t="str">
        <f ca="1">IFERROR(VLOOKUP(B49,項目!DATA_AREA,5,FALSE),"")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59"/>
      <c r="AJ49" s="70"/>
    </row>
    <row r="50" spans="1:36">
      <c r="A50" s="48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51"/>
      <c r="F50" s="45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59"/>
      <c r="AJ50" s="70"/>
    </row>
    <row r="51" spans="1:36">
      <c r="A51" s="48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51"/>
      <c r="F51" s="45"/>
      <c r="G51" s="38" t="str">
        <f ca="1">IFERROR(VLOOKUP(B51,項目!DATA_AREA,4,FALSE),"")</f>
        <v/>
      </c>
      <c r="H51" s="12" t="str">
        <f ca="1">IFERROR(VLOOKUP(B51,項目!DATA_AREA,5,FALSE),"")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59"/>
      <c r="AJ51" s="70"/>
    </row>
    <row r="52" spans="1:36">
      <c r="A52" s="48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51"/>
      <c r="F52" s="45"/>
      <c r="G52" s="38" t="str">
        <f ca="1">IFERROR(VLOOKUP(B52,項目!DATA_AREA,4,FALSE),"")</f>
        <v/>
      </c>
      <c r="H52" s="12" t="str">
        <f ca="1">IFERROR(VLOOKUP(B52,項目!DATA_AREA,5,FALSE),"")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59"/>
      <c r="AJ52" s="70"/>
    </row>
    <row r="53" spans="1:36">
      <c r="A53" s="48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51"/>
      <c r="F53" s="45"/>
      <c r="G53" s="38" t="str">
        <f ca="1">IFERROR(VLOOKUP(B53,項目!DATA_AREA,4,FALSE),"")</f>
        <v/>
      </c>
      <c r="H53" s="12" t="str">
        <f ca="1">IFERROR(VLOOKUP(B53,項目!DATA_AREA,5,FALSE),"")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59"/>
      <c r="AJ53" s="70"/>
    </row>
    <row r="54" spans="1:36">
      <c r="A54" s="48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51"/>
      <c r="F54" s="45"/>
      <c r="G54" s="38" t="str">
        <f ca="1">IFERROR(VLOOKUP(B54,項目!DATA_AREA,4,FALSE),"")</f>
        <v/>
      </c>
      <c r="H54" s="12" t="str">
        <f ca="1">IFERROR(VLOOKUP(B54,項目!DATA_AREA,5,FALSE),"")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59"/>
      <c r="AJ54" s="70"/>
    </row>
    <row r="55" spans="1:36">
      <c r="A55" s="48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51"/>
      <c r="F55" s="45"/>
      <c r="G55" s="38" t="str">
        <f ca="1">IFERROR(VLOOKUP(B55,項目!DATA_AREA,4,FALSE),"")</f>
        <v/>
      </c>
      <c r="H55" s="12" t="str">
        <f ca="1">IFERROR(VLOOKUP(B55,項目!DATA_AREA,5,FALSE),"")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59"/>
      <c r="AJ55" s="70"/>
    </row>
    <row r="56" spans="1:36">
      <c r="A56" s="48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51"/>
      <c r="F56" s="45"/>
      <c r="G56" s="38" t="str">
        <f ca="1">IFERROR(VLOOKUP(B56,項目!DATA_AREA,4,FALSE),"")</f>
        <v/>
      </c>
      <c r="H56" s="12" t="str">
        <f ca="1">IFERROR(VLOOKUP(B56,項目!DATA_AREA,5,FALSE),"")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59"/>
      <c r="AJ56" s="70"/>
    </row>
    <row r="57" spans="1:36">
      <c r="A57" s="48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51"/>
      <c r="F57" s="45"/>
      <c r="G57" s="38" t="str">
        <f ca="1">IFERROR(VLOOKUP(B57,項目!DATA_AREA,4,FALSE),"")</f>
        <v/>
      </c>
      <c r="H57" s="12" t="str">
        <f ca="1">IFERROR(VLOOKUP(B57,項目!DATA_AREA,5,FALSE),"")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59"/>
      <c r="AJ57" s="70"/>
    </row>
    <row r="58" spans="1:36">
      <c r="A58" s="48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51"/>
      <c r="F58" s="45"/>
      <c r="G58" s="38" t="str">
        <f ca="1">IFERROR(VLOOKUP(B58,項目!DATA_AREA,4,FALSE),"")</f>
        <v/>
      </c>
      <c r="H58" s="12" t="str">
        <f ca="1">IFERROR(VLOOKUP(B58,項目!DATA_AREA,5,FALSE),"")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59"/>
      <c r="AJ58" s="70"/>
    </row>
    <row r="59" spans="1:36">
      <c r="A59" s="48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51"/>
      <c r="F59" s="45"/>
      <c r="G59" s="38" t="str">
        <f ca="1">IFERROR(VLOOKUP(B59,項目!DATA_AREA,4,FALSE),"")</f>
        <v/>
      </c>
      <c r="H59" s="12" t="str">
        <f ca="1">IFERROR(VLOOKUP(B59,項目!DATA_AREA,5,FALSE),"")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59"/>
      <c r="AJ59" s="70"/>
    </row>
    <row r="60" spans="1:36">
      <c r="A60" s="48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51"/>
      <c r="F60" s="45"/>
      <c r="G60" s="38" t="str">
        <f ca="1">IFERROR(VLOOKUP(B60,項目!DATA_AREA,4,FALSE),"")</f>
        <v/>
      </c>
      <c r="H60" s="12" t="str">
        <f ca="1">IFERROR(VLOOKUP(B60,項目!DATA_AREA,5,FALSE),"")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59"/>
      <c r="AJ60" s="70"/>
    </row>
    <row r="61" spans="1:36">
      <c r="A61" s="48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51"/>
      <c r="F61" s="45"/>
      <c r="G61" s="38" t="str">
        <f ca="1">IFERROR(VLOOKUP(B61,項目!DATA_AREA,4,FALSE),"")</f>
        <v/>
      </c>
      <c r="H61" s="12" t="str">
        <f ca="1">IFERROR(VLOOKUP(B61,項目!DATA_AREA,5,FALSE),"")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59"/>
      <c r="AJ61" s="70"/>
    </row>
    <row r="62" spans="1:36">
      <c r="A62" s="48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51"/>
      <c r="F62" s="45"/>
      <c r="G62" s="38" t="str">
        <f ca="1">IFERROR(VLOOKUP(B62,項目!DATA_AREA,4,FALSE),"")</f>
        <v/>
      </c>
      <c r="H62" s="12" t="str">
        <f ca="1">IFERROR(VLOOKUP(B62,項目!DATA_AREA,5,FALSE),"")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59"/>
      <c r="AJ62" s="70"/>
    </row>
    <row r="63" spans="1:36">
      <c r="A63" s="48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51"/>
      <c r="F63" s="45"/>
      <c r="G63" s="38" t="str">
        <f ca="1">IFERROR(VLOOKUP(B63,項目!DATA_AREA,4,FALSE),"")</f>
        <v/>
      </c>
      <c r="H63" s="12" t="str">
        <f ca="1">IFERROR(VLOOKUP(B63,項目!DATA_AREA,5,FALSE),"")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59"/>
      <c r="AJ63" s="70"/>
    </row>
    <row r="64" spans="1:36">
      <c r="A64" s="48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51"/>
      <c r="F64" s="45"/>
      <c r="G64" s="38" t="str">
        <f ca="1">IFERROR(VLOOKUP(B64,項目!DATA_AREA,4,FALSE),"")</f>
        <v/>
      </c>
      <c r="H64" s="12" t="str">
        <f ca="1">IFERROR(VLOOKUP(B64,項目!DATA_AREA,5,FALSE),"")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59"/>
      <c r="AJ64" s="70"/>
    </row>
    <row r="65" spans="1:36">
      <c r="A65" s="48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51"/>
      <c r="F65" s="45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59"/>
      <c r="AJ65" s="70"/>
    </row>
    <row r="66" spans="1:36">
      <c r="A66" s="48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51"/>
      <c r="F66" s="45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59"/>
      <c r="AJ66" s="70"/>
    </row>
    <row r="67" spans="1:36">
      <c r="A67" s="48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51"/>
      <c r="F67" s="45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59"/>
      <c r="AJ67" s="70"/>
    </row>
    <row r="68" spans="1:36">
      <c r="A68" s="48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51"/>
      <c r="F68" s="45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59"/>
      <c r="AJ68" s="70"/>
    </row>
    <row r="69" spans="1:36">
      <c r="A69" s="48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51"/>
      <c r="F69" s="45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59"/>
      <c r="AJ69" s="70"/>
    </row>
    <row r="70" spans="1:36">
      <c r="A70" s="48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51"/>
      <c r="F70" s="45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59"/>
      <c r="AJ70" s="70"/>
    </row>
    <row r="71" spans="1:36">
      <c r="A71" s="48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51"/>
      <c r="F71" s="45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59"/>
      <c r="AJ71" s="70"/>
    </row>
    <row r="72" spans="1:36">
      <c r="A72" s="48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51"/>
      <c r="F72" s="45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59"/>
      <c r="AJ72" s="70"/>
    </row>
    <row r="73" spans="1:36">
      <c r="A73" s="48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51"/>
      <c r="F73" s="45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59"/>
      <c r="AJ73" s="70"/>
    </row>
    <row r="74" spans="1:36">
      <c r="A74" s="48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51"/>
      <c r="F74" s="45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59"/>
      <c r="AJ74" s="70"/>
    </row>
    <row r="75" spans="1:36">
      <c r="A75" s="48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51"/>
      <c r="F75" s="45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59"/>
      <c r="AJ75" s="70"/>
    </row>
    <row r="76" spans="1:36">
      <c r="A76" s="48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51"/>
      <c r="F76" s="45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59"/>
      <c r="AJ76" s="70"/>
    </row>
    <row r="77" spans="1:36">
      <c r="A77" s="48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51"/>
      <c r="F77" s="45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59"/>
      <c r="AJ77" s="70"/>
    </row>
    <row r="78" spans="1:36">
      <c r="A78" s="48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51"/>
      <c r="F78" s="45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59"/>
      <c r="AJ78" s="70"/>
    </row>
    <row r="79" spans="1:36">
      <c r="A79" s="48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51"/>
      <c r="F79" s="45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59"/>
      <c r="AJ79" s="70"/>
    </row>
    <row r="80" spans="1:36">
      <c r="A80" s="48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51"/>
      <c r="F80" s="45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59"/>
      <c r="AJ80" s="70"/>
    </row>
    <row r="81" spans="1:36">
      <c r="A81" s="48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51"/>
      <c r="F81" s="45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59"/>
      <c r="AJ81" s="70"/>
    </row>
    <row r="82" spans="1:36">
      <c r="A82" s="48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51"/>
      <c r="F82" s="45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59"/>
      <c r="AJ82" s="70"/>
    </row>
    <row r="83" spans="1:36">
      <c r="A83" s="48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51"/>
      <c r="F83" s="45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59"/>
      <c r="AJ83" s="70"/>
    </row>
    <row r="84" spans="1:36">
      <c r="A84" s="48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51"/>
      <c r="F84" s="45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59"/>
      <c r="AJ84" s="70"/>
    </row>
    <row r="85" spans="1:36">
      <c r="A85" s="48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51"/>
      <c r="F85" s="45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59"/>
      <c r="AJ85" s="70"/>
    </row>
    <row r="86" spans="1:36">
      <c r="A86" s="48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51"/>
      <c r="F86" s="45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59"/>
      <c r="AJ86" s="70"/>
    </row>
    <row r="87" spans="1:36">
      <c r="A87" s="48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51"/>
      <c r="F87" s="45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59"/>
      <c r="AJ87" s="70"/>
    </row>
    <row r="88" spans="1:36">
      <c r="A88" s="48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51"/>
      <c r="F88" s="45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59"/>
      <c r="AJ88" s="70"/>
    </row>
    <row r="89" spans="1:36">
      <c r="A89" s="48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51"/>
      <c r="F89" s="45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59"/>
      <c r="AJ89" s="70"/>
    </row>
    <row r="90" spans="1:36">
      <c r="A90" s="48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51"/>
      <c r="F90" s="45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59"/>
      <c r="AJ90" s="70"/>
    </row>
    <row r="91" spans="1:36">
      <c r="A91" s="48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51"/>
      <c r="F91" s="45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59"/>
      <c r="AJ91" s="70"/>
    </row>
    <row r="92" spans="1:36">
      <c r="A92" s="48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51"/>
      <c r="F92" s="45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59"/>
      <c r="AJ92" s="70"/>
    </row>
    <row r="93" spans="1:36">
      <c r="A93" s="48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51"/>
      <c r="F93" s="45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59"/>
      <c r="AJ93" s="70"/>
    </row>
    <row r="94" spans="1:36">
      <c r="A94" s="48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51"/>
      <c r="F94" s="45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59"/>
      <c r="AJ94" s="70"/>
    </row>
    <row r="95" spans="1:36">
      <c r="A95" s="48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51"/>
      <c r="F95" s="45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59"/>
      <c r="AJ95" s="70"/>
    </row>
    <row r="96" spans="1:36">
      <c r="A96" s="48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51"/>
      <c r="F96" s="45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59"/>
      <c r="AJ96" s="70"/>
    </row>
    <row r="97" spans="1:36">
      <c r="A97" s="48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51"/>
      <c r="F97" s="45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59"/>
      <c r="AJ97" s="70"/>
    </row>
    <row r="98" spans="1:36">
      <c r="A98" s="48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51"/>
      <c r="F98" s="45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59"/>
      <c r="AJ98" s="70"/>
    </row>
    <row r="99" spans="1:36">
      <c r="A99" s="48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51"/>
      <c r="F99" s="45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59"/>
      <c r="AJ99" s="70"/>
    </row>
    <row r="100" spans="1:36">
      <c r="A100" s="48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51"/>
      <c r="F100" s="45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59"/>
      <c r="AJ100" s="70"/>
    </row>
    <row r="101" spans="1:36">
      <c r="A101" s="48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51"/>
      <c r="F101" s="45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59"/>
      <c r="AJ101" s="70"/>
    </row>
    <row r="102" spans="1:36">
      <c r="A102" s="48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51"/>
      <c r="F102" s="45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59"/>
      <c r="AJ102" s="70"/>
    </row>
    <row r="103" spans="1:36">
      <c r="A103" s="48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51"/>
      <c r="F103" s="45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59"/>
      <c r="AJ103" s="70"/>
    </row>
    <row r="104" spans="1:36">
      <c r="A104" s="48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51"/>
      <c r="F104" s="45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59"/>
      <c r="AJ104" s="70"/>
    </row>
    <row r="105" spans="1:36">
      <c r="A105" s="49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52"/>
      <c r="F105" s="46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59"/>
      <c r="AJ105" s="70"/>
    </row>
  </sheetData>
  <phoneticPr fontId="2"/>
  <conditionalFormatting sqref="B2:C2">
    <cfRule type="expression" dxfId="9" priority="58">
      <formula>ISERROR(B2)</formula>
    </cfRule>
  </conditionalFormatting>
  <conditionalFormatting sqref="B6:B105">
    <cfRule type="expression" dxfId="8" priority="55">
      <formula>COUNTIF(FIELD_NAME,B6)&gt;1</formula>
    </cfRule>
    <cfRule type="expression" dxfId="7" priority="56">
      <formula>AND($B6&lt;&gt;"",ISNA(MATCH($B6,項目リスト,0)))</formula>
    </cfRule>
  </conditionalFormatting>
  <conditionalFormatting sqref="B6">
    <cfRule type="expression" dxfId="6" priority="50">
      <formula>$AI$6="N/A"</formula>
    </cfRule>
  </conditionalFormatting>
  <conditionalFormatting sqref="D1">
    <cfRule type="cellIs" dxfId="5" priority="39" operator="greaterThan">
      <formula>0</formula>
    </cfRule>
  </conditionalFormatting>
  <conditionalFormatting sqref="L8:P8">
    <cfRule type="expression" dxfId="4" priority="70">
      <formula>Y8</formula>
    </cfRule>
    <cfRule type="expression" dxfId="3" priority="71">
      <formula>Y7</formula>
    </cfRule>
  </conditionalFormatting>
  <conditionalFormatting sqref="L13:P22">
    <cfRule type="expression" dxfId="2" priority="2">
      <formula>Y13</formula>
    </cfRule>
    <cfRule type="expression" dxfId="1" priority="3">
      <formula>$AD13</formula>
    </cfRule>
  </conditionalFormatting>
  <conditionalFormatting sqref="L8">
    <cfRule type="expression" dxfId="0" priority="69">
      <formula>$AG$7</formula>
    </cfRule>
  </conditionalFormatting>
  <dataValidations count="7">
    <dataValidation imeMode="on" allowBlank="1" showInputMessage="1" showErrorMessage="1" sqref="K12 A5 A1:A2 E2 K7 F6:H105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150</v>
      </c>
      <c r="C5" t="s">
        <v>160</v>
      </c>
    </row>
    <row r="6" spans="1:8">
      <c r="A6" s="68" t="s">
        <v>148</v>
      </c>
      <c r="C6" s="88"/>
    </row>
    <row r="8" spans="1:8">
      <c r="A8" t="s">
        <v>151</v>
      </c>
    </row>
    <row r="9" spans="1:8">
      <c r="A9" s="68" t="s">
        <v>149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20</vt:i4>
      </vt:variant>
    </vt:vector>
  </HeadingPairs>
  <TitlesOfParts>
    <vt:vector size="24" baseType="lpstr">
      <vt:lpstr>項目</vt:lpstr>
      <vt:lpstr>一覧</vt:lpstr>
      <vt:lpstr>テンプレート</vt:lpstr>
      <vt:lpstr>WORK</vt:lpstr>
      <vt:lpstr>一覧!DATA_AREA</vt:lpstr>
      <vt:lpstr>一覧!DATA_AREA_JP</vt:lpstr>
      <vt:lpstr>テンプレート!ERRORS</vt:lpstr>
      <vt:lpstr>一覧!ERRORS</vt:lpstr>
      <vt:lpstr>テンプレート!FIELD_AREA</vt:lpstr>
      <vt:lpstr>テンプレート!FIELD_COUNT</vt:lpstr>
      <vt:lpstr>テンプレート!FIELD_COUNT_NN</vt:lpstr>
      <vt:lpstr>テンプレート!FIELD_NAME</vt:lpstr>
      <vt:lpstr>テンプレート!FIELD_NN</vt:lpstr>
      <vt:lpstr>テンプレート!IS_MASTER</vt:lpstr>
      <vt:lpstr>テンプレート!PK_AREA</vt:lpstr>
      <vt:lpstr>SCHEMA_EN</vt:lpstr>
      <vt:lpstr>SCHEMA_JP</vt:lpstr>
      <vt:lpstr>テンプレート!TABLE_EN</vt:lpstr>
      <vt:lpstr>テンプレート!TABLE_JP</vt:lpstr>
      <vt:lpstr>テンプレート!TABLE_NO</vt:lpstr>
      <vt:lpstr>テンプレート!UNIQUE_AREA</vt:lpstr>
      <vt:lpstr>テンプレート!UNIQUE_EXIST</vt:lpstr>
      <vt:lpstr>テンプレート!UNIQUE_LIST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2024-02-19T22:26:42Z</dcterms:modified>
</cp:coreProperties>
</file>