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3DBE058F-4A1E-46ED-8FCA-471BACDFC8D3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488" r:id="rId4"/>
    <sheet name="受注" sheetId="489" r:id="rId5"/>
    <sheet name="受注明細" sheetId="490" r:id="rId6"/>
    <sheet name="WORK" sheetId="5" state="hidden" r:id="rId7"/>
  </sheets>
  <functionGroups builtInGroupCount="19"/>
  <definedNames>
    <definedName name="CURRENT_DATETIME">45334.9428240741</definedName>
    <definedName name="DATA_AREA" localSheetId="1">一覧!$C$2:$F$101</definedName>
    <definedName name="DATA_AREA" localSheetId="0">OFFSET(項目!DATA_AREA_A,,,,9)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H" localSheetId="0">OFFSET(項目!DATA_AREA_A,,7,,)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45334.9428240741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490" l="1"/>
  <c r="T105" i="490"/>
  <c r="I105" i="490"/>
  <c r="H105" i="490"/>
  <c r="V105" i="490" s="1"/>
  <c r="G105" i="490"/>
  <c r="D105" i="490"/>
  <c r="C105" i="490"/>
  <c r="U104" i="490"/>
  <c r="T104" i="490"/>
  <c r="I104" i="490"/>
  <c r="H104" i="490"/>
  <c r="V104" i="490" s="1"/>
  <c r="G104" i="490"/>
  <c r="D104" i="490"/>
  <c r="C104" i="490"/>
  <c r="U103" i="490"/>
  <c r="T103" i="490"/>
  <c r="I103" i="490"/>
  <c r="H103" i="490"/>
  <c r="V103" i="490" s="1"/>
  <c r="G103" i="490"/>
  <c r="D103" i="490"/>
  <c r="C103" i="490"/>
  <c r="U102" i="490"/>
  <c r="T102" i="490"/>
  <c r="I102" i="490"/>
  <c r="H102" i="490"/>
  <c r="V102" i="490" s="1"/>
  <c r="G102" i="490"/>
  <c r="D102" i="490"/>
  <c r="C102" i="490"/>
  <c r="U101" i="490"/>
  <c r="T101" i="490"/>
  <c r="I101" i="490"/>
  <c r="H101" i="490"/>
  <c r="V101" i="490" s="1"/>
  <c r="G101" i="490"/>
  <c r="D101" i="490"/>
  <c r="C101" i="490"/>
  <c r="U100" i="490"/>
  <c r="T100" i="490"/>
  <c r="I100" i="490"/>
  <c r="H100" i="490"/>
  <c r="V100" i="490" s="1"/>
  <c r="G100" i="490"/>
  <c r="D100" i="490"/>
  <c r="C100" i="490"/>
  <c r="U99" i="490"/>
  <c r="T99" i="490"/>
  <c r="I99" i="490"/>
  <c r="H99" i="490"/>
  <c r="V99" i="490" s="1"/>
  <c r="G99" i="490"/>
  <c r="D99" i="490"/>
  <c r="C99" i="490"/>
  <c r="U98" i="490"/>
  <c r="T98" i="490"/>
  <c r="I98" i="490"/>
  <c r="H98" i="490"/>
  <c r="V98" i="490" s="1"/>
  <c r="G98" i="490"/>
  <c r="D98" i="490"/>
  <c r="C98" i="490"/>
  <c r="U97" i="490"/>
  <c r="T97" i="490"/>
  <c r="I97" i="490"/>
  <c r="H97" i="490"/>
  <c r="V97" i="490" s="1"/>
  <c r="G97" i="490"/>
  <c r="D97" i="490"/>
  <c r="C97" i="490"/>
  <c r="U96" i="490"/>
  <c r="T96" i="490"/>
  <c r="I96" i="490"/>
  <c r="H96" i="490"/>
  <c r="V96" i="490" s="1"/>
  <c r="G96" i="490"/>
  <c r="D96" i="490"/>
  <c r="C96" i="490"/>
  <c r="U95" i="490"/>
  <c r="T95" i="490"/>
  <c r="I95" i="490"/>
  <c r="H95" i="490"/>
  <c r="V95" i="490" s="1"/>
  <c r="G95" i="490"/>
  <c r="D95" i="490"/>
  <c r="C95" i="490"/>
  <c r="U94" i="490"/>
  <c r="T94" i="490"/>
  <c r="I94" i="490"/>
  <c r="H94" i="490"/>
  <c r="V94" i="490" s="1"/>
  <c r="G94" i="490"/>
  <c r="D94" i="490"/>
  <c r="C94" i="490"/>
  <c r="U93" i="490"/>
  <c r="T93" i="490"/>
  <c r="I93" i="490"/>
  <c r="H93" i="490"/>
  <c r="V93" i="490" s="1"/>
  <c r="G93" i="490"/>
  <c r="D93" i="490"/>
  <c r="C93" i="490"/>
  <c r="U92" i="490"/>
  <c r="T92" i="490"/>
  <c r="I92" i="490"/>
  <c r="H92" i="490"/>
  <c r="V92" i="490" s="1"/>
  <c r="G92" i="490"/>
  <c r="D92" i="490"/>
  <c r="C92" i="490"/>
  <c r="U91" i="490"/>
  <c r="T91" i="490"/>
  <c r="I91" i="490"/>
  <c r="H91" i="490"/>
  <c r="V91" i="490" s="1"/>
  <c r="G91" i="490"/>
  <c r="D91" i="490"/>
  <c r="C91" i="490"/>
  <c r="U90" i="490"/>
  <c r="T90" i="490"/>
  <c r="I90" i="490"/>
  <c r="H90" i="490"/>
  <c r="V90" i="490" s="1"/>
  <c r="G90" i="490"/>
  <c r="D90" i="490"/>
  <c r="C90" i="490"/>
  <c r="U89" i="490"/>
  <c r="T89" i="490"/>
  <c r="I89" i="490"/>
  <c r="H89" i="490"/>
  <c r="V89" i="490" s="1"/>
  <c r="G89" i="490"/>
  <c r="D89" i="490"/>
  <c r="C89" i="490"/>
  <c r="U88" i="490"/>
  <c r="T88" i="490"/>
  <c r="I88" i="490"/>
  <c r="H88" i="490"/>
  <c r="V88" i="490" s="1"/>
  <c r="G88" i="490"/>
  <c r="D88" i="490"/>
  <c r="C88" i="490"/>
  <c r="U87" i="490"/>
  <c r="T87" i="490"/>
  <c r="I87" i="490"/>
  <c r="H87" i="490"/>
  <c r="V87" i="490" s="1"/>
  <c r="G87" i="490"/>
  <c r="D87" i="490"/>
  <c r="C87" i="490"/>
  <c r="U86" i="490"/>
  <c r="T86" i="490"/>
  <c r="I86" i="490"/>
  <c r="H86" i="490"/>
  <c r="V86" i="490" s="1"/>
  <c r="G86" i="490"/>
  <c r="D86" i="490"/>
  <c r="C86" i="490"/>
  <c r="U85" i="490"/>
  <c r="T85" i="490"/>
  <c r="I85" i="490"/>
  <c r="H85" i="490"/>
  <c r="V85" i="490" s="1"/>
  <c r="G85" i="490"/>
  <c r="D85" i="490"/>
  <c r="C85" i="490"/>
  <c r="U84" i="490"/>
  <c r="T84" i="490"/>
  <c r="I84" i="490"/>
  <c r="H84" i="490"/>
  <c r="V84" i="490" s="1"/>
  <c r="G84" i="490"/>
  <c r="D84" i="490"/>
  <c r="C84" i="490"/>
  <c r="U83" i="490"/>
  <c r="T83" i="490"/>
  <c r="I83" i="490"/>
  <c r="H83" i="490"/>
  <c r="V83" i="490" s="1"/>
  <c r="G83" i="490"/>
  <c r="D83" i="490"/>
  <c r="C83" i="490"/>
  <c r="U82" i="490"/>
  <c r="T82" i="490"/>
  <c r="I82" i="490"/>
  <c r="H82" i="490"/>
  <c r="V82" i="490" s="1"/>
  <c r="G82" i="490"/>
  <c r="D82" i="490"/>
  <c r="C82" i="490"/>
  <c r="U81" i="490"/>
  <c r="T81" i="490"/>
  <c r="I81" i="490"/>
  <c r="H81" i="490"/>
  <c r="V81" i="490" s="1"/>
  <c r="G81" i="490"/>
  <c r="D81" i="490"/>
  <c r="C81" i="490"/>
  <c r="U80" i="490"/>
  <c r="T80" i="490"/>
  <c r="I80" i="490"/>
  <c r="H80" i="490"/>
  <c r="V80" i="490" s="1"/>
  <c r="G80" i="490"/>
  <c r="D80" i="490"/>
  <c r="C80" i="490"/>
  <c r="U79" i="490"/>
  <c r="T79" i="490"/>
  <c r="I79" i="490"/>
  <c r="H79" i="490"/>
  <c r="V79" i="490" s="1"/>
  <c r="G79" i="490"/>
  <c r="D79" i="490"/>
  <c r="C79" i="490"/>
  <c r="U78" i="490"/>
  <c r="T78" i="490"/>
  <c r="I78" i="490"/>
  <c r="H78" i="490"/>
  <c r="V78" i="490" s="1"/>
  <c r="G78" i="490"/>
  <c r="D78" i="490"/>
  <c r="C78" i="490"/>
  <c r="U77" i="490"/>
  <c r="T77" i="490"/>
  <c r="I77" i="490"/>
  <c r="H77" i="490"/>
  <c r="V77" i="490" s="1"/>
  <c r="G77" i="490"/>
  <c r="D77" i="490"/>
  <c r="C77" i="490"/>
  <c r="U76" i="490"/>
  <c r="T76" i="490"/>
  <c r="I76" i="490"/>
  <c r="H76" i="490"/>
  <c r="V76" i="490" s="1"/>
  <c r="G76" i="490"/>
  <c r="D76" i="490"/>
  <c r="C76" i="490"/>
  <c r="U75" i="490"/>
  <c r="T75" i="490"/>
  <c r="I75" i="490"/>
  <c r="H75" i="490"/>
  <c r="V75" i="490" s="1"/>
  <c r="G75" i="490"/>
  <c r="D75" i="490"/>
  <c r="C75" i="490"/>
  <c r="AB74" i="490"/>
  <c r="AA74" i="490"/>
  <c r="Z74" i="490"/>
  <c r="Y74" i="490"/>
  <c r="X74" i="490"/>
  <c r="U74" i="490"/>
  <c r="T74" i="490"/>
  <c r="I74" i="490"/>
  <c r="H74" i="490"/>
  <c r="V74" i="490" s="1"/>
  <c r="G74" i="490"/>
  <c r="D74" i="490"/>
  <c r="C74" i="490"/>
  <c r="AB73" i="490"/>
  <c r="AA73" i="490"/>
  <c r="Z73" i="490"/>
  <c r="Y73" i="490"/>
  <c r="X73" i="490"/>
  <c r="U73" i="490"/>
  <c r="T73" i="490"/>
  <c r="I73" i="490"/>
  <c r="H73" i="490"/>
  <c r="V73" i="490" s="1"/>
  <c r="G73" i="490"/>
  <c r="D73" i="490"/>
  <c r="C73" i="490"/>
  <c r="AB72" i="490"/>
  <c r="AA72" i="490"/>
  <c r="Z72" i="490"/>
  <c r="Y72" i="490"/>
  <c r="X72" i="490"/>
  <c r="U72" i="490"/>
  <c r="T72" i="490"/>
  <c r="I72" i="490"/>
  <c r="H72" i="490"/>
  <c r="V72" i="490" s="1"/>
  <c r="G72" i="490"/>
  <c r="D72" i="490"/>
  <c r="C72" i="490"/>
  <c r="AB71" i="490"/>
  <c r="AA71" i="490"/>
  <c r="Z71" i="490"/>
  <c r="Y71" i="490"/>
  <c r="X71" i="490"/>
  <c r="U71" i="490"/>
  <c r="T71" i="490"/>
  <c r="I71" i="490"/>
  <c r="H71" i="490"/>
  <c r="V71" i="490" s="1"/>
  <c r="G71" i="490"/>
  <c r="D71" i="490"/>
  <c r="C71" i="490"/>
  <c r="AB70" i="490"/>
  <c r="AA70" i="490"/>
  <c r="Z70" i="490"/>
  <c r="Y70" i="490"/>
  <c r="X70" i="490"/>
  <c r="U70" i="490"/>
  <c r="T70" i="490"/>
  <c r="I70" i="490"/>
  <c r="H70" i="490"/>
  <c r="V70" i="490" s="1"/>
  <c r="G70" i="490"/>
  <c r="D70" i="490"/>
  <c r="C70" i="490"/>
  <c r="AB69" i="490"/>
  <c r="AA69" i="490"/>
  <c r="Z69" i="490"/>
  <c r="Y69" i="490"/>
  <c r="X69" i="490"/>
  <c r="U69" i="490"/>
  <c r="T69" i="490"/>
  <c r="I69" i="490"/>
  <c r="H69" i="490"/>
  <c r="V69" i="490" s="1"/>
  <c r="G69" i="490"/>
  <c r="D69" i="490"/>
  <c r="C69" i="490"/>
  <c r="AB68" i="490"/>
  <c r="AA68" i="490"/>
  <c r="Z68" i="490"/>
  <c r="Y68" i="490"/>
  <c r="X68" i="490"/>
  <c r="U68" i="490"/>
  <c r="T68" i="490"/>
  <c r="I68" i="490"/>
  <c r="H68" i="490"/>
  <c r="V68" i="490" s="1"/>
  <c r="G68" i="490"/>
  <c r="D68" i="490"/>
  <c r="C68" i="490"/>
  <c r="AB67" i="490"/>
  <c r="AA67" i="490"/>
  <c r="Z67" i="490"/>
  <c r="Y67" i="490"/>
  <c r="X67" i="490"/>
  <c r="U67" i="490"/>
  <c r="T67" i="490"/>
  <c r="I67" i="490"/>
  <c r="H67" i="490"/>
  <c r="V67" i="490" s="1"/>
  <c r="G67" i="490"/>
  <c r="D67" i="490"/>
  <c r="C67" i="490"/>
  <c r="AB66" i="490"/>
  <c r="AA66" i="490"/>
  <c r="Z66" i="490"/>
  <c r="Y66" i="490"/>
  <c r="X66" i="490"/>
  <c r="U66" i="490"/>
  <c r="T66" i="490"/>
  <c r="I66" i="490"/>
  <c r="H66" i="490"/>
  <c r="V66" i="490" s="1"/>
  <c r="G66" i="490"/>
  <c r="D66" i="490"/>
  <c r="C66" i="490"/>
  <c r="AB65" i="490"/>
  <c r="AA65" i="490"/>
  <c r="Z65" i="490"/>
  <c r="Y65" i="490"/>
  <c r="X65" i="490"/>
  <c r="U65" i="490"/>
  <c r="T65" i="490"/>
  <c r="I65" i="490"/>
  <c r="H65" i="490"/>
  <c r="V65" i="490" s="1"/>
  <c r="G65" i="490"/>
  <c r="D65" i="490"/>
  <c r="C65" i="490"/>
  <c r="U64" i="490"/>
  <c r="T64" i="490"/>
  <c r="I64" i="490"/>
  <c r="H64" i="490"/>
  <c r="V64" i="490" s="1"/>
  <c r="G64" i="490"/>
  <c r="D64" i="490"/>
  <c r="C64" i="490"/>
  <c r="U63" i="490"/>
  <c r="T63" i="490"/>
  <c r="I63" i="490"/>
  <c r="H63" i="490"/>
  <c r="V63" i="490" s="1"/>
  <c r="G63" i="490"/>
  <c r="D63" i="490"/>
  <c r="C63" i="490"/>
  <c r="U62" i="490"/>
  <c r="T62" i="490"/>
  <c r="I62" i="490"/>
  <c r="H62" i="490"/>
  <c r="V62" i="490" s="1"/>
  <c r="G62" i="490"/>
  <c r="D62" i="490"/>
  <c r="C62" i="490"/>
  <c r="AB61" i="490"/>
  <c r="AA61" i="490"/>
  <c r="Z61" i="490"/>
  <c r="Y61" i="490"/>
  <c r="X61" i="490"/>
  <c r="U61" i="490"/>
  <c r="T61" i="490"/>
  <c r="I61" i="490"/>
  <c r="H61" i="490"/>
  <c r="V61" i="490" s="1"/>
  <c r="G61" i="490"/>
  <c r="D61" i="490"/>
  <c r="C61" i="490"/>
  <c r="AB60" i="490"/>
  <c r="AA60" i="490"/>
  <c r="Z60" i="490"/>
  <c r="Y60" i="490"/>
  <c r="X60" i="490"/>
  <c r="U60" i="490"/>
  <c r="T60" i="490"/>
  <c r="I60" i="490"/>
  <c r="H60" i="490"/>
  <c r="V60" i="490" s="1"/>
  <c r="G60" i="490"/>
  <c r="D60" i="490"/>
  <c r="C60" i="490"/>
  <c r="AB59" i="490"/>
  <c r="AA59" i="490"/>
  <c r="Z59" i="490"/>
  <c r="Y59" i="490"/>
  <c r="X59" i="490"/>
  <c r="U59" i="490"/>
  <c r="T59" i="490"/>
  <c r="I59" i="490"/>
  <c r="H59" i="490"/>
  <c r="V59" i="490" s="1"/>
  <c r="G59" i="490"/>
  <c r="D59" i="490"/>
  <c r="C59" i="490"/>
  <c r="AB58" i="490"/>
  <c r="AA58" i="490"/>
  <c r="Z58" i="490"/>
  <c r="Y58" i="490"/>
  <c r="X58" i="490"/>
  <c r="U58" i="490"/>
  <c r="T58" i="490"/>
  <c r="I58" i="490"/>
  <c r="H58" i="490"/>
  <c r="V58" i="490" s="1"/>
  <c r="G58" i="490"/>
  <c r="D58" i="490"/>
  <c r="C58" i="490"/>
  <c r="AB57" i="490"/>
  <c r="AA57" i="490"/>
  <c r="Z57" i="490"/>
  <c r="Y57" i="490"/>
  <c r="X57" i="490"/>
  <c r="U57" i="490"/>
  <c r="T57" i="490"/>
  <c r="I57" i="490"/>
  <c r="H57" i="490"/>
  <c r="V57" i="490" s="1"/>
  <c r="G57" i="490"/>
  <c r="D57" i="490"/>
  <c r="C57" i="490"/>
  <c r="AB56" i="490"/>
  <c r="AA56" i="490"/>
  <c r="Z56" i="490"/>
  <c r="Y56" i="490"/>
  <c r="X56" i="490"/>
  <c r="U56" i="490"/>
  <c r="T56" i="490"/>
  <c r="I56" i="490"/>
  <c r="H56" i="490"/>
  <c r="V56" i="490" s="1"/>
  <c r="G56" i="490"/>
  <c r="D56" i="490"/>
  <c r="C56" i="490"/>
  <c r="AB55" i="490"/>
  <c r="AA55" i="490"/>
  <c r="Z55" i="490"/>
  <c r="Y55" i="490"/>
  <c r="X55" i="490"/>
  <c r="U55" i="490"/>
  <c r="T55" i="490"/>
  <c r="I55" i="490"/>
  <c r="H55" i="490"/>
  <c r="V55" i="490" s="1"/>
  <c r="G55" i="490"/>
  <c r="D55" i="490"/>
  <c r="C55" i="490"/>
  <c r="AB54" i="490"/>
  <c r="AA54" i="490"/>
  <c r="Z54" i="490"/>
  <c r="Y54" i="490"/>
  <c r="X54" i="490"/>
  <c r="U54" i="490"/>
  <c r="T54" i="490"/>
  <c r="I54" i="490"/>
  <c r="H54" i="490"/>
  <c r="V54" i="490" s="1"/>
  <c r="G54" i="490"/>
  <c r="D54" i="490"/>
  <c r="C54" i="490"/>
  <c r="AB53" i="490"/>
  <c r="AA53" i="490"/>
  <c r="Z53" i="490"/>
  <c r="Y53" i="490"/>
  <c r="X53" i="490"/>
  <c r="U53" i="490"/>
  <c r="T53" i="490"/>
  <c r="I53" i="490"/>
  <c r="H53" i="490"/>
  <c r="V53" i="490" s="1"/>
  <c r="G53" i="490"/>
  <c r="D53" i="490"/>
  <c r="C53" i="490"/>
  <c r="AB52" i="490"/>
  <c r="AA52" i="490"/>
  <c r="Z52" i="490"/>
  <c r="Y52" i="490"/>
  <c r="X52" i="490"/>
  <c r="U52" i="490"/>
  <c r="T52" i="490"/>
  <c r="I52" i="490"/>
  <c r="H52" i="490"/>
  <c r="V52" i="490" s="1"/>
  <c r="G52" i="490"/>
  <c r="D52" i="490"/>
  <c r="C52" i="490"/>
  <c r="U51" i="490"/>
  <c r="T51" i="490"/>
  <c r="I51" i="490"/>
  <c r="H51" i="490"/>
  <c r="V51" i="490" s="1"/>
  <c r="G51" i="490"/>
  <c r="D51" i="490"/>
  <c r="C51" i="490"/>
  <c r="U50" i="490"/>
  <c r="T50" i="490"/>
  <c r="I50" i="490"/>
  <c r="H50" i="490"/>
  <c r="V50" i="490" s="1"/>
  <c r="G50" i="490"/>
  <c r="D50" i="490"/>
  <c r="C50" i="490"/>
  <c r="U49" i="490"/>
  <c r="T49" i="490"/>
  <c r="I49" i="490"/>
  <c r="H49" i="490"/>
  <c r="V49" i="490" s="1"/>
  <c r="G49" i="490"/>
  <c r="D49" i="490"/>
  <c r="C49" i="490"/>
  <c r="U48" i="490"/>
  <c r="T48" i="490"/>
  <c r="I48" i="490"/>
  <c r="H48" i="490"/>
  <c r="V48" i="490" s="1"/>
  <c r="G48" i="490"/>
  <c r="D48" i="490"/>
  <c r="C48" i="490"/>
  <c r="U47" i="490"/>
  <c r="T47" i="490"/>
  <c r="I47" i="490"/>
  <c r="H47" i="490"/>
  <c r="V47" i="490" s="1"/>
  <c r="G47" i="490"/>
  <c r="D47" i="490"/>
  <c r="C47" i="490"/>
  <c r="U46" i="490"/>
  <c r="T46" i="490"/>
  <c r="I46" i="490"/>
  <c r="H46" i="490"/>
  <c r="V46" i="490" s="1"/>
  <c r="G46" i="490"/>
  <c r="D46" i="490"/>
  <c r="C46" i="490"/>
  <c r="U45" i="490"/>
  <c r="T45" i="490"/>
  <c r="I45" i="490"/>
  <c r="H45" i="490"/>
  <c r="V45" i="490" s="1"/>
  <c r="G45" i="490"/>
  <c r="D45" i="490"/>
  <c r="C45" i="490"/>
  <c r="U44" i="490"/>
  <c r="T44" i="490"/>
  <c r="I44" i="490"/>
  <c r="H44" i="490"/>
  <c r="V44" i="490" s="1"/>
  <c r="G44" i="490"/>
  <c r="D44" i="490"/>
  <c r="C44" i="490"/>
  <c r="U43" i="490"/>
  <c r="T43" i="490"/>
  <c r="I43" i="490"/>
  <c r="H43" i="490"/>
  <c r="V43" i="490" s="1"/>
  <c r="G43" i="490"/>
  <c r="D43" i="490"/>
  <c r="C43" i="490"/>
  <c r="U42" i="490"/>
  <c r="T42" i="490"/>
  <c r="I42" i="490"/>
  <c r="H42" i="490"/>
  <c r="V42" i="490" s="1"/>
  <c r="G42" i="490"/>
  <c r="D42" i="490"/>
  <c r="C42" i="490"/>
  <c r="U41" i="490"/>
  <c r="T41" i="490"/>
  <c r="I41" i="490"/>
  <c r="H41" i="490"/>
  <c r="V41" i="490" s="1"/>
  <c r="G41" i="490"/>
  <c r="D41" i="490"/>
  <c r="C41" i="490"/>
  <c r="U40" i="490"/>
  <c r="T40" i="490"/>
  <c r="I40" i="490"/>
  <c r="H40" i="490"/>
  <c r="V40" i="490" s="1"/>
  <c r="G40" i="490"/>
  <c r="D40" i="490"/>
  <c r="C40" i="490"/>
  <c r="U39" i="490"/>
  <c r="T39" i="490"/>
  <c r="I39" i="490"/>
  <c r="H39" i="490"/>
  <c r="V39" i="490" s="1"/>
  <c r="G39" i="490"/>
  <c r="D39" i="490"/>
  <c r="C39" i="490"/>
  <c r="U38" i="490"/>
  <c r="T38" i="490"/>
  <c r="I38" i="490"/>
  <c r="H38" i="490"/>
  <c r="V38" i="490" s="1"/>
  <c r="G38" i="490"/>
  <c r="D38" i="490"/>
  <c r="C38" i="490"/>
  <c r="U37" i="490"/>
  <c r="T37" i="490"/>
  <c r="I37" i="490"/>
  <c r="H37" i="490"/>
  <c r="V37" i="490" s="1"/>
  <c r="G37" i="490"/>
  <c r="D37" i="490"/>
  <c r="C37" i="490"/>
  <c r="U36" i="490"/>
  <c r="T36" i="490"/>
  <c r="I36" i="490"/>
  <c r="H36" i="490"/>
  <c r="V36" i="490" s="1"/>
  <c r="G36" i="490"/>
  <c r="D36" i="490"/>
  <c r="C36" i="490"/>
  <c r="U35" i="490"/>
  <c r="T35" i="490"/>
  <c r="I35" i="490"/>
  <c r="H35" i="490"/>
  <c r="V35" i="490" s="1"/>
  <c r="G35" i="490"/>
  <c r="D35" i="490"/>
  <c r="C35" i="490"/>
  <c r="U34" i="490"/>
  <c r="T34" i="490"/>
  <c r="I34" i="490"/>
  <c r="H34" i="490"/>
  <c r="V34" i="490" s="1"/>
  <c r="G34" i="490"/>
  <c r="D34" i="490"/>
  <c r="C34" i="490"/>
  <c r="U33" i="490"/>
  <c r="T33" i="490"/>
  <c r="I33" i="490"/>
  <c r="H33" i="490"/>
  <c r="V33" i="490" s="1"/>
  <c r="G33" i="490"/>
  <c r="D33" i="490"/>
  <c r="C33" i="490"/>
  <c r="U32" i="490"/>
  <c r="T32" i="490"/>
  <c r="I32" i="490"/>
  <c r="H32" i="490"/>
  <c r="V32" i="490" s="1"/>
  <c r="G32" i="490"/>
  <c r="D32" i="490"/>
  <c r="C32" i="490"/>
  <c r="U31" i="490"/>
  <c r="T31" i="490"/>
  <c r="I31" i="490"/>
  <c r="H31" i="490"/>
  <c r="V31" i="490" s="1"/>
  <c r="G31" i="490"/>
  <c r="D31" i="490"/>
  <c r="C31" i="490"/>
  <c r="U30" i="490"/>
  <c r="T30" i="490"/>
  <c r="I30" i="490"/>
  <c r="H30" i="490"/>
  <c r="V30" i="490" s="1"/>
  <c r="G30" i="490"/>
  <c r="D30" i="490"/>
  <c r="C30" i="490"/>
  <c r="U29" i="490"/>
  <c r="T29" i="490"/>
  <c r="I29" i="490"/>
  <c r="H29" i="490"/>
  <c r="V29" i="490" s="1"/>
  <c r="G29" i="490"/>
  <c r="D29" i="490"/>
  <c r="C29" i="490"/>
  <c r="U28" i="490"/>
  <c r="T28" i="490"/>
  <c r="I28" i="490"/>
  <c r="H28" i="490"/>
  <c r="V28" i="490" s="1"/>
  <c r="G28" i="490"/>
  <c r="D28" i="490"/>
  <c r="C28" i="490"/>
  <c r="U27" i="490"/>
  <c r="T27" i="490"/>
  <c r="I27" i="490"/>
  <c r="H27" i="490"/>
  <c r="V27" i="490" s="1"/>
  <c r="G27" i="490"/>
  <c r="D27" i="490"/>
  <c r="C27" i="490"/>
  <c r="U26" i="490"/>
  <c r="T26" i="490"/>
  <c r="I26" i="490"/>
  <c r="H26" i="490"/>
  <c r="V26" i="490" s="1"/>
  <c r="G26" i="490"/>
  <c r="D26" i="490"/>
  <c r="C26" i="490"/>
  <c r="U25" i="490"/>
  <c r="T25" i="490"/>
  <c r="I25" i="490"/>
  <c r="H25" i="490"/>
  <c r="V25" i="490" s="1"/>
  <c r="G25" i="490"/>
  <c r="D25" i="490"/>
  <c r="C25" i="490"/>
  <c r="U24" i="490"/>
  <c r="T24" i="490"/>
  <c r="I24" i="490"/>
  <c r="H24" i="490"/>
  <c r="V24" i="490" s="1"/>
  <c r="G24" i="490"/>
  <c r="D24" i="490"/>
  <c r="C24" i="490"/>
  <c r="U23" i="490"/>
  <c r="T23" i="490"/>
  <c r="I23" i="490"/>
  <c r="H23" i="490"/>
  <c r="V23" i="490" s="1"/>
  <c r="G23" i="490"/>
  <c r="D23" i="490"/>
  <c r="C23" i="490"/>
  <c r="AO22" i="490"/>
  <c r="AN22" i="490"/>
  <c r="AM22" i="490"/>
  <c r="AL22" i="490"/>
  <c r="AK22" i="490"/>
  <c r="U22" i="490"/>
  <c r="T22" i="490"/>
  <c r="R22" i="490"/>
  <c r="AD22" i="490" s="1"/>
  <c r="I22" i="490"/>
  <c r="H22" i="490"/>
  <c r="V22" i="490" s="1"/>
  <c r="G22" i="490"/>
  <c r="D22" i="490"/>
  <c r="C22" i="490"/>
  <c r="AO21" i="490"/>
  <c r="AN21" i="490"/>
  <c r="AM21" i="490"/>
  <c r="AL21" i="490"/>
  <c r="AK21" i="490"/>
  <c r="U21" i="490"/>
  <c r="T21" i="490"/>
  <c r="R21" i="490"/>
  <c r="I21" i="490"/>
  <c r="H21" i="490"/>
  <c r="V21" i="490" s="1"/>
  <c r="G21" i="490"/>
  <c r="D21" i="490"/>
  <c r="C21" i="490"/>
  <c r="AO20" i="490"/>
  <c r="AN20" i="490"/>
  <c r="AM20" i="490"/>
  <c r="AL20" i="490"/>
  <c r="AK20" i="490"/>
  <c r="U20" i="490"/>
  <c r="T20" i="490"/>
  <c r="R20" i="490"/>
  <c r="AD20" i="490" s="1"/>
  <c r="I20" i="490"/>
  <c r="H20" i="490"/>
  <c r="V20" i="490" s="1"/>
  <c r="G20" i="490"/>
  <c r="D20" i="490"/>
  <c r="C20" i="490"/>
  <c r="AO19" i="490"/>
  <c r="AN19" i="490"/>
  <c r="AM19" i="490"/>
  <c r="AL19" i="490"/>
  <c r="AK19" i="490"/>
  <c r="AD19" i="490"/>
  <c r="U19" i="490"/>
  <c r="T19" i="490"/>
  <c r="R19" i="490"/>
  <c r="I19" i="490"/>
  <c r="H19" i="490"/>
  <c r="V19" i="490" s="1"/>
  <c r="G19" i="490"/>
  <c r="D19" i="490"/>
  <c r="C19" i="490"/>
  <c r="AO18" i="490"/>
  <c r="AN18" i="490"/>
  <c r="AM18" i="490"/>
  <c r="AL18" i="490"/>
  <c r="AK18" i="490"/>
  <c r="U18" i="490"/>
  <c r="T18" i="490"/>
  <c r="R18" i="490"/>
  <c r="AD18" i="490" s="1"/>
  <c r="I18" i="490"/>
  <c r="H18" i="490"/>
  <c r="V18" i="490" s="1"/>
  <c r="G18" i="490"/>
  <c r="D18" i="490"/>
  <c r="C18" i="490"/>
  <c r="AO17" i="490"/>
  <c r="AN17" i="490"/>
  <c r="AM17" i="490"/>
  <c r="AL17" i="490"/>
  <c r="AK17" i="490"/>
  <c r="AD17" i="490"/>
  <c r="U17" i="490"/>
  <c r="T17" i="490"/>
  <c r="R17" i="490"/>
  <c r="I17" i="490"/>
  <c r="H17" i="490"/>
  <c r="V17" i="490" s="1"/>
  <c r="G17" i="490"/>
  <c r="D17" i="490"/>
  <c r="C17" i="490"/>
  <c r="AO16" i="490"/>
  <c r="AN16" i="490"/>
  <c r="AM16" i="490"/>
  <c r="AL16" i="490"/>
  <c r="AK16" i="490"/>
  <c r="U16" i="490"/>
  <c r="T16" i="490"/>
  <c r="R16" i="490"/>
  <c r="AD16" i="490" s="1"/>
  <c r="I16" i="490"/>
  <c r="H16" i="490"/>
  <c r="V16" i="490" s="1"/>
  <c r="G16" i="490"/>
  <c r="D16" i="490"/>
  <c r="C16" i="490"/>
  <c r="AO15" i="490"/>
  <c r="AN15" i="490"/>
  <c r="AM15" i="490"/>
  <c r="AL15" i="490"/>
  <c r="AK15" i="490"/>
  <c r="AD15" i="490"/>
  <c r="U15" i="490"/>
  <c r="T15" i="490"/>
  <c r="R15" i="490"/>
  <c r="I15" i="490"/>
  <c r="H15" i="490"/>
  <c r="V15" i="490" s="1"/>
  <c r="G15" i="490"/>
  <c r="D15" i="490"/>
  <c r="C15" i="490"/>
  <c r="AO14" i="490"/>
  <c r="AN14" i="490"/>
  <c r="AM14" i="490"/>
  <c r="AL14" i="490"/>
  <c r="AK14" i="490"/>
  <c r="U14" i="490"/>
  <c r="T14" i="490"/>
  <c r="R14" i="490"/>
  <c r="AD14" i="490" s="1"/>
  <c r="I14" i="490"/>
  <c r="H14" i="490"/>
  <c r="V14" i="490" s="1"/>
  <c r="G14" i="490"/>
  <c r="D14" i="490"/>
  <c r="C14" i="490"/>
  <c r="AO13" i="490"/>
  <c r="AN13" i="490"/>
  <c r="AM13" i="490"/>
  <c r="AL13" i="490"/>
  <c r="AK13" i="490"/>
  <c r="AD13" i="490"/>
  <c r="U13" i="490"/>
  <c r="T13" i="490"/>
  <c r="R13" i="490"/>
  <c r="R11" i="490" s="1"/>
  <c r="I13" i="490"/>
  <c r="H13" i="490"/>
  <c r="V13" i="490" s="1"/>
  <c r="G13" i="490"/>
  <c r="D13" i="490"/>
  <c r="C13" i="490"/>
  <c r="U12" i="490"/>
  <c r="T12" i="490"/>
  <c r="I12" i="490"/>
  <c r="H12" i="490"/>
  <c r="V12" i="490" s="1"/>
  <c r="G12" i="490"/>
  <c r="D12" i="490"/>
  <c r="C12" i="490"/>
  <c r="U11" i="490"/>
  <c r="T11" i="490"/>
  <c r="I11" i="490"/>
  <c r="H11" i="490"/>
  <c r="V11" i="490" s="1"/>
  <c r="G11" i="490"/>
  <c r="D11" i="490"/>
  <c r="C11" i="490"/>
  <c r="U10" i="490"/>
  <c r="T10" i="490"/>
  <c r="I10" i="490"/>
  <c r="H10" i="490"/>
  <c r="V10" i="490" s="1"/>
  <c r="G10" i="490"/>
  <c r="D10" i="490"/>
  <c r="C10" i="490"/>
  <c r="U9" i="490"/>
  <c r="T9" i="490"/>
  <c r="I9" i="490"/>
  <c r="H9" i="490"/>
  <c r="V9" i="490" s="1"/>
  <c r="G9" i="490"/>
  <c r="D9" i="490"/>
  <c r="C9" i="490"/>
  <c r="AO8" i="490"/>
  <c r="AN8" i="490"/>
  <c r="AM8" i="490"/>
  <c r="AC8" i="490"/>
  <c r="AB8" i="490"/>
  <c r="AA8" i="490"/>
  <c r="Z8" i="490"/>
  <c r="Y8" i="490"/>
  <c r="U8" i="490"/>
  <c r="T8" i="490"/>
  <c r="I8" i="490"/>
  <c r="H8" i="490"/>
  <c r="V8" i="490" s="1"/>
  <c r="G8" i="490"/>
  <c r="D8" i="490"/>
  <c r="C8" i="490"/>
  <c r="AG7" i="490"/>
  <c r="U7" i="490"/>
  <c r="T7" i="490"/>
  <c r="I7" i="490"/>
  <c r="H7" i="490"/>
  <c r="V7" i="490" s="1"/>
  <c r="G7" i="490"/>
  <c r="D7" i="490"/>
  <c r="C7" i="490"/>
  <c r="AL8" i="490" s="1"/>
  <c r="U6" i="490"/>
  <c r="T6" i="490"/>
  <c r="I6" i="490"/>
  <c r="H6" i="490"/>
  <c r="V6" i="490" s="1"/>
  <c r="G6" i="490"/>
  <c r="D6" i="490"/>
  <c r="C6" i="490"/>
  <c r="AK8" i="490" s="1"/>
  <c r="AJ5" i="490"/>
  <c r="Z7" i="490" s="1"/>
  <c r="AI5" i="490"/>
  <c r="Y22" i="490" s="1"/>
  <c r="AG3" i="490"/>
  <c r="C2" i="490" a="1"/>
  <c r="C2" i="490" s="1"/>
  <c r="B2" i="490" a="1"/>
  <c r="B2" i="490" s="1"/>
  <c r="C1" i="490"/>
  <c r="B1" i="490"/>
  <c r="U105" i="489"/>
  <c r="T105" i="489"/>
  <c r="I105" i="489"/>
  <c r="H105" i="489"/>
  <c r="V105" i="489" s="1"/>
  <c r="G105" i="489"/>
  <c r="D105" i="489"/>
  <c r="C105" i="489"/>
  <c r="U104" i="489"/>
  <c r="T104" i="489"/>
  <c r="I104" i="489"/>
  <c r="H104" i="489"/>
  <c r="V104" i="489" s="1"/>
  <c r="G104" i="489"/>
  <c r="D104" i="489"/>
  <c r="C104" i="489"/>
  <c r="U103" i="489"/>
  <c r="T103" i="489"/>
  <c r="I103" i="489"/>
  <c r="H103" i="489"/>
  <c r="V103" i="489" s="1"/>
  <c r="G103" i="489"/>
  <c r="D103" i="489"/>
  <c r="C103" i="489"/>
  <c r="U102" i="489"/>
  <c r="T102" i="489"/>
  <c r="I102" i="489"/>
  <c r="H102" i="489"/>
  <c r="V102" i="489" s="1"/>
  <c r="G102" i="489"/>
  <c r="D102" i="489"/>
  <c r="C102" i="489"/>
  <c r="U101" i="489"/>
  <c r="T101" i="489"/>
  <c r="I101" i="489"/>
  <c r="H101" i="489"/>
  <c r="V101" i="489" s="1"/>
  <c r="G101" i="489"/>
  <c r="D101" i="489"/>
  <c r="C101" i="489"/>
  <c r="U100" i="489"/>
  <c r="T100" i="489"/>
  <c r="I100" i="489"/>
  <c r="H100" i="489"/>
  <c r="V100" i="489" s="1"/>
  <c r="G100" i="489"/>
  <c r="D100" i="489"/>
  <c r="C100" i="489"/>
  <c r="U99" i="489"/>
  <c r="T99" i="489"/>
  <c r="I99" i="489"/>
  <c r="H99" i="489"/>
  <c r="V99" i="489" s="1"/>
  <c r="G99" i="489"/>
  <c r="D99" i="489"/>
  <c r="C99" i="489"/>
  <c r="U98" i="489"/>
  <c r="T98" i="489"/>
  <c r="I98" i="489"/>
  <c r="H98" i="489"/>
  <c r="V98" i="489" s="1"/>
  <c r="G98" i="489"/>
  <c r="D98" i="489"/>
  <c r="C98" i="489"/>
  <c r="U97" i="489"/>
  <c r="T97" i="489"/>
  <c r="I97" i="489"/>
  <c r="H97" i="489"/>
  <c r="V97" i="489" s="1"/>
  <c r="G97" i="489"/>
  <c r="D97" i="489"/>
  <c r="C97" i="489"/>
  <c r="U96" i="489"/>
  <c r="T96" i="489"/>
  <c r="I96" i="489"/>
  <c r="H96" i="489"/>
  <c r="V96" i="489" s="1"/>
  <c r="G96" i="489"/>
  <c r="D96" i="489"/>
  <c r="C96" i="489"/>
  <c r="U95" i="489"/>
  <c r="T95" i="489"/>
  <c r="I95" i="489"/>
  <c r="H95" i="489"/>
  <c r="V95" i="489" s="1"/>
  <c r="G95" i="489"/>
  <c r="D95" i="489"/>
  <c r="C95" i="489"/>
  <c r="U94" i="489"/>
  <c r="T94" i="489"/>
  <c r="I94" i="489"/>
  <c r="H94" i="489"/>
  <c r="V94" i="489" s="1"/>
  <c r="G94" i="489"/>
  <c r="D94" i="489"/>
  <c r="C94" i="489"/>
  <c r="U93" i="489"/>
  <c r="T93" i="489"/>
  <c r="I93" i="489"/>
  <c r="H93" i="489"/>
  <c r="V93" i="489" s="1"/>
  <c r="G93" i="489"/>
  <c r="D93" i="489"/>
  <c r="C93" i="489"/>
  <c r="U92" i="489"/>
  <c r="T92" i="489"/>
  <c r="I92" i="489"/>
  <c r="H92" i="489"/>
  <c r="V92" i="489" s="1"/>
  <c r="G92" i="489"/>
  <c r="D92" i="489"/>
  <c r="C92" i="489"/>
  <c r="U91" i="489"/>
  <c r="T91" i="489"/>
  <c r="I91" i="489"/>
  <c r="H91" i="489"/>
  <c r="V91" i="489" s="1"/>
  <c r="G91" i="489"/>
  <c r="D91" i="489"/>
  <c r="C91" i="489"/>
  <c r="U90" i="489"/>
  <c r="T90" i="489"/>
  <c r="I90" i="489"/>
  <c r="H90" i="489"/>
  <c r="V90" i="489" s="1"/>
  <c r="G90" i="489"/>
  <c r="D90" i="489"/>
  <c r="C90" i="489"/>
  <c r="U89" i="489"/>
  <c r="T89" i="489"/>
  <c r="I89" i="489"/>
  <c r="H89" i="489"/>
  <c r="V89" i="489" s="1"/>
  <c r="G89" i="489"/>
  <c r="D89" i="489"/>
  <c r="C89" i="489"/>
  <c r="U88" i="489"/>
  <c r="T88" i="489"/>
  <c r="I88" i="489"/>
  <c r="H88" i="489"/>
  <c r="V88" i="489" s="1"/>
  <c r="G88" i="489"/>
  <c r="D88" i="489"/>
  <c r="C88" i="489"/>
  <c r="U87" i="489"/>
  <c r="T87" i="489"/>
  <c r="I87" i="489"/>
  <c r="H87" i="489"/>
  <c r="V87" i="489" s="1"/>
  <c r="G87" i="489"/>
  <c r="D87" i="489"/>
  <c r="C87" i="489"/>
  <c r="U86" i="489"/>
  <c r="T86" i="489"/>
  <c r="I86" i="489"/>
  <c r="H86" i="489"/>
  <c r="V86" i="489" s="1"/>
  <c r="G86" i="489"/>
  <c r="D86" i="489"/>
  <c r="C86" i="489"/>
  <c r="U85" i="489"/>
  <c r="T85" i="489"/>
  <c r="I85" i="489"/>
  <c r="H85" i="489"/>
  <c r="V85" i="489" s="1"/>
  <c r="G85" i="489"/>
  <c r="D85" i="489"/>
  <c r="C85" i="489"/>
  <c r="U84" i="489"/>
  <c r="T84" i="489"/>
  <c r="I84" i="489"/>
  <c r="H84" i="489"/>
  <c r="V84" i="489" s="1"/>
  <c r="G84" i="489"/>
  <c r="D84" i="489"/>
  <c r="C84" i="489"/>
  <c r="U83" i="489"/>
  <c r="T83" i="489"/>
  <c r="I83" i="489"/>
  <c r="H83" i="489"/>
  <c r="V83" i="489" s="1"/>
  <c r="G83" i="489"/>
  <c r="D83" i="489"/>
  <c r="C83" i="489"/>
  <c r="U82" i="489"/>
  <c r="T82" i="489"/>
  <c r="I82" i="489"/>
  <c r="H82" i="489"/>
  <c r="V82" i="489" s="1"/>
  <c r="G82" i="489"/>
  <c r="D82" i="489"/>
  <c r="C82" i="489"/>
  <c r="U81" i="489"/>
  <c r="T81" i="489"/>
  <c r="I81" i="489"/>
  <c r="H81" i="489"/>
  <c r="V81" i="489" s="1"/>
  <c r="G81" i="489"/>
  <c r="D81" i="489"/>
  <c r="C81" i="489"/>
  <c r="U80" i="489"/>
  <c r="T80" i="489"/>
  <c r="I80" i="489"/>
  <c r="H80" i="489"/>
  <c r="V80" i="489" s="1"/>
  <c r="G80" i="489"/>
  <c r="D80" i="489"/>
  <c r="C80" i="489"/>
  <c r="U79" i="489"/>
  <c r="T79" i="489"/>
  <c r="I79" i="489"/>
  <c r="H79" i="489"/>
  <c r="V79" i="489" s="1"/>
  <c r="G79" i="489"/>
  <c r="D79" i="489"/>
  <c r="C79" i="489"/>
  <c r="U78" i="489"/>
  <c r="T78" i="489"/>
  <c r="I78" i="489"/>
  <c r="H78" i="489"/>
  <c r="V78" i="489" s="1"/>
  <c r="G78" i="489"/>
  <c r="D78" i="489"/>
  <c r="C78" i="489"/>
  <c r="U77" i="489"/>
  <c r="T77" i="489"/>
  <c r="I77" i="489"/>
  <c r="H77" i="489"/>
  <c r="V77" i="489" s="1"/>
  <c r="G77" i="489"/>
  <c r="D77" i="489"/>
  <c r="C77" i="489"/>
  <c r="U76" i="489"/>
  <c r="T76" i="489"/>
  <c r="I76" i="489"/>
  <c r="H76" i="489"/>
  <c r="V76" i="489" s="1"/>
  <c r="G76" i="489"/>
  <c r="D76" i="489"/>
  <c r="C76" i="489"/>
  <c r="U75" i="489"/>
  <c r="T75" i="489"/>
  <c r="I75" i="489"/>
  <c r="H75" i="489"/>
  <c r="V75" i="489" s="1"/>
  <c r="G75" i="489"/>
  <c r="D75" i="489"/>
  <c r="C75" i="489"/>
  <c r="AB74" i="489"/>
  <c r="AA74" i="489"/>
  <c r="Z74" i="489"/>
  <c r="Y74" i="489"/>
  <c r="X74" i="489"/>
  <c r="U74" i="489"/>
  <c r="T74" i="489"/>
  <c r="I74" i="489"/>
  <c r="H74" i="489"/>
  <c r="V74" i="489" s="1"/>
  <c r="G74" i="489"/>
  <c r="D74" i="489"/>
  <c r="C74" i="489"/>
  <c r="AB73" i="489"/>
  <c r="AA73" i="489"/>
  <c r="Z73" i="489"/>
  <c r="Y73" i="489"/>
  <c r="X73" i="489"/>
  <c r="U73" i="489"/>
  <c r="T73" i="489"/>
  <c r="I73" i="489"/>
  <c r="H73" i="489"/>
  <c r="V73" i="489" s="1"/>
  <c r="G73" i="489"/>
  <c r="D73" i="489"/>
  <c r="C73" i="489"/>
  <c r="AB72" i="489"/>
  <c r="AA72" i="489"/>
  <c r="Z72" i="489"/>
  <c r="Y72" i="489"/>
  <c r="X72" i="489"/>
  <c r="U72" i="489"/>
  <c r="T72" i="489"/>
  <c r="I72" i="489"/>
  <c r="H72" i="489"/>
  <c r="V72" i="489" s="1"/>
  <c r="G72" i="489"/>
  <c r="D72" i="489"/>
  <c r="C72" i="489"/>
  <c r="AB71" i="489"/>
  <c r="AA71" i="489"/>
  <c r="Z71" i="489"/>
  <c r="Y71" i="489"/>
  <c r="X71" i="489"/>
  <c r="U71" i="489"/>
  <c r="T71" i="489"/>
  <c r="I71" i="489"/>
  <c r="H71" i="489"/>
  <c r="V71" i="489" s="1"/>
  <c r="G71" i="489"/>
  <c r="D71" i="489"/>
  <c r="C71" i="489"/>
  <c r="AB70" i="489"/>
  <c r="AA70" i="489"/>
  <c r="Z70" i="489"/>
  <c r="Y70" i="489"/>
  <c r="X70" i="489"/>
  <c r="U70" i="489"/>
  <c r="T70" i="489"/>
  <c r="I70" i="489"/>
  <c r="H70" i="489"/>
  <c r="V70" i="489" s="1"/>
  <c r="G70" i="489"/>
  <c r="D70" i="489"/>
  <c r="C70" i="489"/>
  <c r="AB69" i="489"/>
  <c r="AA69" i="489"/>
  <c r="Z69" i="489"/>
  <c r="Y69" i="489"/>
  <c r="X69" i="489"/>
  <c r="U69" i="489"/>
  <c r="T69" i="489"/>
  <c r="I69" i="489"/>
  <c r="H69" i="489"/>
  <c r="V69" i="489" s="1"/>
  <c r="G69" i="489"/>
  <c r="D69" i="489"/>
  <c r="C69" i="489"/>
  <c r="AB68" i="489"/>
  <c r="AA68" i="489"/>
  <c r="Z68" i="489"/>
  <c r="Y68" i="489"/>
  <c r="X68" i="489"/>
  <c r="U68" i="489"/>
  <c r="T68" i="489"/>
  <c r="I68" i="489"/>
  <c r="H68" i="489"/>
  <c r="V68" i="489" s="1"/>
  <c r="G68" i="489"/>
  <c r="D68" i="489"/>
  <c r="C68" i="489"/>
  <c r="AB67" i="489"/>
  <c r="AA67" i="489"/>
  <c r="Z67" i="489"/>
  <c r="Y67" i="489"/>
  <c r="X67" i="489"/>
  <c r="U67" i="489"/>
  <c r="T67" i="489"/>
  <c r="I67" i="489"/>
  <c r="H67" i="489"/>
  <c r="V67" i="489" s="1"/>
  <c r="G67" i="489"/>
  <c r="D67" i="489"/>
  <c r="C67" i="489"/>
  <c r="AB66" i="489"/>
  <c r="AA66" i="489"/>
  <c r="Z66" i="489"/>
  <c r="Y66" i="489"/>
  <c r="X66" i="489"/>
  <c r="U66" i="489"/>
  <c r="T66" i="489"/>
  <c r="I66" i="489"/>
  <c r="H66" i="489"/>
  <c r="V66" i="489" s="1"/>
  <c r="G66" i="489"/>
  <c r="D66" i="489"/>
  <c r="C66" i="489"/>
  <c r="AB65" i="489"/>
  <c r="AA65" i="489"/>
  <c r="Z65" i="489"/>
  <c r="Y65" i="489"/>
  <c r="X65" i="489"/>
  <c r="U65" i="489"/>
  <c r="T65" i="489"/>
  <c r="I65" i="489"/>
  <c r="H65" i="489"/>
  <c r="V65" i="489" s="1"/>
  <c r="G65" i="489"/>
  <c r="D65" i="489"/>
  <c r="C65" i="489"/>
  <c r="U64" i="489"/>
  <c r="T64" i="489"/>
  <c r="I64" i="489"/>
  <c r="H64" i="489"/>
  <c r="V64" i="489" s="1"/>
  <c r="G64" i="489"/>
  <c r="D64" i="489"/>
  <c r="C64" i="489"/>
  <c r="U63" i="489"/>
  <c r="T63" i="489"/>
  <c r="I63" i="489"/>
  <c r="H63" i="489"/>
  <c r="V63" i="489" s="1"/>
  <c r="G63" i="489"/>
  <c r="D63" i="489"/>
  <c r="C63" i="489"/>
  <c r="U62" i="489"/>
  <c r="T62" i="489"/>
  <c r="I62" i="489"/>
  <c r="H62" i="489"/>
  <c r="V62" i="489" s="1"/>
  <c r="G62" i="489"/>
  <c r="D62" i="489"/>
  <c r="C62" i="489"/>
  <c r="AB61" i="489"/>
  <c r="AA61" i="489"/>
  <c r="Z61" i="489"/>
  <c r="Y61" i="489"/>
  <c r="X61" i="489"/>
  <c r="U61" i="489"/>
  <c r="T61" i="489"/>
  <c r="I61" i="489"/>
  <c r="H61" i="489"/>
  <c r="V61" i="489" s="1"/>
  <c r="G61" i="489"/>
  <c r="D61" i="489"/>
  <c r="C61" i="489"/>
  <c r="AB60" i="489"/>
  <c r="AA60" i="489"/>
  <c r="Z60" i="489"/>
  <c r="Y60" i="489"/>
  <c r="X60" i="489"/>
  <c r="U60" i="489"/>
  <c r="T60" i="489"/>
  <c r="I60" i="489"/>
  <c r="H60" i="489"/>
  <c r="V60" i="489" s="1"/>
  <c r="G60" i="489"/>
  <c r="D60" i="489"/>
  <c r="C60" i="489"/>
  <c r="AB59" i="489"/>
  <c r="AA59" i="489"/>
  <c r="Z59" i="489"/>
  <c r="Y59" i="489"/>
  <c r="X59" i="489"/>
  <c r="U59" i="489"/>
  <c r="T59" i="489"/>
  <c r="I59" i="489"/>
  <c r="H59" i="489"/>
  <c r="V59" i="489" s="1"/>
  <c r="G59" i="489"/>
  <c r="D59" i="489"/>
  <c r="C59" i="489"/>
  <c r="AB58" i="489"/>
  <c r="AA58" i="489"/>
  <c r="Z58" i="489"/>
  <c r="Y58" i="489"/>
  <c r="X58" i="489"/>
  <c r="U58" i="489"/>
  <c r="T58" i="489"/>
  <c r="I58" i="489"/>
  <c r="H58" i="489"/>
  <c r="V58" i="489" s="1"/>
  <c r="G58" i="489"/>
  <c r="D58" i="489"/>
  <c r="C58" i="489"/>
  <c r="AB57" i="489"/>
  <c r="AA57" i="489"/>
  <c r="Z57" i="489"/>
  <c r="Y57" i="489"/>
  <c r="X57" i="489"/>
  <c r="U57" i="489"/>
  <c r="T57" i="489"/>
  <c r="I57" i="489"/>
  <c r="H57" i="489"/>
  <c r="V57" i="489" s="1"/>
  <c r="G57" i="489"/>
  <c r="D57" i="489"/>
  <c r="C57" i="489"/>
  <c r="AB56" i="489"/>
  <c r="AA56" i="489"/>
  <c r="Z56" i="489"/>
  <c r="Y56" i="489"/>
  <c r="X56" i="489"/>
  <c r="U56" i="489"/>
  <c r="T56" i="489"/>
  <c r="I56" i="489"/>
  <c r="H56" i="489"/>
  <c r="V56" i="489" s="1"/>
  <c r="G56" i="489"/>
  <c r="D56" i="489"/>
  <c r="C56" i="489"/>
  <c r="AB55" i="489"/>
  <c r="AA55" i="489"/>
  <c r="Z55" i="489"/>
  <c r="Y55" i="489"/>
  <c r="X55" i="489"/>
  <c r="U55" i="489"/>
  <c r="T55" i="489"/>
  <c r="I55" i="489"/>
  <c r="H55" i="489"/>
  <c r="V55" i="489" s="1"/>
  <c r="G55" i="489"/>
  <c r="D55" i="489"/>
  <c r="C55" i="489"/>
  <c r="AB54" i="489"/>
  <c r="AA54" i="489"/>
  <c r="Z54" i="489"/>
  <c r="Y54" i="489"/>
  <c r="X54" i="489"/>
  <c r="U54" i="489"/>
  <c r="T54" i="489"/>
  <c r="I54" i="489"/>
  <c r="H54" i="489"/>
  <c r="V54" i="489" s="1"/>
  <c r="G54" i="489"/>
  <c r="D54" i="489"/>
  <c r="C54" i="489"/>
  <c r="AB53" i="489"/>
  <c r="AA53" i="489"/>
  <c r="Z53" i="489"/>
  <c r="Y53" i="489"/>
  <c r="X53" i="489"/>
  <c r="U53" i="489"/>
  <c r="T53" i="489"/>
  <c r="I53" i="489"/>
  <c r="H53" i="489"/>
  <c r="V53" i="489" s="1"/>
  <c r="G53" i="489"/>
  <c r="D53" i="489"/>
  <c r="C53" i="489"/>
  <c r="AB52" i="489"/>
  <c r="AA52" i="489"/>
  <c r="Z52" i="489"/>
  <c r="Y52" i="489"/>
  <c r="X52" i="489"/>
  <c r="U52" i="489"/>
  <c r="T52" i="489"/>
  <c r="I52" i="489"/>
  <c r="H52" i="489"/>
  <c r="V52" i="489" s="1"/>
  <c r="G52" i="489"/>
  <c r="D52" i="489"/>
  <c r="C52" i="489"/>
  <c r="U51" i="489"/>
  <c r="T51" i="489"/>
  <c r="I51" i="489"/>
  <c r="H51" i="489"/>
  <c r="V51" i="489" s="1"/>
  <c r="G51" i="489"/>
  <c r="D51" i="489"/>
  <c r="C51" i="489"/>
  <c r="U50" i="489"/>
  <c r="T50" i="489"/>
  <c r="I50" i="489"/>
  <c r="H50" i="489"/>
  <c r="V50" i="489" s="1"/>
  <c r="G50" i="489"/>
  <c r="D50" i="489"/>
  <c r="C50" i="489"/>
  <c r="U49" i="489"/>
  <c r="T49" i="489"/>
  <c r="I49" i="489"/>
  <c r="H49" i="489"/>
  <c r="V49" i="489" s="1"/>
  <c r="G49" i="489"/>
  <c r="D49" i="489"/>
  <c r="C49" i="489"/>
  <c r="U48" i="489"/>
  <c r="T48" i="489"/>
  <c r="I48" i="489"/>
  <c r="H48" i="489"/>
  <c r="V48" i="489" s="1"/>
  <c r="G48" i="489"/>
  <c r="D48" i="489"/>
  <c r="C48" i="489"/>
  <c r="U47" i="489"/>
  <c r="T47" i="489"/>
  <c r="I47" i="489"/>
  <c r="H47" i="489"/>
  <c r="V47" i="489" s="1"/>
  <c r="G47" i="489"/>
  <c r="D47" i="489"/>
  <c r="C47" i="489"/>
  <c r="U46" i="489"/>
  <c r="T46" i="489"/>
  <c r="I46" i="489"/>
  <c r="H46" i="489"/>
  <c r="V46" i="489" s="1"/>
  <c r="G46" i="489"/>
  <c r="D46" i="489"/>
  <c r="C46" i="489"/>
  <c r="U45" i="489"/>
  <c r="T45" i="489"/>
  <c r="I45" i="489"/>
  <c r="H45" i="489"/>
  <c r="V45" i="489" s="1"/>
  <c r="G45" i="489"/>
  <c r="D45" i="489"/>
  <c r="C45" i="489"/>
  <c r="U44" i="489"/>
  <c r="T44" i="489"/>
  <c r="I44" i="489"/>
  <c r="H44" i="489"/>
  <c r="V44" i="489" s="1"/>
  <c r="G44" i="489"/>
  <c r="D44" i="489"/>
  <c r="C44" i="489"/>
  <c r="U43" i="489"/>
  <c r="T43" i="489"/>
  <c r="I43" i="489"/>
  <c r="H43" i="489"/>
  <c r="V43" i="489" s="1"/>
  <c r="G43" i="489"/>
  <c r="D43" i="489"/>
  <c r="C43" i="489"/>
  <c r="U42" i="489"/>
  <c r="T42" i="489"/>
  <c r="I42" i="489"/>
  <c r="H42" i="489"/>
  <c r="V42" i="489" s="1"/>
  <c r="G42" i="489"/>
  <c r="D42" i="489"/>
  <c r="C42" i="489"/>
  <c r="U41" i="489"/>
  <c r="T41" i="489"/>
  <c r="I41" i="489"/>
  <c r="H41" i="489"/>
  <c r="V41" i="489" s="1"/>
  <c r="G41" i="489"/>
  <c r="D41" i="489"/>
  <c r="C41" i="489"/>
  <c r="U40" i="489"/>
  <c r="T40" i="489"/>
  <c r="I40" i="489"/>
  <c r="H40" i="489"/>
  <c r="V40" i="489" s="1"/>
  <c r="G40" i="489"/>
  <c r="D40" i="489"/>
  <c r="C40" i="489"/>
  <c r="U39" i="489"/>
  <c r="T39" i="489"/>
  <c r="I39" i="489"/>
  <c r="H39" i="489"/>
  <c r="V39" i="489" s="1"/>
  <c r="G39" i="489"/>
  <c r="D39" i="489"/>
  <c r="C39" i="489"/>
  <c r="U38" i="489"/>
  <c r="T38" i="489"/>
  <c r="I38" i="489"/>
  <c r="H38" i="489"/>
  <c r="V38" i="489" s="1"/>
  <c r="G38" i="489"/>
  <c r="D38" i="489"/>
  <c r="C38" i="489"/>
  <c r="U37" i="489"/>
  <c r="T37" i="489"/>
  <c r="I37" i="489"/>
  <c r="H37" i="489"/>
  <c r="V37" i="489" s="1"/>
  <c r="G37" i="489"/>
  <c r="D37" i="489"/>
  <c r="C37" i="489"/>
  <c r="U36" i="489"/>
  <c r="T36" i="489"/>
  <c r="I36" i="489"/>
  <c r="H36" i="489"/>
  <c r="V36" i="489" s="1"/>
  <c r="G36" i="489"/>
  <c r="D36" i="489"/>
  <c r="C36" i="489"/>
  <c r="U35" i="489"/>
  <c r="T35" i="489"/>
  <c r="I35" i="489"/>
  <c r="H35" i="489"/>
  <c r="V35" i="489" s="1"/>
  <c r="G35" i="489"/>
  <c r="D35" i="489"/>
  <c r="C35" i="489"/>
  <c r="U34" i="489"/>
  <c r="T34" i="489"/>
  <c r="I34" i="489"/>
  <c r="H34" i="489"/>
  <c r="V34" i="489" s="1"/>
  <c r="G34" i="489"/>
  <c r="D34" i="489"/>
  <c r="C34" i="489"/>
  <c r="U33" i="489"/>
  <c r="T33" i="489"/>
  <c r="I33" i="489"/>
  <c r="H33" i="489"/>
  <c r="V33" i="489" s="1"/>
  <c r="G33" i="489"/>
  <c r="D33" i="489"/>
  <c r="C33" i="489"/>
  <c r="U32" i="489"/>
  <c r="T32" i="489"/>
  <c r="I32" i="489"/>
  <c r="H32" i="489"/>
  <c r="V32" i="489" s="1"/>
  <c r="G32" i="489"/>
  <c r="D32" i="489"/>
  <c r="C32" i="489"/>
  <c r="U31" i="489"/>
  <c r="T31" i="489"/>
  <c r="I31" i="489"/>
  <c r="H31" i="489"/>
  <c r="V31" i="489" s="1"/>
  <c r="G31" i="489"/>
  <c r="D31" i="489"/>
  <c r="C31" i="489"/>
  <c r="U30" i="489"/>
  <c r="T30" i="489"/>
  <c r="I30" i="489"/>
  <c r="H30" i="489"/>
  <c r="V30" i="489" s="1"/>
  <c r="G30" i="489"/>
  <c r="D30" i="489"/>
  <c r="C30" i="489"/>
  <c r="U29" i="489"/>
  <c r="T29" i="489"/>
  <c r="I29" i="489"/>
  <c r="H29" i="489"/>
  <c r="V29" i="489" s="1"/>
  <c r="G29" i="489"/>
  <c r="D29" i="489"/>
  <c r="C29" i="489"/>
  <c r="U28" i="489"/>
  <c r="T28" i="489"/>
  <c r="I28" i="489"/>
  <c r="H28" i="489"/>
  <c r="V28" i="489" s="1"/>
  <c r="G28" i="489"/>
  <c r="D28" i="489"/>
  <c r="C28" i="489"/>
  <c r="U27" i="489"/>
  <c r="T27" i="489"/>
  <c r="I27" i="489"/>
  <c r="H27" i="489"/>
  <c r="V27" i="489" s="1"/>
  <c r="G27" i="489"/>
  <c r="D27" i="489"/>
  <c r="C27" i="489"/>
  <c r="U26" i="489"/>
  <c r="T26" i="489"/>
  <c r="I26" i="489"/>
  <c r="H26" i="489"/>
  <c r="V26" i="489" s="1"/>
  <c r="G26" i="489"/>
  <c r="D26" i="489"/>
  <c r="C26" i="489"/>
  <c r="U25" i="489"/>
  <c r="T25" i="489"/>
  <c r="I25" i="489"/>
  <c r="H25" i="489"/>
  <c r="V25" i="489" s="1"/>
  <c r="G25" i="489"/>
  <c r="D25" i="489"/>
  <c r="C25" i="489"/>
  <c r="U24" i="489"/>
  <c r="T24" i="489"/>
  <c r="I24" i="489"/>
  <c r="H24" i="489"/>
  <c r="V24" i="489" s="1"/>
  <c r="G24" i="489"/>
  <c r="D24" i="489"/>
  <c r="C24" i="489"/>
  <c r="U23" i="489"/>
  <c r="T23" i="489"/>
  <c r="I23" i="489"/>
  <c r="H23" i="489"/>
  <c r="V23" i="489" s="1"/>
  <c r="G23" i="489"/>
  <c r="D23" i="489"/>
  <c r="C23" i="489"/>
  <c r="AO22" i="489"/>
  <c r="AN22" i="489"/>
  <c r="AM22" i="489"/>
  <c r="AL22" i="489"/>
  <c r="AK22" i="489"/>
  <c r="U22" i="489"/>
  <c r="T22" i="489"/>
  <c r="R22" i="489"/>
  <c r="AD22" i="489" s="1"/>
  <c r="I22" i="489"/>
  <c r="H22" i="489"/>
  <c r="V22" i="489" s="1"/>
  <c r="G22" i="489"/>
  <c r="D22" i="489"/>
  <c r="C22" i="489"/>
  <c r="AO21" i="489"/>
  <c r="AN21" i="489"/>
  <c r="AM21" i="489"/>
  <c r="AL21" i="489"/>
  <c r="AK21" i="489"/>
  <c r="U21" i="489"/>
  <c r="T21" i="489"/>
  <c r="R21" i="489"/>
  <c r="AD21" i="489" s="1"/>
  <c r="I21" i="489"/>
  <c r="H21" i="489"/>
  <c r="V21" i="489" s="1"/>
  <c r="G21" i="489"/>
  <c r="D21" i="489"/>
  <c r="C21" i="489"/>
  <c r="AO20" i="489"/>
  <c r="AN20" i="489"/>
  <c r="AM20" i="489"/>
  <c r="AL20" i="489"/>
  <c r="AK20" i="489"/>
  <c r="U20" i="489"/>
  <c r="T20" i="489"/>
  <c r="R20" i="489"/>
  <c r="AD20" i="489" s="1"/>
  <c r="I20" i="489"/>
  <c r="H20" i="489"/>
  <c r="V20" i="489" s="1"/>
  <c r="G20" i="489"/>
  <c r="D20" i="489"/>
  <c r="C20" i="489"/>
  <c r="AO19" i="489"/>
  <c r="AN19" i="489"/>
  <c r="AM19" i="489"/>
  <c r="AL19" i="489"/>
  <c r="AK19" i="489"/>
  <c r="U19" i="489"/>
  <c r="T19" i="489"/>
  <c r="R19" i="489"/>
  <c r="AD19" i="489" s="1"/>
  <c r="I19" i="489"/>
  <c r="H19" i="489"/>
  <c r="V19" i="489" s="1"/>
  <c r="G19" i="489"/>
  <c r="D19" i="489"/>
  <c r="C19" i="489"/>
  <c r="AO18" i="489"/>
  <c r="AN18" i="489"/>
  <c r="AM18" i="489"/>
  <c r="AL18" i="489"/>
  <c r="AK18" i="489"/>
  <c r="U18" i="489"/>
  <c r="T18" i="489"/>
  <c r="R18" i="489"/>
  <c r="AD18" i="489" s="1"/>
  <c r="I18" i="489"/>
  <c r="H18" i="489"/>
  <c r="V18" i="489" s="1"/>
  <c r="G18" i="489"/>
  <c r="D18" i="489"/>
  <c r="C18" i="489"/>
  <c r="AO17" i="489"/>
  <c r="AN17" i="489"/>
  <c r="AM17" i="489"/>
  <c r="AL17" i="489"/>
  <c r="AK17" i="489"/>
  <c r="U17" i="489"/>
  <c r="T17" i="489"/>
  <c r="R17" i="489"/>
  <c r="AD17" i="489" s="1"/>
  <c r="I17" i="489"/>
  <c r="H17" i="489"/>
  <c r="V17" i="489" s="1"/>
  <c r="G17" i="489"/>
  <c r="D17" i="489"/>
  <c r="C17" i="489"/>
  <c r="AO16" i="489"/>
  <c r="AN16" i="489"/>
  <c r="AM16" i="489"/>
  <c r="AL16" i="489"/>
  <c r="AK16" i="489"/>
  <c r="U16" i="489"/>
  <c r="T16" i="489"/>
  <c r="R16" i="489"/>
  <c r="AD16" i="489" s="1"/>
  <c r="I16" i="489"/>
  <c r="H16" i="489"/>
  <c r="V16" i="489" s="1"/>
  <c r="G16" i="489"/>
  <c r="D16" i="489"/>
  <c r="C16" i="489"/>
  <c r="AO15" i="489"/>
  <c r="AN15" i="489"/>
  <c r="AM15" i="489"/>
  <c r="AL15" i="489"/>
  <c r="AK15" i="489"/>
  <c r="U15" i="489"/>
  <c r="T15" i="489"/>
  <c r="R15" i="489"/>
  <c r="AD15" i="489" s="1"/>
  <c r="I15" i="489"/>
  <c r="H15" i="489"/>
  <c r="V15" i="489" s="1"/>
  <c r="G15" i="489"/>
  <c r="D15" i="489"/>
  <c r="C15" i="489"/>
  <c r="AO14" i="489"/>
  <c r="AN14" i="489"/>
  <c r="AM14" i="489"/>
  <c r="AL14" i="489"/>
  <c r="AK14" i="489"/>
  <c r="U14" i="489"/>
  <c r="T14" i="489"/>
  <c r="R14" i="489"/>
  <c r="R11" i="489" s="1"/>
  <c r="I14" i="489"/>
  <c r="H14" i="489"/>
  <c r="V14" i="489" s="1"/>
  <c r="G14" i="489"/>
  <c r="D14" i="489"/>
  <c r="C14" i="489"/>
  <c r="AO13" i="489"/>
  <c r="AN13" i="489"/>
  <c r="AM13" i="489"/>
  <c r="AL13" i="489"/>
  <c r="AK13" i="489"/>
  <c r="U13" i="489"/>
  <c r="T13" i="489"/>
  <c r="R13" i="489"/>
  <c r="AD13" i="489" s="1"/>
  <c r="I13" i="489"/>
  <c r="H13" i="489"/>
  <c r="V13" i="489" s="1"/>
  <c r="G13" i="489"/>
  <c r="D13" i="489"/>
  <c r="C13" i="489"/>
  <c r="U12" i="489"/>
  <c r="T12" i="489"/>
  <c r="I12" i="489"/>
  <c r="H12" i="489"/>
  <c r="V12" i="489" s="1"/>
  <c r="G12" i="489"/>
  <c r="D12" i="489"/>
  <c r="C12" i="489"/>
  <c r="U11" i="489"/>
  <c r="T11" i="489"/>
  <c r="I11" i="489"/>
  <c r="H11" i="489"/>
  <c r="V11" i="489" s="1"/>
  <c r="G11" i="489"/>
  <c r="D11" i="489"/>
  <c r="C11" i="489"/>
  <c r="U10" i="489"/>
  <c r="T10" i="489"/>
  <c r="I10" i="489"/>
  <c r="H10" i="489"/>
  <c r="V10" i="489" s="1"/>
  <c r="G10" i="489"/>
  <c r="D10" i="489"/>
  <c r="C10" i="489"/>
  <c r="U9" i="489"/>
  <c r="T9" i="489"/>
  <c r="I9" i="489"/>
  <c r="H9" i="489"/>
  <c r="V9" i="489" s="1"/>
  <c r="G9" i="489"/>
  <c r="D9" i="489"/>
  <c r="C9" i="489"/>
  <c r="AO8" i="489"/>
  <c r="AN8" i="489"/>
  <c r="AM8" i="489"/>
  <c r="AL8" i="489"/>
  <c r="AC8" i="489"/>
  <c r="AB8" i="489"/>
  <c r="AA8" i="489"/>
  <c r="Z8" i="489"/>
  <c r="Y8" i="489"/>
  <c r="AG9" i="489" s="1"/>
  <c r="U8" i="489"/>
  <c r="T8" i="489"/>
  <c r="I8" i="489"/>
  <c r="H8" i="489"/>
  <c r="V8" i="489" s="1"/>
  <c r="G8" i="489"/>
  <c r="D8" i="489"/>
  <c r="C8" i="489"/>
  <c r="AG7" i="489"/>
  <c r="U7" i="489"/>
  <c r="T7" i="489"/>
  <c r="I7" i="489"/>
  <c r="H7" i="489"/>
  <c r="V7" i="489" s="1"/>
  <c r="G7" i="489"/>
  <c r="D7" i="489"/>
  <c r="C7" i="489"/>
  <c r="U6" i="489"/>
  <c r="T6" i="489"/>
  <c r="I6" i="489"/>
  <c r="H6" i="489"/>
  <c r="V6" i="489" s="1"/>
  <c r="G6" i="489"/>
  <c r="D6" i="489"/>
  <c r="C6" i="489"/>
  <c r="AK8" i="489" s="1"/>
  <c r="AJ5" i="489"/>
  <c r="AA7" i="489" s="1"/>
  <c r="AI5" i="489"/>
  <c r="Y22" i="489" s="1"/>
  <c r="AG3" i="489"/>
  <c r="C2" i="489" a="1"/>
  <c r="C2" i="489" s="1"/>
  <c r="B2" i="489" a="1"/>
  <c r="B2" i="489" s="1"/>
  <c r="C1" i="489"/>
  <c r="B1" i="489"/>
  <c r="U105" i="488"/>
  <c r="T105" i="488"/>
  <c r="I105" i="488"/>
  <c r="H105" i="488"/>
  <c r="V105" i="488" s="1"/>
  <c r="G105" i="488"/>
  <c r="D105" i="488"/>
  <c r="C105" i="488"/>
  <c r="U104" i="488"/>
  <c r="T104" i="488"/>
  <c r="I104" i="488"/>
  <c r="H104" i="488"/>
  <c r="V104" i="488" s="1"/>
  <c r="G104" i="488"/>
  <c r="D104" i="488"/>
  <c r="C104" i="488"/>
  <c r="U103" i="488"/>
  <c r="T103" i="488"/>
  <c r="I103" i="488"/>
  <c r="H103" i="488"/>
  <c r="V103" i="488" s="1"/>
  <c r="G103" i="488"/>
  <c r="D103" i="488"/>
  <c r="C103" i="488"/>
  <c r="U102" i="488"/>
  <c r="T102" i="488"/>
  <c r="I102" i="488"/>
  <c r="H102" i="488"/>
  <c r="V102" i="488" s="1"/>
  <c r="G102" i="488"/>
  <c r="D102" i="488"/>
  <c r="C102" i="488"/>
  <c r="U101" i="488"/>
  <c r="T101" i="488"/>
  <c r="I101" i="488"/>
  <c r="H101" i="488"/>
  <c r="V101" i="488" s="1"/>
  <c r="G101" i="488"/>
  <c r="D101" i="488"/>
  <c r="C101" i="488"/>
  <c r="U100" i="488"/>
  <c r="T100" i="488"/>
  <c r="I100" i="488"/>
  <c r="H100" i="488"/>
  <c r="V100" i="488" s="1"/>
  <c r="G100" i="488"/>
  <c r="D100" i="488"/>
  <c r="C100" i="488"/>
  <c r="U99" i="488"/>
  <c r="T99" i="488"/>
  <c r="I99" i="488"/>
  <c r="H99" i="488"/>
  <c r="V99" i="488" s="1"/>
  <c r="G99" i="488"/>
  <c r="D99" i="488"/>
  <c r="C99" i="488"/>
  <c r="U98" i="488"/>
  <c r="T98" i="488"/>
  <c r="I98" i="488"/>
  <c r="H98" i="488"/>
  <c r="V98" i="488" s="1"/>
  <c r="G98" i="488"/>
  <c r="D98" i="488"/>
  <c r="C98" i="488"/>
  <c r="U97" i="488"/>
  <c r="T97" i="488"/>
  <c r="I97" i="488"/>
  <c r="H97" i="488"/>
  <c r="V97" i="488" s="1"/>
  <c r="G97" i="488"/>
  <c r="D97" i="488"/>
  <c r="C97" i="488"/>
  <c r="U96" i="488"/>
  <c r="T96" i="488"/>
  <c r="I96" i="488"/>
  <c r="H96" i="488"/>
  <c r="V96" i="488" s="1"/>
  <c r="G96" i="488"/>
  <c r="D96" i="488"/>
  <c r="C96" i="488"/>
  <c r="U95" i="488"/>
  <c r="T95" i="488"/>
  <c r="I95" i="488"/>
  <c r="H95" i="488"/>
  <c r="V95" i="488" s="1"/>
  <c r="G95" i="488"/>
  <c r="D95" i="488"/>
  <c r="C95" i="488"/>
  <c r="U94" i="488"/>
  <c r="T94" i="488"/>
  <c r="I94" i="488"/>
  <c r="H94" i="488"/>
  <c r="V94" i="488" s="1"/>
  <c r="G94" i="488"/>
  <c r="D94" i="488"/>
  <c r="C94" i="488"/>
  <c r="U93" i="488"/>
  <c r="T93" i="488"/>
  <c r="I93" i="488"/>
  <c r="H93" i="488"/>
  <c r="V93" i="488" s="1"/>
  <c r="G93" i="488"/>
  <c r="D93" i="488"/>
  <c r="C93" i="488"/>
  <c r="U92" i="488"/>
  <c r="T92" i="488"/>
  <c r="I92" i="488"/>
  <c r="H92" i="488"/>
  <c r="V92" i="488" s="1"/>
  <c r="G92" i="488"/>
  <c r="D92" i="488"/>
  <c r="C92" i="488"/>
  <c r="U91" i="488"/>
  <c r="T91" i="488"/>
  <c r="I91" i="488"/>
  <c r="H91" i="488"/>
  <c r="V91" i="488" s="1"/>
  <c r="G91" i="488"/>
  <c r="D91" i="488"/>
  <c r="C91" i="488"/>
  <c r="U90" i="488"/>
  <c r="T90" i="488"/>
  <c r="I90" i="488"/>
  <c r="H90" i="488"/>
  <c r="V90" i="488" s="1"/>
  <c r="G90" i="488"/>
  <c r="D90" i="488"/>
  <c r="C90" i="488"/>
  <c r="U89" i="488"/>
  <c r="T89" i="488"/>
  <c r="I89" i="488"/>
  <c r="H89" i="488"/>
  <c r="V89" i="488" s="1"/>
  <c r="G89" i="488"/>
  <c r="D89" i="488"/>
  <c r="C89" i="488"/>
  <c r="U88" i="488"/>
  <c r="T88" i="488"/>
  <c r="I88" i="488"/>
  <c r="H88" i="488"/>
  <c r="V88" i="488" s="1"/>
  <c r="G88" i="488"/>
  <c r="D88" i="488"/>
  <c r="C88" i="488"/>
  <c r="U87" i="488"/>
  <c r="T87" i="488"/>
  <c r="I87" i="488"/>
  <c r="H87" i="488"/>
  <c r="V87" i="488" s="1"/>
  <c r="G87" i="488"/>
  <c r="D87" i="488"/>
  <c r="C87" i="488"/>
  <c r="U86" i="488"/>
  <c r="T86" i="488"/>
  <c r="I86" i="488"/>
  <c r="H86" i="488"/>
  <c r="V86" i="488" s="1"/>
  <c r="G86" i="488"/>
  <c r="D86" i="488"/>
  <c r="C86" i="488"/>
  <c r="U85" i="488"/>
  <c r="T85" i="488"/>
  <c r="I85" i="488"/>
  <c r="H85" i="488"/>
  <c r="V85" i="488" s="1"/>
  <c r="G85" i="488"/>
  <c r="D85" i="488"/>
  <c r="C85" i="488"/>
  <c r="U84" i="488"/>
  <c r="T84" i="488"/>
  <c r="I84" i="488"/>
  <c r="H84" i="488"/>
  <c r="V84" i="488" s="1"/>
  <c r="G84" i="488"/>
  <c r="D84" i="488"/>
  <c r="C84" i="488"/>
  <c r="U83" i="488"/>
  <c r="T83" i="488"/>
  <c r="I83" i="488"/>
  <c r="H83" i="488"/>
  <c r="V83" i="488" s="1"/>
  <c r="G83" i="488"/>
  <c r="D83" i="488"/>
  <c r="C83" i="488"/>
  <c r="U82" i="488"/>
  <c r="T82" i="488"/>
  <c r="I82" i="488"/>
  <c r="H82" i="488"/>
  <c r="V82" i="488" s="1"/>
  <c r="G82" i="488"/>
  <c r="D82" i="488"/>
  <c r="C82" i="488"/>
  <c r="U81" i="488"/>
  <c r="T81" i="488"/>
  <c r="I81" i="488"/>
  <c r="H81" i="488"/>
  <c r="V81" i="488" s="1"/>
  <c r="G81" i="488"/>
  <c r="D81" i="488"/>
  <c r="C81" i="488"/>
  <c r="U80" i="488"/>
  <c r="T80" i="488"/>
  <c r="I80" i="488"/>
  <c r="H80" i="488"/>
  <c r="V80" i="488" s="1"/>
  <c r="G80" i="488"/>
  <c r="D80" i="488"/>
  <c r="C80" i="488"/>
  <c r="U79" i="488"/>
  <c r="T79" i="488"/>
  <c r="I79" i="488"/>
  <c r="H79" i="488"/>
  <c r="V79" i="488" s="1"/>
  <c r="G79" i="488"/>
  <c r="D79" i="488"/>
  <c r="C79" i="488"/>
  <c r="U78" i="488"/>
  <c r="T78" i="488"/>
  <c r="I78" i="488"/>
  <c r="H78" i="488"/>
  <c r="V78" i="488" s="1"/>
  <c r="G78" i="488"/>
  <c r="D78" i="488"/>
  <c r="C78" i="488"/>
  <c r="U77" i="488"/>
  <c r="T77" i="488"/>
  <c r="I77" i="488"/>
  <c r="H77" i="488"/>
  <c r="V77" i="488" s="1"/>
  <c r="G77" i="488"/>
  <c r="D77" i="488"/>
  <c r="C77" i="488"/>
  <c r="U76" i="488"/>
  <c r="T76" i="488"/>
  <c r="I76" i="488"/>
  <c r="H76" i="488"/>
  <c r="V76" i="488" s="1"/>
  <c r="G76" i="488"/>
  <c r="D76" i="488"/>
  <c r="C76" i="488"/>
  <c r="U75" i="488"/>
  <c r="T75" i="488"/>
  <c r="I75" i="488"/>
  <c r="H75" i="488"/>
  <c r="V75" i="488" s="1"/>
  <c r="G75" i="488"/>
  <c r="D75" i="488"/>
  <c r="C75" i="488"/>
  <c r="AB74" i="488"/>
  <c r="AA74" i="488"/>
  <c r="Z74" i="488"/>
  <c r="Y74" i="488"/>
  <c r="X74" i="488"/>
  <c r="U74" i="488"/>
  <c r="T74" i="488"/>
  <c r="I74" i="488"/>
  <c r="H74" i="488"/>
  <c r="V74" i="488" s="1"/>
  <c r="G74" i="488"/>
  <c r="D74" i="488"/>
  <c r="C74" i="488"/>
  <c r="AB73" i="488"/>
  <c r="AA73" i="488"/>
  <c r="Z73" i="488"/>
  <c r="Y73" i="488"/>
  <c r="X73" i="488"/>
  <c r="U73" i="488"/>
  <c r="T73" i="488"/>
  <c r="I73" i="488"/>
  <c r="H73" i="488"/>
  <c r="V73" i="488" s="1"/>
  <c r="G73" i="488"/>
  <c r="D73" i="488"/>
  <c r="C73" i="488"/>
  <c r="AB72" i="488"/>
  <c r="AA72" i="488"/>
  <c r="Z72" i="488"/>
  <c r="Y72" i="488"/>
  <c r="X72" i="488"/>
  <c r="U72" i="488"/>
  <c r="T72" i="488"/>
  <c r="I72" i="488"/>
  <c r="H72" i="488"/>
  <c r="V72" i="488" s="1"/>
  <c r="G72" i="488"/>
  <c r="D72" i="488"/>
  <c r="C72" i="488"/>
  <c r="AB71" i="488"/>
  <c r="AA71" i="488"/>
  <c r="Z71" i="488"/>
  <c r="Y71" i="488"/>
  <c r="X71" i="488"/>
  <c r="U71" i="488"/>
  <c r="T71" i="488"/>
  <c r="I71" i="488"/>
  <c r="H71" i="488"/>
  <c r="V71" i="488" s="1"/>
  <c r="G71" i="488"/>
  <c r="D71" i="488"/>
  <c r="C71" i="488"/>
  <c r="AB70" i="488"/>
  <c r="AA70" i="488"/>
  <c r="Z70" i="488"/>
  <c r="Y70" i="488"/>
  <c r="X70" i="488"/>
  <c r="U70" i="488"/>
  <c r="T70" i="488"/>
  <c r="I70" i="488"/>
  <c r="H70" i="488"/>
  <c r="V70" i="488" s="1"/>
  <c r="G70" i="488"/>
  <c r="D70" i="488"/>
  <c r="C70" i="488"/>
  <c r="AB69" i="488"/>
  <c r="AA69" i="488"/>
  <c r="Z69" i="488"/>
  <c r="Y69" i="488"/>
  <c r="X69" i="488"/>
  <c r="U69" i="488"/>
  <c r="T69" i="488"/>
  <c r="I69" i="488"/>
  <c r="H69" i="488"/>
  <c r="V69" i="488" s="1"/>
  <c r="G69" i="488"/>
  <c r="D69" i="488"/>
  <c r="C69" i="488"/>
  <c r="AB68" i="488"/>
  <c r="AA68" i="488"/>
  <c r="Z68" i="488"/>
  <c r="Y68" i="488"/>
  <c r="X68" i="488"/>
  <c r="U68" i="488"/>
  <c r="T68" i="488"/>
  <c r="I68" i="488"/>
  <c r="H68" i="488"/>
  <c r="V68" i="488" s="1"/>
  <c r="G68" i="488"/>
  <c r="D68" i="488"/>
  <c r="C68" i="488"/>
  <c r="AB67" i="488"/>
  <c r="AA67" i="488"/>
  <c r="Z67" i="488"/>
  <c r="Y67" i="488"/>
  <c r="X67" i="488"/>
  <c r="U67" i="488"/>
  <c r="T67" i="488"/>
  <c r="I67" i="488"/>
  <c r="H67" i="488"/>
  <c r="V67" i="488" s="1"/>
  <c r="G67" i="488"/>
  <c r="D67" i="488"/>
  <c r="C67" i="488"/>
  <c r="AB66" i="488"/>
  <c r="AA66" i="488"/>
  <c r="Z66" i="488"/>
  <c r="Y66" i="488"/>
  <c r="X66" i="488"/>
  <c r="U66" i="488"/>
  <c r="T66" i="488"/>
  <c r="I66" i="488"/>
  <c r="H66" i="488"/>
  <c r="V66" i="488" s="1"/>
  <c r="G66" i="488"/>
  <c r="D66" i="488"/>
  <c r="C66" i="488"/>
  <c r="AB65" i="488"/>
  <c r="AA65" i="488"/>
  <c r="Z65" i="488"/>
  <c r="Y65" i="488"/>
  <c r="X65" i="488"/>
  <c r="U65" i="488"/>
  <c r="T65" i="488"/>
  <c r="I65" i="488"/>
  <c r="H65" i="488"/>
  <c r="V65" i="488" s="1"/>
  <c r="G65" i="488"/>
  <c r="D65" i="488"/>
  <c r="C65" i="488"/>
  <c r="U64" i="488"/>
  <c r="T64" i="488"/>
  <c r="I64" i="488"/>
  <c r="H64" i="488"/>
  <c r="V64" i="488" s="1"/>
  <c r="G64" i="488"/>
  <c r="D64" i="488"/>
  <c r="C64" i="488"/>
  <c r="U63" i="488"/>
  <c r="T63" i="488"/>
  <c r="I63" i="488"/>
  <c r="H63" i="488"/>
  <c r="V63" i="488" s="1"/>
  <c r="G63" i="488"/>
  <c r="D63" i="488"/>
  <c r="C63" i="488"/>
  <c r="U62" i="488"/>
  <c r="T62" i="488"/>
  <c r="I62" i="488"/>
  <c r="H62" i="488"/>
  <c r="V62" i="488" s="1"/>
  <c r="G62" i="488"/>
  <c r="D62" i="488"/>
  <c r="C62" i="488"/>
  <c r="AB61" i="488"/>
  <c r="AA61" i="488"/>
  <c r="Z61" i="488"/>
  <c r="Y61" i="488"/>
  <c r="X61" i="488"/>
  <c r="U61" i="488"/>
  <c r="T61" i="488"/>
  <c r="I61" i="488"/>
  <c r="H61" i="488"/>
  <c r="V61" i="488" s="1"/>
  <c r="G61" i="488"/>
  <c r="D61" i="488"/>
  <c r="C61" i="488"/>
  <c r="AB60" i="488"/>
  <c r="AA60" i="488"/>
  <c r="Z60" i="488"/>
  <c r="Y60" i="488"/>
  <c r="X60" i="488"/>
  <c r="U60" i="488"/>
  <c r="T60" i="488"/>
  <c r="I60" i="488"/>
  <c r="H60" i="488"/>
  <c r="V60" i="488" s="1"/>
  <c r="G60" i="488"/>
  <c r="D60" i="488"/>
  <c r="C60" i="488"/>
  <c r="AB59" i="488"/>
  <c r="AA59" i="488"/>
  <c r="Z59" i="488"/>
  <c r="Y59" i="488"/>
  <c r="X59" i="488"/>
  <c r="U59" i="488"/>
  <c r="T59" i="488"/>
  <c r="I59" i="488"/>
  <c r="H59" i="488"/>
  <c r="V59" i="488" s="1"/>
  <c r="G59" i="488"/>
  <c r="D59" i="488"/>
  <c r="C59" i="488"/>
  <c r="AB58" i="488"/>
  <c r="AA58" i="488"/>
  <c r="Z58" i="488"/>
  <c r="Y58" i="488"/>
  <c r="X58" i="488"/>
  <c r="U58" i="488"/>
  <c r="T58" i="488"/>
  <c r="I58" i="488"/>
  <c r="H58" i="488"/>
  <c r="V58" i="488" s="1"/>
  <c r="G58" i="488"/>
  <c r="D58" i="488"/>
  <c r="C58" i="488"/>
  <c r="AB57" i="488"/>
  <c r="AA57" i="488"/>
  <c r="Z57" i="488"/>
  <c r="Y57" i="488"/>
  <c r="X57" i="488"/>
  <c r="U57" i="488"/>
  <c r="T57" i="488"/>
  <c r="I57" i="488"/>
  <c r="H57" i="488"/>
  <c r="V57" i="488" s="1"/>
  <c r="G57" i="488"/>
  <c r="D57" i="488"/>
  <c r="C57" i="488"/>
  <c r="AB56" i="488"/>
  <c r="AA56" i="488"/>
  <c r="Z56" i="488"/>
  <c r="Y56" i="488"/>
  <c r="X56" i="488"/>
  <c r="U56" i="488"/>
  <c r="T56" i="488"/>
  <c r="I56" i="488"/>
  <c r="H56" i="488"/>
  <c r="V56" i="488" s="1"/>
  <c r="G56" i="488"/>
  <c r="D56" i="488"/>
  <c r="C56" i="488"/>
  <c r="AB55" i="488"/>
  <c r="AA55" i="488"/>
  <c r="Z55" i="488"/>
  <c r="Y55" i="488"/>
  <c r="X55" i="488"/>
  <c r="U55" i="488"/>
  <c r="T55" i="488"/>
  <c r="I55" i="488"/>
  <c r="H55" i="488"/>
  <c r="V55" i="488" s="1"/>
  <c r="G55" i="488"/>
  <c r="D55" i="488"/>
  <c r="C55" i="488"/>
  <c r="AB54" i="488"/>
  <c r="AA54" i="488"/>
  <c r="Z54" i="488"/>
  <c r="Y54" i="488"/>
  <c r="X54" i="488"/>
  <c r="U54" i="488"/>
  <c r="T54" i="488"/>
  <c r="I54" i="488"/>
  <c r="H54" i="488"/>
  <c r="V54" i="488" s="1"/>
  <c r="G54" i="488"/>
  <c r="D54" i="488"/>
  <c r="C54" i="488"/>
  <c r="AB53" i="488"/>
  <c r="AA53" i="488"/>
  <c r="Z53" i="488"/>
  <c r="Y53" i="488"/>
  <c r="X53" i="488"/>
  <c r="U53" i="488"/>
  <c r="T53" i="488"/>
  <c r="I53" i="488"/>
  <c r="H53" i="488"/>
  <c r="V53" i="488" s="1"/>
  <c r="G53" i="488"/>
  <c r="D53" i="488"/>
  <c r="C53" i="488"/>
  <c r="AB52" i="488"/>
  <c r="AA52" i="488"/>
  <c r="Z52" i="488"/>
  <c r="Y52" i="488"/>
  <c r="X52" i="488"/>
  <c r="U52" i="488"/>
  <c r="T52" i="488"/>
  <c r="I52" i="488"/>
  <c r="H52" i="488"/>
  <c r="V52" i="488" s="1"/>
  <c r="G52" i="488"/>
  <c r="D52" i="488"/>
  <c r="C52" i="488"/>
  <c r="U51" i="488"/>
  <c r="T51" i="488"/>
  <c r="I51" i="488"/>
  <c r="H51" i="488"/>
  <c r="V51" i="488" s="1"/>
  <c r="G51" i="488"/>
  <c r="D51" i="488"/>
  <c r="C51" i="488"/>
  <c r="U50" i="488"/>
  <c r="T50" i="488"/>
  <c r="I50" i="488"/>
  <c r="H50" i="488"/>
  <c r="V50" i="488" s="1"/>
  <c r="G50" i="488"/>
  <c r="D50" i="488"/>
  <c r="C50" i="488"/>
  <c r="U49" i="488"/>
  <c r="T49" i="488"/>
  <c r="I49" i="488"/>
  <c r="H49" i="488"/>
  <c r="V49" i="488" s="1"/>
  <c r="G49" i="488"/>
  <c r="D49" i="488"/>
  <c r="C49" i="488"/>
  <c r="U48" i="488"/>
  <c r="T48" i="488"/>
  <c r="I48" i="488"/>
  <c r="H48" i="488"/>
  <c r="V48" i="488" s="1"/>
  <c r="G48" i="488"/>
  <c r="D48" i="488"/>
  <c r="C48" i="488"/>
  <c r="U47" i="488"/>
  <c r="T47" i="488"/>
  <c r="I47" i="488"/>
  <c r="H47" i="488"/>
  <c r="V47" i="488" s="1"/>
  <c r="G47" i="488"/>
  <c r="D47" i="488"/>
  <c r="C47" i="488"/>
  <c r="U46" i="488"/>
  <c r="T46" i="488"/>
  <c r="I46" i="488"/>
  <c r="H46" i="488"/>
  <c r="V46" i="488" s="1"/>
  <c r="G46" i="488"/>
  <c r="D46" i="488"/>
  <c r="C46" i="488"/>
  <c r="U45" i="488"/>
  <c r="T45" i="488"/>
  <c r="I45" i="488"/>
  <c r="H45" i="488"/>
  <c r="V45" i="488" s="1"/>
  <c r="G45" i="488"/>
  <c r="D45" i="488"/>
  <c r="C45" i="488"/>
  <c r="U44" i="488"/>
  <c r="T44" i="488"/>
  <c r="I44" i="488"/>
  <c r="H44" i="488"/>
  <c r="V44" i="488" s="1"/>
  <c r="G44" i="488"/>
  <c r="D44" i="488"/>
  <c r="C44" i="488"/>
  <c r="U43" i="488"/>
  <c r="T43" i="488"/>
  <c r="I43" i="488"/>
  <c r="H43" i="488"/>
  <c r="V43" i="488" s="1"/>
  <c r="G43" i="488"/>
  <c r="D43" i="488"/>
  <c r="C43" i="488"/>
  <c r="U42" i="488"/>
  <c r="T42" i="488"/>
  <c r="I42" i="488"/>
  <c r="H42" i="488"/>
  <c r="V42" i="488" s="1"/>
  <c r="G42" i="488"/>
  <c r="D42" i="488"/>
  <c r="C42" i="488"/>
  <c r="U41" i="488"/>
  <c r="T41" i="488"/>
  <c r="I41" i="488"/>
  <c r="H41" i="488"/>
  <c r="V41" i="488" s="1"/>
  <c r="G41" i="488"/>
  <c r="D41" i="488"/>
  <c r="C41" i="488"/>
  <c r="U40" i="488"/>
  <c r="T40" i="488"/>
  <c r="I40" i="488"/>
  <c r="H40" i="488"/>
  <c r="V40" i="488" s="1"/>
  <c r="G40" i="488"/>
  <c r="D40" i="488"/>
  <c r="C40" i="488"/>
  <c r="U39" i="488"/>
  <c r="T39" i="488"/>
  <c r="I39" i="488"/>
  <c r="H39" i="488"/>
  <c r="V39" i="488" s="1"/>
  <c r="G39" i="488"/>
  <c r="D39" i="488"/>
  <c r="C39" i="488"/>
  <c r="U38" i="488"/>
  <c r="T38" i="488"/>
  <c r="I38" i="488"/>
  <c r="H38" i="488"/>
  <c r="V38" i="488" s="1"/>
  <c r="G38" i="488"/>
  <c r="D38" i="488"/>
  <c r="C38" i="488"/>
  <c r="U37" i="488"/>
  <c r="T37" i="488"/>
  <c r="I37" i="488"/>
  <c r="H37" i="488"/>
  <c r="V37" i="488" s="1"/>
  <c r="G37" i="488"/>
  <c r="D37" i="488"/>
  <c r="C37" i="488"/>
  <c r="U36" i="488"/>
  <c r="T36" i="488"/>
  <c r="I36" i="488"/>
  <c r="H36" i="488"/>
  <c r="V36" i="488" s="1"/>
  <c r="G36" i="488"/>
  <c r="D36" i="488"/>
  <c r="C36" i="488"/>
  <c r="U35" i="488"/>
  <c r="T35" i="488"/>
  <c r="I35" i="488"/>
  <c r="H35" i="488"/>
  <c r="V35" i="488" s="1"/>
  <c r="G35" i="488"/>
  <c r="D35" i="488"/>
  <c r="C35" i="488"/>
  <c r="U34" i="488"/>
  <c r="T34" i="488"/>
  <c r="I34" i="488"/>
  <c r="H34" i="488"/>
  <c r="V34" i="488" s="1"/>
  <c r="G34" i="488"/>
  <c r="D34" i="488"/>
  <c r="C34" i="488"/>
  <c r="U33" i="488"/>
  <c r="T33" i="488"/>
  <c r="I33" i="488"/>
  <c r="H33" i="488"/>
  <c r="V33" i="488" s="1"/>
  <c r="G33" i="488"/>
  <c r="D33" i="488"/>
  <c r="C33" i="488"/>
  <c r="U32" i="488"/>
  <c r="T32" i="488"/>
  <c r="I32" i="488"/>
  <c r="H32" i="488"/>
  <c r="V32" i="488" s="1"/>
  <c r="G32" i="488"/>
  <c r="D32" i="488"/>
  <c r="C32" i="488"/>
  <c r="U31" i="488"/>
  <c r="T31" i="488"/>
  <c r="I31" i="488"/>
  <c r="H31" i="488"/>
  <c r="V31" i="488" s="1"/>
  <c r="G31" i="488"/>
  <c r="D31" i="488"/>
  <c r="C31" i="488"/>
  <c r="U30" i="488"/>
  <c r="T30" i="488"/>
  <c r="I30" i="488"/>
  <c r="H30" i="488"/>
  <c r="V30" i="488" s="1"/>
  <c r="G30" i="488"/>
  <c r="D30" i="488"/>
  <c r="C30" i="488"/>
  <c r="U29" i="488"/>
  <c r="T29" i="488"/>
  <c r="I29" i="488"/>
  <c r="H29" i="488"/>
  <c r="V29" i="488" s="1"/>
  <c r="G29" i="488"/>
  <c r="D29" i="488"/>
  <c r="C29" i="488"/>
  <c r="U28" i="488"/>
  <c r="T28" i="488"/>
  <c r="I28" i="488"/>
  <c r="H28" i="488"/>
  <c r="V28" i="488" s="1"/>
  <c r="G28" i="488"/>
  <c r="D28" i="488"/>
  <c r="C28" i="488"/>
  <c r="U27" i="488"/>
  <c r="T27" i="488"/>
  <c r="I27" i="488"/>
  <c r="H27" i="488"/>
  <c r="V27" i="488" s="1"/>
  <c r="G27" i="488"/>
  <c r="D27" i="488"/>
  <c r="C27" i="488"/>
  <c r="U26" i="488"/>
  <c r="T26" i="488"/>
  <c r="I26" i="488"/>
  <c r="H26" i="488"/>
  <c r="V26" i="488" s="1"/>
  <c r="G26" i="488"/>
  <c r="D26" i="488"/>
  <c r="C26" i="488"/>
  <c r="U25" i="488"/>
  <c r="T25" i="488"/>
  <c r="I25" i="488"/>
  <c r="H25" i="488"/>
  <c r="V25" i="488" s="1"/>
  <c r="G25" i="488"/>
  <c r="D25" i="488"/>
  <c r="C25" i="488"/>
  <c r="U24" i="488"/>
  <c r="T24" i="488"/>
  <c r="I24" i="488"/>
  <c r="H24" i="488"/>
  <c r="V24" i="488" s="1"/>
  <c r="G24" i="488"/>
  <c r="D24" i="488"/>
  <c r="C24" i="488"/>
  <c r="U23" i="488"/>
  <c r="T23" i="488"/>
  <c r="I23" i="488"/>
  <c r="H23" i="488"/>
  <c r="V23" i="488" s="1"/>
  <c r="G23" i="488"/>
  <c r="D23" i="488"/>
  <c r="C23" i="488"/>
  <c r="AO22" i="488"/>
  <c r="AN22" i="488"/>
  <c r="AM22" i="488"/>
  <c r="AL22" i="488"/>
  <c r="AK22" i="488"/>
  <c r="U22" i="488"/>
  <c r="T22" i="488"/>
  <c r="R22" i="488"/>
  <c r="I22" i="488"/>
  <c r="H22" i="488"/>
  <c r="V22" i="488" s="1"/>
  <c r="G22" i="488"/>
  <c r="D22" i="488"/>
  <c r="C22" i="488"/>
  <c r="AO21" i="488"/>
  <c r="AN21" i="488"/>
  <c r="AM21" i="488"/>
  <c r="AL21" i="488"/>
  <c r="AK21" i="488"/>
  <c r="U21" i="488"/>
  <c r="T21" i="488"/>
  <c r="R21" i="488"/>
  <c r="I21" i="488"/>
  <c r="H21" i="488"/>
  <c r="V21" i="488" s="1"/>
  <c r="G21" i="488"/>
  <c r="D21" i="488"/>
  <c r="C21" i="488"/>
  <c r="AO20" i="488"/>
  <c r="AN20" i="488"/>
  <c r="AM20" i="488"/>
  <c r="AL20" i="488"/>
  <c r="AK20" i="488"/>
  <c r="U20" i="488"/>
  <c r="T20" i="488"/>
  <c r="R20" i="488"/>
  <c r="I20" i="488"/>
  <c r="H20" i="488"/>
  <c r="V20" i="488" s="1"/>
  <c r="G20" i="488"/>
  <c r="D20" i="488"/>
  <c r="C20" i="488"/>
  <c r="AO19" i="488"/>
  <c r="AN19" i="488"/>
  <c r="AM19" i="488"/>
  <c r="AL19" i="488"/>
  <c r="AK19" i="488"/>
  <c r="U19" i="488"/>
  <c r="T19" i="488"/>
  <c r="R19" i="488"/>
  <c r="I19" i="488"/>
  <c r="H19" i="488"/>
  <c r="V19" i="488" s="1"/>
  <c r="G19" i="488"/>
  <c r="D19" i="488"/>
  <c r="C19" i="488"/>
  <c r="AO18" i="488"/>
  <c r="AN18" i="488"/>
  <c r="AM18" i="488"/>
  <c r="AL18" i="488"/>
  <c r="AK18" i="488"/>
  <c r="U18" i="488"/>
  <c r="T18" i="488"/>
  <c r="R18" i="488"/>
  <c r="I18" i="488"/>
  <c r="H18" i="488"/>
  <c r="V18" i="488" s="1"/>
  <c r="G18" i="488"/>
  <c r="D18" i="488"/>
  <c r="C18" i="488"/>
  <c r="AO17" i="488"/>
  <c r="AN17" i="488"/>
  <c r="AM17" i="488"/>
  <c r="AL17" i="488"/>
  <c r="AK17" i="488"/>
  <c r="U17" i="488"/>
  <c r="T17" i="488"/>
  <c r="R17" i="488"/>
  <c r="I17" i="488"/>
  <c r="H17" i="488"/>
  <c r="V17" i="488" s="1"/>
  <c r="G17" i="488"/>
  <c r="D17" i="488"/>
  <c r="C17" i="488"/>
  <c r="AO16" i="488"/>
  <c r="AN16" i="488"/>
  <c r="AM16" i="488"/>
  <c r="AL16" i="488"/>
  <c r="AK16" i="488"/>
  <c r="U16" i="488"/>
  <c r="T16" i="488"/>
  <c r="R16" i="488"/>
  <c r="I16" i="488"/>
  <c r="H16" i="488"/>
  <c r="V16" i="488" s="1"/>
  <c r="G16" i="488"/>
  <c r="D16" i="488"/>
  <c r="C16" i="488"/>
  <c r="AO15" i="488"/>
  <c r="AN15" i="488"/>
  <c r="AM15" i="488"/>
  <c r="AL15" i="488"/>
  <c r="AK15" i="488"/>
  <c r="U15" i="488"/>
  <c r="T15" i="488"/>
  <c r="R15" i="488"/>
  <c r="I15" i="488"/>
  <c r="H15" i="488"/>
  <c r="V15" i="488" s="1"/>
  <c r="G15" i="488"/>
  <c r="D15" i="488"/>
  <c r="C15" i="488"/>
  <c r="AO14" i="488"/>
  <c r="AN14" i="488"/>
  <c r="AM14" i="488"/>
  <c r="AL14" i="488"/>
  <c r="U14" i="488"/>
  <c r="T14" i="488"/>
  <c r="R14" i="488"/>
  <c r="AD15" i="488" s="1"/>
  <c r="I14" i="488"/>
  <c r="H14" i="488"/>
  <c r="V14" i="488" s="1"/>
  <c r="G14" i="488"/>
  <c r="D14" i="488"/>
  <c r="C14" i="488"/>
  <c r="AO13" i="488"/>
  <c r="AN13" i="488"/>
  <c r="AM13" i="488"/>
  <c r="U13" i="488"/>
  <c r="T13" i="488"/>
  <c r="R13" i="488"/>
  <c r="I13" i="488"/>
  <c r="H13" i="488"/>
  <c r="V13" i="488" s="1"/>
  <c r="G13" i="488"/>
  <c r="D13" i="488"/>
  <c r="C13" i="488"/>
  <c r="U12" i="488"/>
  <c r="T12" i="488"/>
  <c r="I12" i="488"/>
  <c r="H12" i="488"/>
  <c r="V12" i="488" s="1"/>
  <c r="G12" i="488"/>
  <c r="D12" i="488"/>
  <c r="C12" i="488"/>
  <c r="U11" i="488"/>
  <c r="T11" i="488"/>
  <c r="I11" i="488"/>
  <c r="H11" i="488"/>
  <c r="V11" i="488" s="1"/>
  <c r="G11" i="488"/>
  <c r="D11" i="488"/>
  <c r="C11" i="488"/>
  <c r="U10" i="488"/>
  <c r="T10" i="488"/>
  <c r="I10" i="488"/>
  <c r="H10" i="488"/>
  <c r="V10" i="488" s="1"/>
  <c r="G10" i="488"/>
  <c r="D10" i="488"/>
  <c r="C10" i="488"/>
  <c r="AK14" i="488" s="1"/>
  <c r="U9" i="488"/>
  <c r="T9" i="488"/>
  <c r="I9" i="488"/>
  <c r="H9" i="488"/>
  <c r="V9" i="488" s="1"/>
  <c r="G9" i="488"/>
  <c r="D9" i="488"/>
  <c r="C9" i="488"/>
  <c r="AO8" i="488"/>
  <c r="AN8" i="488"/>
  <c r="AM8" i="488"/>
  <c r="AL8" i="488"/>
  <c r="AC8" i="488"/>
  <c r="AB8" i="488"/>
  <c r="AA8" i="488"/>
  <c r="Z8" i="488"/>
  <c r="Y8" i="488"/>
  <c r="U8" i="488"/>
  <c r="T8" i="488"/>
  <c r="I8" i="488"/>
  <c r="H8" i="488"/>
  <c r="V8" i="488" s="1"/>
  <c r="G8" i="488"/>
  <c r="D8" i="488"/>
  <c r="C8" i="488"/>
  <c r="AL13" i="488" s="1"/>
  <c r="AG7" i="488"/>
  <c r="U7" i="488"/>
  <c r="T7" i="488"/>
  <c r="I7" i="488"/>
  <c r="H7" i="488"/>
  <c r="V7" i="488" s="1"/>
  <c r="G7" i="488"/>
  <c r="D7" i="488"/>
  <c r="C7" i="488"/>
  <c r="AK13" i="488" s="1"/>
  <c r="U6" i="488"/>
  <c r="T6" i="488"/>
  <c r="I6" i="488"/>
  <c r="H6" i="488"/>
  <c r="V6" i="488" s="1"/>
  <c r="G6" i="488"/>
  <c r="D6" i="488"/>
  <c r="C6" i="488"/>
  <c r="AK8" i="488" s="1"/>
  <c r="AJ5" i="488"/>
  <c r="AA7" i="488" s="1"/>
  <c r="AI5" i="488"/>
  <c r="Y22" i="488" s="1"/>
  <c r="AG3" i="488"/>
  <c r="C2" i="488" a="1"/>
  <c r="C2" i="488" s="1"/>
  <c r="B2" i="488" a="1"/>
  <c r="B2" i="488" s="1"/>
  <c r="C1" i="488"/>
  <c r="B1" i="488"/>
  <c r="AG11" i="4"/>
  <c r="AD22" i="4"/>
  <c r="AD21" i="4"/>
  <c r="AD20" i="4"/>
  <c r="AD19" i="4"/>
  <c r="AD18" i="4"/>
  <c r="AD17" i="4"/>
  <c r="AD16" i="4"/>
  <c r="AD15" i="4"/>
  <c r="AD14" i="4"/>
  <c r="AD13" i="4"/>
  <c r="R11" i="4"/>
  <c r="AG7" i="4"/>
  <c r="AO22" i="4"/>
  <c r="AN22" i="4"/>
  <c r="AM22" i="4"/>
  <c r="AL22" i="4"/>
  <c r="AK22" i="4"/>
  <c r="AO21" i="4"/>
  <c r="AN21" i="4"/>
  <c r="AM21" i="4"/>
  <c r="AL21" i="4"/>
  <c r="AK21" i="4"/>
  <c r="AO20" i="4"/>
  <c r="AN20" i="4"/>
  <c r="AM20" i="4"/>
  <c r="AL20" i="4"/>
  <c r="AK20" i="4"/>
  <c r="AO19" i="4"/>
  <c r="AN19" i="4"/>
  <c r="AM19" i="4"/>
  <c r="AL19" i="4"/>
  <c r="AK19" i="4"/>
  <c r="AO18" i="4"/>
  <c r="AN18" i="4"/>
  <c r="AM18" i="4"/>
  <c r="AL18" i="4"/>
  <c r="AK18" i="4"/>
  <c r="AO17" i="4"/>
  <c r="AN17" i="4"/>
  <c r="AM17" i="4"/>
  <c r="AL17" i="4"/>
  <c r="AK17" i="4"/>
  <c r="AO16" i="4"/>
  <c r="AN16" i="4"/>
  <c r="AM16" i="4"/>
  <c r="AL16" i="4"/>
  <c r="AK16" i="4"/>
  <c r="AO15" i="4"/>
  <c r="AN15" i="4"/>
  <c r="AM15" i="4"/>
  <c r="AL15" i="4"/>
  <c r="AK15" i="4"/>
  <c r="AO14" i="4"/>
  <c r="AN14" i="4"/>
  <c r="AM14" i="4"/>
  <c r="AL14" i="4"/>
  <c r="AK14" i="4"/>
  <c r="AO13" i="4"/>
  <c r="AN13" i="4"/>
  <c r="AM13" i="4"/>
  <c r="AL13" i="4"/>
  <c r="AK13" i="4"/>
  <c r="AO8" i="4"/>
  <c r="AN8" i="4"/>
  <c r="AM8" i="4"/>
  <c r="AL8" i="4"/>
  <c r="AK8" i="4"/>
  <c r="AG3" i="4"/>
  <c r="R13" i="4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A7" i="490" l="1"/>
  <c r="AB7" i="490"/>
  <c r="AG9" i="490"/>
  <c r="AG5" i="490"/>
  <c r="X86" i="490"/>
  <c r="AG2" i="490"/>
  <c r="AG4" i="490"/>
  <c r="X87" i="490"/>
  <c r="X85" i="490"/>
  <c r="X79" i="490"/>
  <c r="AG6" i="490"/>
  <c r="Z14" i="490"/>
  <c r="Z16" i="490"/>
  <c r="Z18" i="490"/>
  <c r="Z20" i="490"/>
  <c r="AD21" i="490"/>
  <c r="AG11" i="490" s="1"/>
  <c r="Z22" i="490"/>
  <c r="X80" i="490"/>
  <c r="AC7" i="490"/>
  <c r="AA14" i="490"/>
  <c r="AA16" i="490"/>
  <c r="AA18" i="490"/>
  <c r="AA20" i="490"/>
  <c r="AA22" i="490"/>
  <c r="X81" i="490"/>
  <c r="AB14" i="490"/>
  <c r="AB16" i="490"/>
  <c r="AB18" i="490"/>
  <c r="AB20" i="490"/>
  <c r="AB22" i="490"/>
  <c r="X82" i="490"/>
  <c r="Y13" i="490"/>
  <c r="AC14" i="490"/>
  <c r="Y15" i="490"/>
  <c r="AC16" i="490"/>
  <c r="Y17" i="490"/>
  <c r="AC18" i="490"/>
  <c r="Y19" i="490"/>
  <c r="AC20" i="490"/>
  <c r="Y21" i="490"/>
  <c r="AC22" i="490"/>
  <c r="X83" i="490"/>
  <c r="Z13" i="490"/>
  <c r="Z15" i="490"/>
  <c r="Z17" i="490"/>
  <c r="Z19" i="490"/>
  <c r="Z21" i="490"/>
  <c r="X84" i="490"/>
  <c r="Y7" i="490"/>
  <c r="AA13" i="490"/>
  <c r="AA15" i="490"/>
  <c r="AA17" i="490"/>
  <c r="AA19" i="490"/>
  <c r="AA21" i="490"/>
  <c r="AB13" i="490"/>
  <c r="AB15" i="490"/>
  <c r="AB17" i="490"/>
  <c r="AB19" i="490"/>
  <c r="AB21" i="490"/>
  <c r="X78" i="490"/>
  <c r="AC13" i="490"/>
  <c r="Y14" i="490"/>
  <c r="AC15" i="490"/>
  <c r="Y16" i="490"/>
  <c r="AC17" i="490"/>
  <c r="Y18" i="490"/>
  <c r="AC19" i="490"/>
  <c r="Y20" i="490"/>
  <c r="AC21" i="490"/>
  <c r="AC16" i="489"/>
  <c r="AC18" i="489"/>
  <c r="Y21" i="489"/>
  <c r="AC14" i="489"/>
  <c r="Y15" i="489"/>
  <c r="AC22" i="489"/>
  <c r="Y13" i="489"/>
  <c r="Y17" i="489"/>
  <c r="AC20" i="489"/>
  <c r="Y19" i="489"/>
  <c r="AG5" i="489"/>
  <c r="AG2" i="489"/>
  <c r="X79" i="489"/>
  <c r="AG4" i="489"/>
  <c r="X87" i="489"/>
  <c r="X86" i="489"/>
  <c r="X85" i="489"/>
  <c r="AG6" i="489"/>
  <c r="AB7" i="489"/>
  <c r="Z14" i="489"/>
  <c r="Z16" i="489"/>
  <c r="Z18" i="489"/>
  <c r="Z20" i="489"/>
  <c r="Z22" i="489"/>
  <c r="X80" i="489"/>
  <c r="AC7" i="489"/>
  <c r="AA14" i="489"/>
  <c r="AA16" i="489"/>
  <c r="AA18" i="489"/>
  <c r="AA20" i="489"/>
  <c r="AA22" i="489"/>
  <c r="X81" i="489"/>
  <c r="AB14" i="489"/>
  <c r="AB16" i="489"/>
  <c r="AB18" i="489"/>
  <c r="AB20" i="489"/>
  <c r="AB22" i="489"/>
  <c r="X82" i="489"/>
  <c r="X83" i="489"/>
  <c r="Z13" i="489"/>
  <c r="AD14" i="489"/>
  <c r="AG11" i="489" s="1"/>
  <c r="Z15" i="489"/>
  <c r="Z17" i="489"/>
  <c r="Z19" i="489"/>
  <c r="Z21" i="489"/>
  <c r="X84" i="489"/>
  <c r="Y7" i="489"/>
  <c r="AA13" i="489"/>
  <c r="AA15" i="489"/>
  <c r="AA17" i="489"/>
  <c r="AA19" i="489"/>
  <c r="AA21" i="489"/>
  <c r="Z7" i="489"/>
  <c r="AB13" i="489"/>
  <c r="AB15" i="489"/>
  <c r="AB17" i="489"/>
  <c r="AB19" i="489"/>
  <c r="AB21" i="489"/>
  <c r="X78" i="489"/>
  <c r="AC13" i="489"/>
  <c r="Y14" i="489"/>
  <c r="AC15" i="489"/>
  <c r="Y16" i="489"/>
  <c r="AC17" i="489"/>
  <c r="Y18" i="489"/>
  <c r="AC19" i="489"/>
  <c r="Y20" i="489"/>
  <c r="AC21" i="489"/>
  <c r="Z16" i="488"/>
  <c r="AB7" i="488"/>
  <c r="Z20" i="488"/>
  <c r="Z22" i="488"/>
  <c r="Z18" i="488"/>
  <c r="Z14" i="488"/>
  <c r="AD19" i="488"/>
  <c r="AD21" i="488"/>
  <c r="AD17" i="488"/>
  <c r="AD13" i="488"/>
  <c r="AD16" i="488"/>
  <c r="AD20" i="488"/>
  <c r="R11" i="488"/>
  <c r="AD18" i="488"/>
  <c r="AD22" i="488"/>
  <c r="AG9" i="488"/>
  <c r="AG5" i="488"/>
  <c r="X79" i="488"/>
  <c r="AG4" i="488"/>
  <c r="X87" i="488"/>
  <c r="X86" i="488"/>
  <c r="X85" i="488"/>
  <c r="AG6" i="488"/>
  <c r="AG2" i="488"/>
  <c r="X80" i="488"/>
  <c r="AC7" i="488"/>
  <c r="AA14" i="488"/>
  <c r="AA16" i="488"/>
  <c r="AA18" i="488"/>
  <c r="AA20" i="488"/>
  <c r="AA22" i="488"/>
  <c r="X81" i="488"/>
  <c r="AB14" i="488"/>
  <c r="AB16" i="488"/>
  <c r="AB18" i="488"/>
  <c r="AB20" i="488"/>
  <c r="AB22" i="488"/>
  <c r="X82" i="488"/>
  <c r="Y13" i="488"/>
  <c r="AC14" i="488"/>
  <c r="Y15" i="488"/>
  <c r="AC16" i="488"/>
  <c r="Y17" i="488"/>
  <c r="AC18" i="488"/>
  <c r="Y19" i="488"/>
  <c r="AC20" i="488"/>
  <c r="Y21" i="488"/>
  <c r="AC22" i="488"/>
  <c r="X83" i="488"/>
  <c r="Z13" i="488"/>
  <c r="AD14" i="488"/>
  <c r="AG11" i="488" s="1"/>
  <c r="Z15" i="488"/>
  <c r="Z17" i="488"/>
  <c r="Z19" i="488"/>
  <c r="Z21" i="488"/>
  <c r="X84" i="488"/>
  <c r="Y7" i="488"/>
  <c r="AA13" i="488"/>
  <c r="AA15" i="488"/>
  <c r="AA17" i="488"/>
  <c r="AA19" i="488"/>
  <c r="AA21" i="488"/>
  <c r="Z7" i="488"/>
  <c r="AB13" i="488"/>
  <c r="AB15" i="488"/>
  <c r="AB17" i="488"/>
  <c r="AB19" i="488"/>
  <c r="AB21" i="488"/>
  <c r="X78" i="488"/>
  <c r="AC13" i="488"/>
  <c r="Y14" i="488"/>
  <c r="AC15" i="488"/>
  <c r="Y16" i="488"/>
  <c r="AC17" i="488"/>
  <c r="Y18" i="488"/>
  <c r="AC19" i="488"/>
  <c r="Y20" i="488"/>
  <c r="AC21" i="488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X65" i="4"/>
  <c r="AC8" i="4"/>
  <c r="Y8" i="4"/>
  <c r="AB8" i="4"/>
  <c r="AA8" i="4"/>
  <c r="Z8" i="4"/>
  <c r="X52" i="4"/>
  <c r="AG8" i="490" l="1"/>
  <c r="AG10" i="490"/>
  <c r="AG10" i="489"/>
  <c r="AG8" i="489"/>
  <c r="AG8" i="488"/>
  <c r="AG10" i="488"/>
  <c r="AG10" i="4"/>
  <c r="AG9" i="4"/>
  <c r="AG8" i="4"/>
  <c r="V105" i="4"/>
  <c r="V104" i="4"/>
  <c r="V103" i="4"/>
  <c r="V102" i="4"/>
  <c r="V101" i="4"/>
  <c r="V100" i="4"/>
  <c r="V99" i="4"/>
  <c r="V98" i="4"/>
  <c r="V97" i="4"/>
  <c r="V96" i="4"/>
  <c r="V95" i="4"/>
  <c r="V94" i="4"/>
  <c r="V93" i="4"/>
  <c r="V92" i="4"/>
  <c r="V91" i="4"/>
  <c r="V90" i="4"/>
  <c r="V89" i="4"/>
  <c r="V88" i="4"/>
  <c r="V87" i="4"/>
  <c r="V86" i="4"/>
  <c r="V85" i="4"/>
  <c r="V84" i="4"/>
  <c r="V83" i="4"/>
  <c r="V82" i="4"/>
  <c r="V81" i="4"/>
  <c r="V80" i="4"/>
  <c r="V79" i="4"/>
  <c r="V78" i="4"/>
  <c r="V77" i="4"/>
  <c r="V76" i="4"/>
  <c r="V75" i="4"/>
  <c r="V74" i="4"/>
  <c r="V73" i="4"/>
  <c r="V72" i="4"/>
  <c r="V71" i="4"/>
  <c r="V70" i="4"/>
  <c r="V69" i="4"/>
  <c r="V68" i="4"/>
  <c r="V67" i="4"/>
  <c r="V66" i="4"/>
  <c r="V65" i="4"/>
  <c r="V64" i="4"/>
  <c r="V63" i="4"/>
  <c r="V62" i="4"/>
  <c r="V61" i="4"/>
  <c r="V60" i="4"/>
  <c r="V59" i="4"/>
  <c r="V58" i="4"/>
  <c r="V57" i="4"/>
  <c r="V56" i="4"/>
  <c r="V55" i="4"/>
  <c r="V54" i="4"/>
  <c r="V53" i="4"/>
  <c r="V52" i="4"/>
  <c r="V51" i="4"/>
  <c r="V50" i="4"/>
  <c r="V49" i="4"/>
  <c r="V48" i="4"/>
  <c r="V47" i="4"/>
  <c r="V46" i="4"/>
  <c r="V45" i="4"/>
  <c r="V44" i="4"/>
  <c r="V43" i="4"/>
  <c r="V42" i="4"/>
  <c r="V41" i="4"/>
  <c r="V40" i="4"/>
  <c r="V39" i="4"/>
  <c r="V38" i="4"/>
  <c r="V37" i="4"/>
  <c r="V36" i="4"/>
  <c r="V35" i="4"/>
  <c r="V34" i="4"/>
  <c r="V33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V19" i="4"/>
  <c r="V18" i="4"/>
  <c r="V17" i="4"/>
  <c r="V16" i="4"/>
  <c r="V15" i="4"/>
  <c r="V14" i="4"/>
  <c r="V13" i="4"/>
  <c r="V12" i="4"/>
  <c r="V11" i="4"/>
  <c r="V10" i="4"/>
  <c r="V9" i="4"/>
  <c r="V8" i="4"/>
  <c r="V7" i="4"/>
  <c r="V6" i="4"/>
  <c r="D1" i="490" l="1"/>
  <c r="F4" i="1" s="1"/>
  <c r="D1" i="489"/>
  <c r="F3" i="1" s="1"/>
  <c r="D1" i="488"/>
  <c r="F2" i="1" s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F1" i="1" l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AB74" i="4"/>
  <c r="AA74" i="4"/>
  <c r="Z74" i="4"/>
  <c r="Y74" i="4"/>
  <c r="X74" i="4"/>
  <c r="AB73" i="4"/>
  <c r="AA73" i="4"/>
  <c r="Z73" i="4"/>
  <c r="Y73" i="4"/>
  <c r="X73" i="4"/>
  <c r="AB72" i="4"/>
  <c r="AA72" i="4"/>
  <c r="Z72" i="4"/>
  <c r="Y72" i="4"/>
  <c r="X72" i="4"/>
  <c r="AB71" i="4"/>
  <c r="AA71" i="4"/>
  <c r="Z71" i="4"/>
  <c r="Y71" i="4"/>
  <c r="X71" i="4"/>
  <c r="AB70" i="4"/>
  <c r="AA70" i="4"/>
  <c r="Z70" i="4"/>
  <c r="Y70" i="4"/>
  <c r="X70" i="4"/>
  <c r="AB69" i="4"/>
  <c r="AA69" i="4"/>
  <c r="Z69" i="4"/>
  <c r="Y69" i="4"/>
  <c r="X69" i="4"/>
  <c r="AB68" i="4"/>
  <c r="AA68" i="4"/>
  <c r="Z68" i="4"/>
  <c r="Y68" i="4"/>
  <c r="X68" i="4"/>
  <c r="AB67" i="4"/>
  <c r="AA67" i="4"/>
  <c r="Z67" i="4"/>
  <c r="Y67" i="4"/>
  <c r="X67" i="4"/>
  <c r="AB66" i="4"/>
  <c r="AA66" i="4"/>
  <c r="Z66" i="4"/>
  <c r="Y66" i="4"/>
  <c r="X66" i="4"/>
  <c r="AB65" i="4"/>
  <c r="AA65" i="4"/>
  <c r="Z65" i="4"/>
  <c r="Y65" i="4"/>
  <c r="AB61" i="4"/>
  <c r="AA61" i="4"/>
  <c r="Z61" i="4"/>
  <c r="Y61" i="4"/>
  <c r="AB60" i="4"/>
  <c r="AA60" i="4"/>
  <c r="Z60" i="4"/>
  <c r="Y60" i="4"/>
  <c r="AB59" i="4"/>
  <c r="AA59" i="4"/>
  <c r="Z59" i="4"/>
  <c r="Y59" i="4"/>
  <c r="AB58" i="4"/>
  <c r="AA58" i="4"/>
  <c r="Z58" i="4"/>
  <c r="Y58" i="4"/>
  <c r="AB57" i="4"/>
  <c r="AA57" i="4"/>
  <c r="Z57" i="4"/>
  <c r="Y57" i="4"/>
  <c r="AB56" i="4"/>
  <c r="AA56" i="4"/>
  <c r="Z56" i="4"/>
  <c r="Y56" i="4"/>
  <c r="AB55" i="4"/>
  <c r="AA55" i="4"/>
  <c r="Z55" i="4"/>
  <c r="Y55" i="4"/>
  <c r="AB54" i="4"/>
  <c r="AA54" i="4"/>
  <c r="Z54" i="4"/>
  <c r="Y54" i="4"/>
  <c r="AB53" i="4"/>
  <c r="AA53" i="4"/>
  <c r="Z53" i="4"/>
  <c r="Y53" i="4"/>
  <c r="AB52" i="4"/>
  <c r="AA52" i="4"/>
  <c r="Z52" i="4"/>
  <c r="Y52" i="4"/>
  <c r="X61" i="4"/>
  <c r="X60" i="4"/>
  <c r="X59" i="4"/>
  <c r="X58" i="4"/>
  <c r="X57" i="4"/>
  <c r="X56" i="4"/>
  <c r="X55" i="4"/>
  <c r="X54" i="4"/>
  <c r="X53" i="4"/>
  <c r="T6" i="4"/>
  <c r="AG6" i="4" l="1"/>
  <c r="AG5" i="4"/>
  <c r="X81" i="4"/>
  <c r="X79" i="4"/>
  <c r="X80" i="4"/>
  <c r="X82" i="4"/>
  <c r="X83" i="4"/>
  <c r="X84" i="4"/>
  <c r="X85" i="4"/>
  <c r="X78" i="4"/>
  <c r="X86" i="4"/>
  <c r="X87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G4" i="4" l="1"/>
  <c r="D1" i="4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<sst xmlns="http://schemas.openxmlformats.org/spreadsheetml/2006/main" count="428" uniqueCount="181">
  <si>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</si>
  <si>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</si>
  <si>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</si>
  <si>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</si>
  <si>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</si>
  <si>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</si>
  <si>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</si>
  <si>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</si>
  <si>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</si>
  <si>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</si>
  <si>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</si>
  <si>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</si>
  <si>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</si>
  <si>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</si>
  <si>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</si>
  <si>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</si>
  <si>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</si>
  <si>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</si>
  <si>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</si>
  <si>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</si>
  <si>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</si>
  <si>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</si>
  <si>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</si>
  <si>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</si>
  <si>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</si>
  <si>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INDEX重複</t>
    <rPh sb="5" eb="7">
      <t>ジュウフク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</si>
  <si>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</si>
  <si>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</si>
  <si>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</si>
  <si>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</si>
  <si>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</si>
  <si>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</si>
  <si>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</si>
  <si>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</si>
  <si>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</si>
  <si>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</si>
  <si>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</si>
  <si>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</si>
  <si>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</si>
  <si>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</si>
  <si>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</si>
  <si>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</si>
  <si>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文字列
デフォルト</t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</si>
  <si>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</si>
  <si>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</si>
  <si>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文字列</t>
    <rPh sb="0" eb="3">
      <t>モジレツ</t>
    </rPh>
    <phoneticPr fontId="3"/>
  </si>
  <si>
    <t>CHECK CONSTRAINT</t>
    <phoneticPr fontId="2"/>
  </si>
  <si>
    <t>強制NN</t>
    <rPh sb="0" eb="2">
      <t>キョウセイ</t>
    </rPh>
    <phoneticPr fontId="2"/>
  </si>
  <si>
    <t>FIELDS</t>
    <phoneticPr fontId="2"/>
  </si>
  <si>
    <t>TABLE CONSTRAINT</t>
    <phoneticPr fontId="2"/>
  </si>
  <si>
    <t>orders</t>
  </si>
  <si>
    <t>得意先</t>
  </si>
  <si>
    <t>受注</t>
  </si>
  <si>
    <t>primary Key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</si>
  <si>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</si>
  <si>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</si>
  <si>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</si>
  <si>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</si>
  <si>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受注明細</t>
  </si>
  <si>
    <t>order_details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</si>
  <si>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</si>
  <si>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</si>
  <si>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</si>
  <si>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</si>
  <si>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</si>
  <si>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</si>
  <si>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</si>
  <si>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</si>
  <si>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</si>
  <si>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</si>
  <si>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</si>
  <si>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</si>
  <si>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</si>
  <si>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</si>
  <si>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</si>
  <si>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</si>
  <si>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</si>
  <si>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</si>
  <si>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</si>
  <si>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</si>
  <si>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</si>
  <si>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</si>
  <si>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</si>
  <si>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</si>
  <si>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</si>
  <si>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</si>
  <si>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</si>
  <si>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</si>
  <si>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</si>
  <si>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</si>
  <si>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</si>
  <si>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</si>
  <si>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(LENGTH(received_order_no) &gt;= 10)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</si>
  <si>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</si>
  <si>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</si>
  <si>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</si>
  <si>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</si>
  <si>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</si>
  <si>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</si>
  <si>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</si>
  <si>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</si>
  <si>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</si>
  <si>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</si>
  <si>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</si>
  <si>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(LENGTH(user_id) &gt;= 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</si>
  <si>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</si>
  <si>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</si>
  <si>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</si>
  <si>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</si>
  <si>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</si>
  <si>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</si>
  <si>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</si>
  <si>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(LENGTH(customer_id) &gt;= 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</si>
  <si>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</si>
  <si>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</si>
  <si>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</si>
  <si>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</si>
  <si>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</si>
  <si>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</si>
  <si>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</si>
  <si>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</si>
  <si>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</si>
  <si>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</si>
  <si>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</si>
  <si>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</si>
  <si>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</si>
  <si>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</si>
  <si>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</si>
  <si>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</si>
  <si>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</si>
  <si>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</si>
  <si>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</si>
  <si>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</si>
  <si>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</si>
  <si>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</si>
  <si>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</si>
  <si>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</si>
  <si>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</si>
  <si>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</si>
  <si>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</si>
  <si>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</si>
  <si>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(LENGTH(emploee_no) &gt;= 4)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</si>
  <si>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</si>
  <si>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</si>
  <si>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</si>
  <si>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</si>
  <si>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</si>
  <si>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</si>
  <si>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</si>
  <si>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</si>
  <si>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</si>
  <si>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</si>
  <si>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(LENGTH(order_pic) &gt;= 4)</t>
  </si>
  <si>
    <t>受注担当者のユーザーID</t>
  </si>
  <si>
    <t>商品担当者ID</t>
  </si>
  <si>
    <t>product_pic</t>
  </si>
  <si>
    <t>(LENGTH(product_pic) &gt;= 4)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</si>
  <si>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</si>
  <si>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</si>
  <si>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</si>
  <si>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</si>
  <si>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</si>
  <si>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customers</t>
  </si>
  <si>
    <t>得意先ID</t>
    <phoneticPr fontId="2"/>
  </si>
  <si>
    <t>current_timestamp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</si>
  <si>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</si>
  <si>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</si>
  <si>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</si>
  <si>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EXIST-UNIQUE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</si>
  <si>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</si>
  <si>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</si>
  <si>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</si>
  <si>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</si>
  <si>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</si>
  <si>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</si>
  <si>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</si>
  <si>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受注No</t>
    <phoneticPr fontId="2"/>
  </si>
  <si>
    <t>マスタT</t>
    <phoneticPr fontId="3"/>
  </si>
  <si>
    <t>-</t>
  </si>
  <si>
    <t>○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</si>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</sst>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&quot;(一覧No: &quot;0&quot;)&quot;;;;"/>
    <numFmt numFmtId="181" formatCode=";;"/>
    <numFmt numFmtId="182" formatCode="&quot;★エラーあり★&quot;;;&quot;OK&quot;;"/>
    <numFmt numFmtId="187" formatCode="&quot;NG&quot;;;&quot;OK&quot;;"/>
    <numFmt numFmtId="188" formatCode="&quot;エラー有無&quot;;;&quot;エラー有無&quot;;"/>
  </numFmts>
  <fonts count="22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sz val="9"/>
      <color theme="8"/>
      <name val="游ゴシック"/>
      <family val="3"/>
      <charset val="128"/>
    </font>
    <font>
      <b/>
      <sz val="9"/>
      <color rgb="FFFF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</fills>
  <borders count="42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96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180" fontId="15" fillId="0" borderId="0" xfId="0" applyNumberFormat="1" applyFont="1" applyAlignment="1">
      <alignment horizontal="center"/>
    </xf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1" fontId="16" fillId="2" borderId="8" xfId="0" applyNumberFormat="1" applyFont="1" applyFill="1" applyBorder="1"/>
    <xf numFmtId="181" fontId="16" fillId="2" borderId="9" xfId="0" applyNumberFormat="1" applyFont="1" applyFill="1" applyBorder="1"/>
    <xf numFmtId="181" fontId="16" fillId="2" borderId="10" xfId="0" applyNumberFormat="1" applyFont="1" applyFill="1" applyBorder="1"/>
    <xf numFmtId="181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16" fillId="0" borderId="8" xfId="0" applyFont="1" applyBorder="1"/>
    <xf numFmtId="0" fontId="16" fillId="0" borderId="9" xfId="0" applyFont="1" applyBorder="1"/>
    <xf numFmtId="0" fontId="16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2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20" fillId="0" borderId="0" xfId="0" applyFont="1"/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1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  <xf numFmtId="187" fontId="19" fillId="2" borderId="14" xfId="0" applyNumberFormat="1" applyFont="1" applyFill="1" applyBorder="1" applyAlignment="1">
      <alignment horizontal="center"/>
    </xf>
    <xf numFmtId="187" fontId="19" fillId="2" borderId="15" xfId="0" applyNumberFormat="1" applyFont="1" applyFill="1" applyBorder="1" applyAlignment="1">
      <alignment horizontal="center"/>
    </xf>
    <xf numFmtId="187" fontId="19" fillId="2" borderId="16" xfId="0" applyNumberFormat="1" applyFont="1" applyFill="1" applyBorder="1" applyAlignment="1">
      <alignment horizontal="center"/>
    </xf>
    <xf numFmtId="188" fontId="4" fillId="3" borderId="4" xfId="0" applyNumberFormat="1" applyFont="1" applyFill="1" applyBorder="1" applyAlignment="1">
      <alignment horizontal="center" vertical="center" wrapText="1"/>
    </xf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5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J229"/>
  <sheetViews>
    <sheetView showGridLines="0" workbookViewId="0">
      <pane ySplit="1" topLeftCell="A2" activePane="bottomLeft" state="frozen"/>
      <selection pane="bottomLeft" activeCell="C11" sqref="C11"/>
    </sheetView>
  </sheetViews>
  <sheetFormatPr defaultRowHeight="13"/>
  <cols>
    <col min="1" max="2" width="20.83203125" style="1" customWidth="1"/>
    <col min="3" max="3" width="10.33203125" style="1" customWidth="1"/>
    <col min="4" max="4" width="30.33203125" style="1" customWidth="1"/>
    <col min="5" max="6" width="7.25" style="1" customWidth="1"/>
    <col min="7" max="7" width="29" style="1" customWidth="1"/>
    <col min="8" max="8" width="6.5" style="1" bestFit="1" customWidth="1"/>
    <col min="9" max="9" width="20.83203125" style="1" customWidth="1"/>
    <col min="10" max="16384" width="8.6640625" style="1"/>
  </cols>
  <sheetData>
    <row r="1" spans="1:10" ht="26">
      <c r="A1" s="2" t="s">
        <v>0</v>
      </c>
      <c r="B1" s="3" t="s">
        <v>1</v>
      </c>
      <c r="C1" s="4" t="s">
        <v>3</v>
      </c>
      <c r="D1" s="3" t="s">
        <v>41</v>
      </c>
      <c r="E1" s="3" t="s">
        <v>43</v>
      </c>
      <c r="F1" s="3" t="s">
        <v>42</v>
      </c>
      <c r="G1" s="4" t="s">
        <v>2</v>
      </c>
      <c r="H1" s="5" t="s">
        <v>5</v>
      </c>
      <c r="I1" s="5" t="s">
        <v>60</v>
      </c>
    </row>
    <row r="2" spans="1:10" ht="18">
      <c r="A2" s="65" t="s">
        <v>28</v>
      </c>
      <c r="B2" s="65" t="s">
        <v>61</v>
      </c>
      <c r="C2" s="65" t="s">
        <v>62</v>
      </c>
      <c r="D2" s="65" t="s">
        <v>63</v>
      </c>
      <c r="E2" s="65" t="b">
        <v>0</v>
      </c>
      <c r="F2" s="65" t="b">
        <v>1</v>
      </c>
      <c r="G2" s="65" t="s">
        <v>64</v>
      </c>
      <c r="H2" s="67">
        <v>0</v>
      </c>
      <c r="I2" s="65"/>
      <c r="J2"/>
    </row>
    <row r="3" spans="1:10" ht="18">
      <c r="A3" s="65" t="s">
        <v>4</v>
      </c>
      <c r="B3" s="65" t="s">
        <v>65</v>
      </c>
      <c r="C3" s="65" t="s">
        <v>66</v>
      </c>
      <c r="D3" s="65" t="s">
        <v>67</v>
      </c>
      <c r="E3" s="65" t="b">
        <v>0</v>
      </c>
      <c r="F3" s="65" t="b">
        <v>0</v>
      </c>
      <c r="G3" s="65" t="s">
        <v>68</v>
      </c>
      <c r="H3" s="67">
        <v>0</v>
      </c>
      <c r="I3" s="65"/>
      <c r="J3"/>
    </row>
    <row r="4" spans="1:10" ht="18">
      <c r="A4" s="65" t="s">
        <v>69</v>
      </c>
      <c r="B4" s="65" t="s">
        <v>70</v>
      </c>
      <c r="C4" s="65" t="s">
        <v>71</v>
      </c>
      <c r="D4" s="65" t="s">
        <v>72</v>
      </c>
      <c r="E4" s="65" t="b">
        <v>0</v>
      </c>
      <c r="F4" s="65" t="b">
        <v>0</v>
      </c>
      <c r="G4" s="65" t="s">
        <v>73</v>
      </c>
      <c r="H4" s="67">
        <v>0</v>
      </c>
      <c r="I4" s="65"/>
      <c r="J4"/>
    </row>
    <row r="5" spans="1:10" ht="18">
      <c r="A5" s="65" t="s">
        <v>21</v>
      </c>
      <c r="B5" s="65" t="s">
        <v>74</v>
      </c>
      <c r="C5" s="65" t="s">
        <v>75</v>
      </c>
      <c r="D5" s="65"/>
      <c r="E5" s="65" t="b">
        <v>0</v>
      </c>
      <c r="F5" s="65" t="b">
        <v>0</v>
      </c>
      <c r="G5" s="65" t="s">
        <v>21</v>
      </c>
      <c r="H5" s="67">
        <v>0</v>
      </c>
      <c r="I5" s="65"/>
      <c r="J5"/>
    </row>
    <row r="6" spans="1:10" ht="18">
      <c r="A6" s="65" t="s">
        <v>76</v>
      </c>
      <c r="B6" s="65" t="s">
        <v>77</v>
      </c>
      <c r="C6" s="65" t="s">
        <v>77</v>
      </c>
      <c r="D6" s="65"/>
      <c r="E6" s="65" t="b">
        <v>1</v>
      </c>
      <c r="F6" s="65" t="b">
        <v>1</v>
      </c>
      <c r="G6" s="65" t="s">
        <v>78</v>
      </c>
      <c r="H6" s="67">
        <v>0</v>
      </c>
      <c r="I6" s="65"/>
      <c r="J6"/>
    </row>
    <row r="7" spans="1:10" ht="18">
      <c r="A7" s="65" t="s">
        <v>22</v>
      </c>
      <c r="B7" s="65" t="s">
        <v>79</v>
      </c>
      <c r="C7" s="65" t="s">
        <v>80</v>
      </c>
      <c r="D7" s="65" t="s">
        <v>81</v>
      </c>
      <c r="E7" s="65" t="b">
        <v>0</v>
      </c>
      <c r="F7" s="65" t="b">
        <v>1</v>
      </c>
      <c r="G7" s="65" t="s">
        <v>22</v>
      </c>
      <c r="H7" s="67">
        <v>0</v>
      </c>
      <c r="I7" s="65"/>
      <c r="J7"/>
    </row>
    <row r="8" spans="1:10" ht="18">
      <c r="A8" s="65" t="s">
        <v>82</v>
      </c>
      <c r="B8" s="65" t="s">
        <v>83</v>
      </c>
      <c r="C8" s="65" t="s">
        <v>84</v>
      </c>
      <c r="D8" s="65"/>
      <c r="E8" s="65" t="b">
        <v>1</v>
      </c>
      <c r="F8" s="65" t="b">
        <v>0</v>
      </c>
      <c r="G8" s="65" t="s">
        <v>85</v>
      </c>
      <c r="H8" s="67">
        <v>0</v>
      </c>
      <c r="I8" s="65"/>
      <c r="J8"/>
    </row>
    <row r="9" spans="1:10" ht="18">
      <c r="A9" s="65" t="s">
        <v>86</v>
      </c>
      <c r="B9" s="65" t="s">
        <v>87</v>
      </c>
      <c r="C9" s="65" t="s">
        <v>87</v>
      </c>
      <c r="D9" s="65"/>
      <c r="E9" s="65" t="b">
        <v>1</v>
      </c>
      <c r="F9" s="65" t="b">
        <v>1</v>
      </c>
      <c r="G9" s="65" t="s">
        <v>86</v>
      </c>
      <c r="H9" s="67">
        <v>0</v>
      </c>
      <c r="I9" s="65"/>
      <c r="J9"/>
    </row>
    <row r="10" spans="1:10" ht="18">
      <c r="A10" s="65" t="s">
        <v>29</v>
      </c>
      <c r="B10" s="65" t="s">
        <v>88</v>
      </c>
      <c r="C10" s="65" t="s">
        <v>75</v>
      </c>
      <c r="D10" s="65"/>
      <c r="E10" s="65" t="b">
        <v>0</v>
      </c>
      <c r="F10" s="65" t="b">
        <v>0</v>
      </c>
      <c r="G10" s="65" t="s">
        <v>29</v>
      </c>
      <c r="H10" s="67">
        <v>0</v>
      </c>
      <c r="I10" s="65"/>
      <c r="J10"/>
    </row>
    <row r="11" spans="1:10" ht="18">
      <c r="A11" s="65" t="s">
        <v>30</v>
      </c>
      <c r="B11" s="65" t="s">
        <v>89</v>
      </c>
      <c r="C11" s="65" t="s">
        <v>66</v>
      </c>
      <c r="D11" s="65" t="s">
        <v>90</v>
      </c>
      <c r="E11" s="65" t="b">
        <v>0</v>
      </c>
      <c r="F11" s="65" t="b">
        <v>0</v>
      </c>
      <c r="G11" s="65" t="s">
        <v>30</v>
      </c>
      <c r="H11" s="67">
        <v>0</v>
      </c>
      <c r="I11" s="65"/>
      <c r="J11"/>
    </row>
    <row r="12" spans="1:10" ht="18">
      <c r="A12" s="65" t="s">
        <v>31</v>
      </c>
      <c r="B12" s="65" t="s">
        <v>91</v>
      </c>
      <c r="C12" s="65" t="s">
        <v>62</v>
      </c>
      <c r="D12" s="65" t="s">
        <v>92</v>
      </c>
      <c r="E12" s="65" t="b">
        <v>0</v>
      </c>
      <c r="F12" s="65" t="b">
        <v>1</v>
      </c>
      <c r="G12" s="65" t="s">
        <v>93</v>
      </c>
      <c r="H12" s="67">
        <v>0</v>
      </c>
      <c r="I12" s="65"/>
      <c r="J12"/>
    </row>
    <row r="13" spans="1:10" ht="18">
      <c r="A13" s="65" t="s">
        <v>94</v>
      </c>
      <c r="B13" s="65" t="s">
        <v>95</v>
      </c>
      <c r="C13" s="65" t="s">
        <v>96</v>
      </c>
      <c r="D13" s="65"/>
      <c r="E13" s="65" t="b">
        <v>0</v>
      </c>
      <c r="F13" s="65" t="b">
        <v>0</v>
      </c>
      <c r="G13" s="65" t="s">
        <v>97</v>
      </c>
      <c r="H13" s="67">
        <v>0</v>
      </c>
      <c r="I13" s="65"/>
      <c r="J13"/>
    </row>
    <row r="14" spans="1:10" ht="18">
      <c r="A14" s="65" t="s">
        <v>32</v>
      </c>
      <c r="B14" s="65" t="s">
        <v>98</v>
      </c>
      <c r="C14" s="65" t="s">
        <v>99</v>
      </c>
      <c r="D14" s="65"/>
      <c r="E14" s="65" t="b">
        <v>0</v>
      </c>
      <c r="F14" s="65" t="b">
        <v>1</v>
      </c>
      <c r="G14" s="65" t="s">
        <v>100</v>
      </c>
      <c r="H14" s="67">
        <v>0</v>
      </c>
      <c r="I14" s="65"/>
      <c r="J14"/>
    </row>
    <row r="15" spans="1:10" ht="18">
      <c r="A15" s="65" t="s">
        <v>101</v>
      </c>
      <c r="B15" s="65" t="s">
        <v>102</v>
      </c>
      <c r="C15" s="65" t="s">
        <v>103</v>
      </c>
      <c r="D15" s="65" t="s">
        <v>104</v>
      </c>
      <c r="E15" s="65" t="b">
        <v>0</v>
      </c>
      <c r="F15" s="65" t="b">
        <v>1</v>
      </c>
      <c r="G15" s="65" t="s">
        <v>105</v>
      </c>
      <c r="H15" s="67">
        <v>0</v>
      </c>
      <c r="I15" s="65"/>
      <c r="J15"/>
    </row>
    <row r="16" spans="1:10" ht="18">
      <c r="A16" s="65" t="s">
        <v>106</v>
      </c>
      <c r="B16" s="65" t="s">
        <v>107</v>
      </c>
      <c r="C16" s="65" t="s">
        <v>108</v>
      </c>
      <c r="D16" s="65"/>
      <c r="E16" s="65" t="b">
        <v>0</v>
      </c>
      <c r="F16" s="65" t="b">
        <v>1</v>
      </c>
      <c r="G16" s="65" t="s">
        <v>109</v>
      </c>
      <c r="H16" s="67">
        <v>0</v>
      </c>
      <c r="I16" s="65"/>
      <c r="J16"/>
    </row>
    <row r="17" spans="1:10" ht="18">
      <c r="A17" s="65" t="s">
        <v>33</v>
      </c>
      <c r="B17" s="65" t="s">
        <v>110</v>
      </c>
      <c r="C17" s="65" t="s">
        <v>111</v>
      </c>
      <c r="D17" s="65" t="s">
        <v>112</v>
      </c>
      <c r="E17" s="65" t="b">
        <v>0</v>
      </c>
      <c r="F17" s="65" t="b">
        <v>1</v>
      </c>
      <c r="G17" s="65" t="s">
        <v>113</v>
      </c>
      <c r="H17" s="67">
        <v>0</v>
      </c>
      <c r="I17" s="65"/>
      <c r="J17"/>
    </row>
    <row r="18" spans="1:10" ht="18">
      <c r="A18" s="65" t="s">
        <v>51</v>
      </c>
      <c r="B18" s="65" t="s">
        <v>114</v>
      </c>
      <c r="C18" s="65" t="s">
        <v>108</v>
      </c>
      <c r="D18" s="65"/>
      <c r="E18" s="65" t="b">
        <v>0</v>
      </c>
      <c r="F18" s="65" t="b">
        <v>1</v>
      </c>
      <c r="G18" s="65" t="s">
        <v>115</v>
      </c>
      <c r="H18" s="67">
        <v>0</v>
      </c>
      <c r="I18" s="65"/>
      <c r="J18"/>
    </row>
    <row r="19" spans="1:10" ht="18">
      <c r="A19" s="65" t="s">
        <v>116</v>
      </c>
      <c r="B19" s="65" t="s">
        <v>117</v>
      </c>
      <c r="C19" s="65" t="s">
        <v>84</v>
      </c>
      <c r="D19" s="65"/>
      <c r="E19" s="65" t="b">
        <v>1</v>
      </c>
      <c r="F19" s="65" t="b">
        <v>0</v>
      </c>
      <c r="G19" s="65" t="s">
        <v>118</v>
      </c>
      <c r="H19" s="67">
        <v>0</v>
      </c>
      <c r="I19" s="65"/>
      <c r="J19"/>
    </row>
    <row r="20" spans="1:10" ht="18">
      <c r="A20" s="65" t="s">
        <v>119</v>
      </c>
      <c r="B20" s="65" t="s">
        <v>120</v>
      </c>
      <c r="C20" s="65" t="s">
        <v>71</v>
      </c>
      <c r="D20" s="65" t="s">
        <v>121</v>
      </c>
      <c r="E20" s="65" t="b">
        <v>0</v>
      </c>
      <c r="F20" s="65" t="b">
        <v>0</v>
      </c>
      <c r="G20" s="65" t="s">
        <v>119</v>
      </c>
      <c r="H20" s="67">
        <v>0</v>
      </c>
      <c r="I20" s="65"/>
      <c r="J20"/>
    </row>
    <row r="21" spans="1:10" ht="18">
      <c r="A21" s="65" t="s">
        <v>122</v>
      </c>
      <c r="B21" s="65" t="s">
        <v>123</v>
      </c>
      <c r="C21" s="65" t="s">
        <v>84</v>
      </c>
      <c r="D21" s="65"/>
      <c r="E21" s="65" t="b">
        <v>1</v>
      </c>
      <c r="F21" s="65" t="b">
        <v>0</v>
      </c>
      <c r="G21" s="65" t="s">
        <v>124</v>
      </c>
      <c r="H21" s="67">
        <v>0</v>
      </c>
      <c r="I21" s="65"/>
      <c r="J21"/>
    </row>
    <row r="22" spans="1:10" ht="18">
      <c r="A22" s="65" t="s">
        <v>125</v>
      </c>
      <c r="B22" s="65" t="s">
        <v>126</v>
      </c>
      <c r="C22" s="65" t="s">
        <v>127</v>
      </c>
      <c r="D22" s="65" t="s">
        <v>128</v>
      </c>
      <c r="E22" s="65" t="b">
        <v>0</v>
      </c>
      <c r="F22" s="65" t="b">
        <v>0</v>
      </c>
      <c r="G22" s="65" t="s">
        <v>129</v>
      </c>
      <c r="H22" s="67">
        <v>0</v>
      </c>
      <c r="I22" s="65"/>
      <c r="J22"/>
    </row>
    <row r="23" spans="1:10" ht="18">
      <c r="A23" s="65" t="s">
        <v>130</v>
      </c>
      <c r="B23" s="65" t="s">
        <v>131</v>
      </c>
      <c r="C23" s="65" t="s">
        <v>84</v>
      </c>
      <c r="D23" s="65"/>
      <c r="E23" s="65" t="b">
        <v>1</v>
      </c>
      <c r="F23" s="65" t="b">
        <v>0</v>
      </c>
      <c r="G23" s="65" t="s">
        <v>132</v>
      </c>
      <c r="H23" s="67">
        <v>0</v>
      </c>
      <c r="I23" s="65"/>
      <c r="J23"/>
    </row>
    <row r="24" spans="1:10" ht="18">
      <c r="A24" s="65" t="s">
        <v>57</v>
      </c>
      <c r="B24" s="65" t="s">
        <v>133</v>
      </c>
      <c r="C24" s="65" t="s">
        <v>133</v>
      </c>
      <c r="D24" s="65"/>
      <c r="E24" s="65" t="b">
        <v>1</v>
      </c>
      <c r="F24" s="65" t="b">
        <v>1</v>
      </c>
      <c r="G24" s="65" t="s">
        <v>134</v>
      </c>
      <c r="H24" s="67">
        <v>0</v>
      </c>
      <c r="I24" s="65"/>
      <c r="J24"/>
    </row>
    <row r="25" spans="1:10" ht="18">
      <c r="A25" s="65" t="s">
        <v>135</v>
      </c>
      <c r="B25" s="65" t="s">
        <v>136</v>
      </c>
      <c r="C25" s="65" t="s">
        <v>137</v>
      </c>
      <c r="D25" s="65"/>
      <c r="E25" s="65" t="b">
        <v>0</v>
      </c>
      <c r="F25" s="65" t="b">
        <v>0</v>
      </c>
      <c r="G25" s="65" t="s">
        <v>138</v>
      </c>
      <c r="H25" s="67">
        <v>0</v>
      </c>
      <c r="I25" s="65"/>
      <c r="J25"/>
    </row>
    <row r="26" spans="1:10" ht="18">
      <c r="A26" s="65" t="s">
        <v>139</v>
      </c>
      <c r="B26" s="65" t="s">
        <v>140</v>
      </c>
      <c r="C26" s="65" t="s">
        <v>103</v>
      </c>
      <c r="D26" s="65" t="s">
        <v>141</v>
      </c>
      <c r="E26" s="65" t="b">
        <v>0</v>
      </c>
      <c r="F26" s="65" t="b">
        <v>1</v>
      </c>
      <c r="G26" s="65" t="s">
        <v>139</v>
      </c>
      <c r="H26" s="67">
        <v>0</v>
      </c>
      <c r="I26" s="65"/>
      <c r="J26"/>
    </row>
    <row r="27" spans="1:10" ht="18">
      <c r="A27" s="65" t="s">
        <v>142</v>
      </c>
      <c r="B27" s="65" t="s">
        <v>143</v>
      </c>
      <c r="C27" s="65" t="s">
        <v>144</v>
      </c>
      <c r="D27" s="65"/>
      <c r="E27" s="65" t="b">
        <v>0</v>
      </c>
      <c r="F27" s="65" t="b">
        <v>0</v>
      </c>
      <c r="G27" s="65" t="s">
        <v>145</v>
      </c>
      <c r="H27" s="67">
        <v>0</v>
      </c>
      <c r="I27" s="65"/>
      <c r="J27"/>
    </row>
    <row r="28" spans="1:10" ht="18">
      <c r="A28" s="65" t="s">
        <v>146</v>
      </c>
      <c r="B28" s="65" t="s">
        <v>147</v>
      </c>
      <c r="C28" s="65" t="s">
        <v>66</v>
      </c>
      <c r="D28" s="65" t="s">
        <v>148</v>
      </c>
      <c r="E28" s="65" t="b">
        <v>0</v>
      </c>
      <c r="F28" s="65" t="b">
        <v>0</v>
      </c>
      <c r="G28" s="65" t="s">
        <v>149</v>
      </c>
      <c r="H28" s="67">
        <v>1</v>
      </c>
      <c r="I28" s="65" t="s">
        <v>4</v>
      </c>
      <c r="J28"/>
    </row>
    <row r="29" spans="1:10" ht="18">
      <c r="A29" s="65" t="s">
        <v>150</v>
      </c>
      <c r="B29" s="65" t="s">
        <v>151</v>
      </c>
      <c r="C29" s="65" t="s">
        <v>103</v>
      </c>
      <c r="D29" s="65" t="s">
        <v>152</v>
      </c>
      <c r="E29" s="65" t="b">
        <v>0</v>
      </c>
      <c r="F29" s="65" t="b">
        <v>1</v>
      </c>
      <c r="G29" s="65" t="s">
        <v>153</v>
      </c>
      <c r="H29" s="67">
        <v>1</v>
      </c>
      <c r="I29" s="65" t="s">
        <v>101</v>
      </c>
      <c r="J29"/>
    </row>
    <row r="30" spans="1:10" ht="18">
      <c r="A30" s="65" t="s">
        <v>154</v>
      </c>
      <c r="B30" s="65" t="s">
        <v>155</v>
      </c>
      <c r="C30" s="65" t="s">
        <v>103</v>
      </c>
      <c r="D30" s="65" t="s">
        <v>156</v>
      </c>
      <c r="E30" s="65" t="b">
        <v>0</v>
      </c>
      <c r="F30" s="65" t="b">
        <v>1</v>
      </c>
      <c r="G30" s="65" t="s">
        <v>157</v>
      </c>
      <c r="H30" s="67">
        <v>1</v>
      </c>
      <c r="I30" s="65" t="s">
        <v>101</v>
      </c>
      <c r="J30"/>
    </row>
    <row r="31" spans="1:10" ht="18">
      <c r="A31" s="66" t="s">
        <v>158</v>
      </c>
      <c r="B31" s="66" t="s">
        <v>159</v>
      </c>
      <c r="C31" s="66" t="s">
        <v>87</v>
      </c>
      <c r="D31" s="66"/>
      <c r="E31" s="66" t="b">
        <v>1</v>
      </c>
      <c r="F31" s="66" t="b">
        <v>1</v>
      </c>
      <c r="G31" s="66" t="s">
        <v>158</v>
      </c>
      <c r="H31" s="68">
        <v>1</v>
      </c>
      <c r="I31" s="66" t="s">
        <v>86</v>
      </c>
      <c r="J31"/>
    </row>
    <row r="32" spans="1:10" ht="18">
      <c r="A32"/>
      <c r="B32"/>
      <c r="C32"/>
      <c r="D32"/>
      <c r="E32"/>
      <c r="F32"/>
      <c r="G32"/>
      <c r="H32"/>
      <c r="I32"/>
      <c r="J32"/>
    </row>
    <row r="33" spans="1:10" ht="18">
      <c r="A33"/>
      <c r="B33"/>
      <c r="C33"/>
      <c r="D33"/>
      <c r="E33"/>
      <c r="F33"/>
      <c r="G33"/>
      <c r="H33"/>
      <c r="I33"/>
      <c r="J33"/>
    </row>
    <row r="34" spans="1:10" ht="18">
      <c r="A34"/>
      <c r="B34"/>
      <c r="C34"/>
      <c r="D34"/>
      <c r="E34"/>
      <c r="F34"/>
      <c r="G34"/>
      <c r="H34"/>
      <c r="I34"/>
      <c r="J34"/>
    </row>
    <row r="35" spans="1:10" ht="18">
      <c r="A35"/>
      <c r="B35"/>
      <c r="C35"/>
      <c r="D35"/>
      <c r="E35"/>
      <c r="F35"/>
      <c r="G35"/>
      <c r="H35"/>
      <c r="I35"/>
      <c r="J35"/>
    </row>
    <row r="36" spans="1:10" ht="18">
      <c r="A36"/>
      <c r="B36"/>
      <c r="C36"/>
      <c r="D36"/>
      <c r="E36"/>
      <c r="F36"/>
      <c r="G36"/>
      <c r="H36"/>
      <c r="I36"/>
      <c r="J36"/>
    </row>
    <row r="37" spans="1:10" ht="18">
      <c r="A37"/>
      <c r="B37"/>
      <c r="C37"/>
      <c r="D37"/>
      <c r="E37"/>
      <c r="F37"/>
      <c r="G37"/>
      <c r="H37"/>
      <c r="I37"/>
      <c r="J37"/>
    </row>
    <row r="38" spans="1:10" ht="18">
      <c r="A38"/>
      <c r="B38"/>
      <c r="C38"/>
      <c r="D38"/>
      <c r="E38"/>
      <c r="F38"/>
      <c r="G38"/>
      <c r="H38"/>
      <c r="I38"/>
      <c r="J38"/>
    </row>
    <row r="39" spans="1:10" ht="18">
      <c r="A39"/>
      <c r="B39"/>
      <c r="C39"/>
      <c r="D39"/>
      <c r="E39"/>
      <c r="F39"/>
      <c r="G39"/>
      <c r="H39"/>
      <c r="I39"/>
      <c r="J39"/>
    </row>
    <row r="40" spans="1:10" ht="18">
      <c r="A40"/>
      <c r="B40"/>
      <c r="C40"/>
      <c r="D40"/>
      <c r="E40"/>
      <c r="F40"/>
      <c r="G40"/>
      <c r="H40"/>
      <c r="I40"/>
      <c r="J40"/>
    </row>
    <row r="41" spans="1:10" ht="18">
      <c r="A41"/>
      <c r="B41"/>
      <c r="C41"/>
      <c r="D41"/>
      <c r="E41"/>
      <c r="F41"/>
      <c r="G41"/>
      <c r="H41"/>
      <c r="I41"/>
      <c r="J41"/>
    </row>
    <row r="42" spans="1:10" ht="18">
      <c r="A42"/>
      <c r="B42"/>
      <c r="C42"/>
      <c r="D42"/>
      <c r="E42"/>
      <c r="F42"/>
      <c r="G42"/>
      <c r="H42"/>
      <c r="I42"/>
      <c r="J42"/>
    </row>
    <row r="43" spans="1:10" ht="18">
      <c r="A43"/>
      <c r="B43"/>
      <c r="C43"/>
      <c r="D43"/>
      <c r="E43"/>
      <c r="F43"/>
      <c r="G43"/>
      <c r="H43"/>
      <c r="I43"/>
      <c r="J43"/>
    </row>
    <row r="44" spans="1:10" ht="18">
      <c r="A44"/>
      <c r="B44"/>
      <c r="C44"/>
      <c r="D44"/>
      <c r="E44"/>
      <c r="F44"/>
      <c r="G44"/>
      <c r="H44"/>
      <c r="I44"/>
      <c r="J44"/>
    </row>
    <row r="45" spans="1:10" ht="18">
      <c r="A45"/>
      <c r="B45"/>
      <c r="C45"/>
      <c r="D45"/>
      <c r="E45"/>
      <c r="F45"/>
      <c r="G45"/>
      <c r="H45"/>
      <c r="I45"/>
      <c r="J45"/>
    </row>
    <row r="46" spans="1:10" ht="18">
      <c r="A46"/>
      <c r="B46"/>
      <c r="C46"/>
      <c r="D46"/>
      <c r="E46"/>
      <c r="F46"/>
      <c r="G46"/>
      <c r="H46"/>
      <c r="I46"/>
      <c r="J46"/>
    </row>
    <row r="47" spans="1:10" ht="18">
      <c r="A47"/>
      <c r="B47"/>
      <c r="C47"/>
      <c r="D47"/>
      <c r="E47"/>
      <c r="F47"/>
      <c r="G47"/>
      <c r="H47"/>
      <c r="I47"/>
      <c r="J47"/>
    </row>
    <row r="48" spans="1:10" ht="18">
      <c r="A48"/>
      <c r="B48"/>
      <c r="C48"/>
      <c r="D48"/>
      <c r="E48"/>
      <c r="F48"/>
      <c r="G48"/>
      <c r="H48"/>
      <c r="I48"/>
      <c r="J48"/>
    </row>
    <row r="49" spans="1:10" ht="18">
      <c r="A49"/>
      <c r="B49"/>
      <c r="C49"/>
      <c r="D49"/>
      <c r="E49"/>
      <c r="F49"/>
      <c r="G49"/>
      <c r="H49"/>
      <c r="I49"/>
      <c r="J49"/>
    </row>
    <row r="50" spans="1:10" ht="18">
      <c r="A50"/>
      <c r="B50"/>
      <c r="C50"/>
      <c r="D50"/>
      <c r="E50"/>
      <c r="F50"/>
      <c r="G50"/>
      <c r="H50"/>
      <c r="I50"/>
      <c r="J50"/>
    </row>
    <row r="51" spans="1:10" ht="18">
      <c r="A51"/>
      <c r="B51"/>
      <c r="C51"/>
      <c r="D51"/>
      <c r="E51"/>
      <c r="F51"/>
      <c r="G51"/>
      <c r="H51"/>
      <c r="I51"/>
      <c r="J51"/>
    </row>
    <row r="52" spans="1:10" ht="18">
      <c r="A52"/>
      <c r="B52"/>
      <c r="C52"/>
      <c r="D52"/>
      <c r="E52"/>
      <c r="F52"/>
      <c r="G52"/>
      <c r="H52"/>
      <c r="I52"/>
      <c r="J52"/>
    </row>
    <row r="53" spans="1:10" ht="18">
      <c r="A53"/>
      <c r="B53"/>
      <c r="C53"/>
      <c r="D53"/>
      <c r="E53"/>
      <c r="F53"/>
      <c r="G53"/>
      <c r="H53"/>
      <c r="I53"/>
      <c r="J53"/>
    </row>
    <row r="54" spans="1:10" ht="18">
      <c r="A54"/>
      <c r="B54"/>
      <c r="C54"/>
      <c r="D54"/>
      <c r="E54"/>
      <c r="F54"/>
      <c r="G54"/>
      <c r="H54"/>
      <c r="I54"/>
      <c r="J54"/>
    </row>
    <row r="55" spans="1:10" ht="18">
      <c r="A55"/>
      <c r="B55"/>
      <c r="C55"/>
      <c r="D55"/>
      <c r="E55"/>
      <c r="F55"/>
      <c r="G55"/>
      <c r="H55"/>
      <c r="I55"/>
      <c r="J55"/>
    </row>
    <row r="56" spans="1:10" ht="18">
      <c r="A56"/>
      <c r="B56"/>
      <c r="C56"/>
      <c r="D56"/>
      <c r="E56"/>
      <c r="F56"/>
      <c r="G56"/>
      <c r="H56"/>
      <c r="I56"/>
      <c r="J56"/>
    </row>
    <row r="57" spans="1:10" ht="18">
      <c r="A57"/>
      <c r="B57"/>
      <c r="C57"/>
      <c r="D57"/>
      <c r="E57"/>
      <c r="F57"/>
      <c r="G57"/>
      <c r="H57"/>
      <c r="I57"/>
      <c r="J57"/>
    </row>
    <row r="58" spans="1:10" ht="18">
      <c r="A58"/>
      <c r="B58"/>
      <c r="C58"/>
      <c r="D58"/>
      <c r="E58"/>
      <c r="F58"/>
      <c r="G58"/>
      <c r="H58"/>
      <c r="I58"/>
      <c r="J58"/>
    </row>
    <row r="59" spans="1:10" ht="18">
      <c r="A59"/>
      <c r="B59"/>
      <c r="C59"/>
      <c r="D59"/>
      <c r="E59"/>
      <c r="F59"/>
      <c r="G59"/>
      <c r="H59"/>
      <c r="I59"/>
      <c r="J59"/>
    </row>
    <row r="60" spans="1:10" ht="18">
      <c r="A60"/>
      <c r="B60"/>
      <c r="C60"/>
      <c r="D60"/>
      <c r="E60"/>
      <c r="F60"/>
      <c r="G60"/>
      <c r="H60"/>
      <c r="I60"/>
      <c r="J60"/>
    </row>
    <row r="61" spans="1:10" ht="18">
      <c r="A61"/>
      <c r="B61"/>
      <c r="C61"/>
      <c r="D61"/>
      <c r="E61"/>
      <c r="F61"/>
      <c r="G61"/>
      <c r="H61"/>
      <c r="I61"/>
      <c r="J61"/>
    </row>
    <row r="62" spans="1:10" ht="18">
      <c r="A62"/>
      <c r="B62"/>
      <c r="C62"/>
      <c r="D62"/>
      <c r="E62"/>
      <c r="F62"/>
      <c r="G62"/>
      <c r="H62"/>
      <c r="I62"/>
      <c r="J62"/>
    </row>
    <row r="63" spans="1:10" ht="18">
      <c r="A63"/>
      <c r="B63"/>
      <c r="C63"/>
      <c r="D63"/>
      <c r="E63"/>
      <c r="F63"/>
      <c r="G63"/>
      <c r="H63"/>
      <c r="I63"/>
      <c r="J63"/>
    </row>
    <row r="64" spans="1:10" ht="18">
      <c r="A64"/>
      <c r="B64"/>
      <c r="C64"/>
      <c r="D64"/>
      <c r="E64"/>
      <c r="F64"/>
      <c r="G64"/>
      <c r="H64"/>
      <c r="I64"/>
      <c r="J64"/>
    </row>
    <row r="65" spans="1:10" ht="18">
      <c r="A65"/>
      <c r="B65"/>
      <c r="C65"/>
      <c r="D65"/>
      <c r="E65"/>
      <c r="F65"/>
      <c r="G65"/>
      <c r="H65"/>
      <c r="I65"/>
      <c r="J65"/>
    </row>
    <row r="66" spans="1:10" ht="18">
      <c r="A66"/>
      <c r="B66"/>
      <c r="C66"/>
      <c r="D66"/>
      <c r="E66"/>
      <c r="F66"/>
      <c r="G66"/>
      <c r="H66"/>
      <c r="I66"/>
      <c r="J66"/>
    </row>
    <row r="67" spans="1:10" ht="18">
      <c r="A67"/>
      <c r="B67"/>
      <c r="C67"/>
      <c r="D67"/>
      <c r="E67"/>
      <c r="F67"/>
      <c r="G67"/>
      <c r="H67"/>
      <c r="I67"/>
      <c r="J67"/>
    </row>
    <row r="68" spans="1:10" ht="18">
      <c r="A68"/>
      <c r="B68"/>
      <c r="C68"/>
      <c r="D68"/>
      <c r="E68"/>
      <c r="F68"/>
      <c r="G68"/>
      <c r="H68"/>
      <c r="I68"/>
      <c r="J68"/>
    </row>
    <row r="69" spans="1:10" ht="18">
      <c r="A69"/>
      <c r="B69"/>
      <c r="C69"/>
      <c r="D69"/>
      <c r="E69"/>
      <c r="F69"/>
      <c r="G69"/>
      <c r="H69"/>
      <c r="I69"/>
      <c r="J69"/>
    </row>
    <row r="70" spans="1:10" ht="18">
      <c r="A70"/>
      <c r="B70"/>
      <c r="C70"/>
      <c r="D70"/>
      <c r="E70"/>
      <c r="F70"/>
      <c r="G70"/>
      <c r="H70"/>
      <c r="I70"/>
      <c r="J70"/>
    </row>
    <row r="71" spans="1:10" ht="18">
      <c r="A71"/>
      <c r="B71"/>
      <c r="C71"/>
      <c r="D71"/>
      <c r="E71"/>
      <c r="F71"/>
      <c r="G71"/>
      <c r="H71"/>
      <c r="I71"/>
      <c r="J71"/>
    </row>
    <row r="72" spans="1:10" ht="18">
      <c r="A72"/>
      <c r="B72"/>
      <c r="C72"/>
      <c r="D72"/>
      <c r="E72"/>
      <c r="F72"/>
      <c r="G72"/>
      <c r="H72"/>
      <c r="I72"/>
      <c r="J72"/>
    </row>
    <row r="73" spans="1:10" ht="18">
      <c r="A73"/>
      <c r="B73"/>
      <c r="C73"/>
      <c r="D73"/>
      <c r="E73"/>
      <c r="F73"/>
      <c r="G73"/>
      <c r="H73"/>
      <c r="I73"/>
      <c r="J73"/>
    </row>
    <row r="74" spans="1:10" ht="18">
      <c r="A74"/>
      <c r="B74"/>
      <c r="C74"/>
      <c r="D74"/>
      <c r="E74"/>
      <c r="F74"/>
      <c r="G74"/>
      <c r="H74"/>
      <c r="I74"/>
      <c r="J74"/>
    </row>
    <row r="75" spans="1:10" ht="18">
      <c r="A75"/>
      <c r="B75"/>
      <c r="C75"/>
      <c r="D75"/>
      <c r="E75"/>
      <c r="F75"/>
      <c r="G75"/>
      <c r="H75"/>
      <c r="I75"/>
      <c r="J75"/>
    </row>
    <row r="76" spans="1:10" ht="18">
      <c r="A76"/>
      <c r="B76"/>
      <c r="C76"/>
      <c r="D76"/>
      <c r="E76"/>
      <c r="F76"/>
      <c r="G76"/>
      <c r="H76"/>
      <c r="I76"/>
      <c r="J76"/>
    </row>
    <row r="77" spans="1:10" ht="18">
      <c r="A77"/>
      <c r="B77"/>
      <c r="C77"/>
      <c r="D77"/>
      <c r="E77"/>
      <c r="F77"/>
      <c r="G77"/>
      <c r="H77"/>
      <c r="I77"/>
      <c r="J77"/>
    </row>
    <row r="78" spans="1:10" ht="18">
      <c r="A78"/>
      <c r="B78"/>
      <c r="C78"/>
      <c r="D78"/>
      <c r="E78"/>
      <c r="F78"/>
      <c r="G78"/>
      <c r="H78"/>
      <c r="I78"/>
      <c r="J78"/>
    </row>
    <row r="79" spans="1:10" ht="18">
      <c r="A79"/>
      <c r="B79"/>
      <c r="C79"/>
      <c r="D79"/>
      <c r="E79"/>
      <c r="F79"/>
      <c r="G79"/>
      <c r="H79"/>
      <c r="I79"/>
      <c r="J79"/>
    </row>
    <row r="80" spans="1:10" ht="18">
      <c r="A80"/>
      <c r="B80"/>
      <c r="C80"/>
      <c r="D80"/>
      <c r="E80"/>
      <c r="F80"/>
      <c r="G80"/>
      <c r="H80"/>
      <c r="I80"/>
      <c r="J80"/>
    </row>
    <row r="81" spans="1:10" ht="18">
      <c r="A81"/>
      <c r="B81"/>
      <c r="C81"/>
      <c r="D81"/>
      <c r="E81"/>
      <c r="F81"/>
      <c r="G81"/>
      <c r="H81"/>
      <c r="I81"/>
      <c r="J81"/>
    </row>
    <row r="82" spans="1:10" ht="18">
      <c r="A82"/>
      <c r="B82"/>
      <c r="C82"/>
      <c r="D82"/>
      <c r="E82"/>
      <c r="F82"/>
      <c r="G82"/>
      <c r="H82"/>
      <c r="I82"/>
      <c r="J82"/>
    </row>
    <row r="83" spans="1:10" ht="18">
      <c r="A83"/>
      <c r="B83"/>
      <c r="C83"/>
      <c r="D83"/>
      <c r="E83"/>
      <c r="F83"/>
      <c r="G83"/>
      <c r="H83"/>
      <c r="I83"/>
      <c r="J83"/>
    </row>
    <row r="84" spans="1:10" ht="18">
      <c r="A84"/>
      <c r="B84"/>
      <c r="C84"/>
      <c r="D84"/>
      <c r="E84"/>
      <c r="F84"/>
      <c r="G84"/>
      <c r="H84"/>
      <c r="I84"/>
      <c r="J84"/>
    </row>
    <row r="85" spans="1:10" ht="18">
      <c r="A85"/>
      <c r="B85"/>
      <c r="C85"/>
      <c r="D85"/>
      <c r="E85"/>
      <c r="F85"/>
      <c r="G85"/>
      <c r="H85"/>
      <c r="I85"/>
      <c r="J85"/>
    </row>
    <row r="86" spans="1:10" ht="18">
      <c r="A86"/>
      <c r="B86"/>
      <c r="C86"/>
      <c r="D86"/>
      <c r="E86"/>
      <c r="F86"/>
      <c r="G86"/>
      <c r="H86"/>
      <c r="I86"/>
      <c r="J86"/>
    </row>
    <row r="87" spans="1:10" ht="18">
      <c r="A87"/>
      <c r="B87"/>
      <c r="C87"/>
      <c r="D87"/>
      <c r="E87"/>
      <c r="F87"/>
      <c r="G87"/>
      <c r="H87"/>
      <c r="I87"/>
      <c r="J87"/>
    </row>
    <row r="88" spans="1:10" ht="18">
      <c r="A88"/>
      <c r="B88"/>
      <c r="C88"/>
      <c r="D88"/>
      <c r="E88"/>
      <c r="F88"/>
      <c r="G88"/>
      <c r="H88"/>
      <c r="I88"/>
      <c r="J88"/>
    </row>
    <row r="89" spans="1:10" ht="18">
      <c r="A89"/>
      <c r="B89"/>
      <c r="C89"/>
      <c r="D89"/>
      <c r="E89"/>
      <c r="F89"/>
      <c r="G89"/>
      <c r="H89"/>
      <c r="I89"/>
      <c r="J89"/>
    </row>
    <row r="90" spans="1:10" ht="18">
      <c r="A90"/>
      <c r="B90"/>
      <c r="C90"/>
      <c r="D90"/>
      <c r="E90"/>
      <c r="F90"/>
      <c r="G90"/>
      <c r="H90"/>
      <c r="I90"/>
      <c r="J90"/>
    </row>
    <row r="91" spans="1:10" ht="18">
      <c r="A91"/>
      <c r="B91"/>
      <c r="C91"/>
      <c r="D91"/>
      <c r="E91"/>
      <c r="F91"/>
      <c r="G91"/>
      <c r="H91"/>
      <c r="I91"/>
      <c r="J91"/>
    </row>
    <row r="92" spans="1:10" ht="18">
      <c r="A92"/>
      <c r="B92"/>
      <c r="C92"/>
      <c r="D92"/>
      <c r="E92"/>
      <c r="F92"/>
      <c r="G92"/>
      <c r="H92"/>
      <c r="I92"/>
      <c r="J92"/>
    </row>
    <row r="93" spans="1:10" ht="18">
      <c r="A93"/>
      <c r="B93"/>
      <c r="C93"/>
      <c r="D93"/>
      <c r="E93"/>
      <c r="F93"/>
      <c r="G93"/>
      <c r="H93"/>
      <c r="I93"/>
      <c r="J93"/>
    </row>
    <row r="94" spans="1:10" ht="18">
      <c r="A94"/>
      <c r="B94"/>
      <c r="C94"/>
      <c r="D94"/>
      <c r="E94"/>
      <c r="F94"/>
      <c r="G94"/>
      <c r="H94"/>
      <c r="I94"/>
      <c r="J94"/>
    </row>
    <row r="95" spans="1:10" ht="18">
      <c r="A95"/>
      <c r="B95"/>
      <c r="C95"/>
      <c r="D95"/>
      <c r="E95"/>
      <c r="F95"/>
      <c r="G95"/>
      <c r="H95"/>
      <c r="I95"/>
      <c r="J95"/>
    </row>
    <row r="96" spans="1:10" ht="18">
      <c r="A96"/>
      <c r="B96"/>
      <c r="C96"/>
      <c r="D96"/>
      <c r="E96"/>
      <c r="F96"/>
      <c r="G96"/>
      <c r="H96"/>
      <c r="I96"/>
      <c r="J96"/>
    </row>
    <row r="97" spans="1:10" ht="18">
      <c r="A97"/>
      <c r="B97"/>
      <c r="C97"/>
      <c r="D97"/>
      <c r="E97"/>
      <c r="F97"/>
      <c r="G97"/>
      <c r="H97"/>
      <c r="I97"/>
      <c r="J97"/>
    </row>
    <row r="98" spans="1:10" ht="18">
      <c r="A98"/>
      <c r="B98"/>
      <c r="C98"/>
      <c r="D98"/>
      <c r="E98"/>
      <c r="F98"/>
      <c r="G98"/>
      <c r="H98"/>
      <c r="I98"/>
      <c r="J98"/>
    </row>
    <row r="99" spans="1:10" ht="18">
      <c r="A99"/>
      <c r="B99"/>
      <c r="C99"/>
      <c r="D99"/>
      <c r="E99"/>
      <c r="F99"/>
      <c r="G99"/>
      <c r="H99"/>
      <c r="I99"/>
      <c r="J99"/>
    </row>
    <row r="100" spans="1:10" ht="18">
      <c r="A100"/>
      <c r="B100"/>
      <c r="C100"/>
      <c r="D100"/>
      <c r="E100"/>
      <c r="F100"/>
      <c r="G100"/>
      <c r="H100"/>
      <c r="I100"/>
      <c r="J100"/>
    </row>
    <row r="101" spans="1:10" ht="18">
      <c r="A101"/>
      <c r="B101"/>
      <c r="C101"/>
      <c r="D101"/>
      <c r="E101"/>
      <c r="F101"/>
      <c r="G101"/>
      <c r="H101"/>
      <c r="I101"/>
      <c r="J101"/>
    </row>
    <row r="102" spans="1:10" ht="18">
      <c r="A102"/>
      <c r="B102"/>
      <c r="C102"/>
      <c r="D102"/>
      <c r="E102"/>
      <c r="F102"/>
      <c r="G102"/>
      <c r="H102"/>
      <c r="I102"/>
      <c r="J102"/>
    </row>
    <row r="103" spans="1:10" ht="18">
      <c r="A103"/>
      <c r="B103"/>
      <c r="C103"/>
      <c r="D103"/>
      <c r="E103"/>
      <c r="F103"/>
      <c r="G103"/>
      <c r="H103"/>
      <c r="I103"/>
      <c r="J103"/>
    </row>
    <row r="104" spans="1:10" ht="18">
      <c r="A104"/>
      <c r="B104"/>
      <c r="C104"/>
      <c r="D104"/>
      <c r="E104"/>
      <c r="F104"/>
      <c r="G104"/>
      <c r="H104"/>
      <c r="I104"/>
      <c r="J104"/>
    </row>
    <row r="105" spans="1:10" ht="18">
      <c r="A105"/>
      <c r="B105"/>
      <c r="C105"/>
      <c r="D105"/>
      <c r="E105"/>
      <c r="F105"/>
      <c r="G105"/>
      <c r="H105"/>
      <c r="I105"/>
      <c r="J105"/>
    </row>
    <row r="106" spans="1:10" ht="18">
      <c r="A106"/>
      <c r="B106"/>
      <c r="C106"/>
      <c r="D106"/>
      <c r="E106"/>
      <c r="F106"/>
      <c r="G106"/>
      <c r="H106"/>
      <c r="I106"/>
      <c r="J106"/>
    </row>
    <row r="107" spans="1:10" ht="18">
      <c r="A107"/>
      <c r="B107"/>
      <c r="C107"/>
      <c r="D107"/>
      <c r="E107"/>
      <c r="F107"/>
      <c r="G107"/>
      <c r="H107"/>
      <c r="I107"/>
      <c r="J107"/>
    </row>
    <row r="108" spans="1:10" ht="18">
      <c r="A108"/>
      <c r="B108"/>
      <c r="C108"/>
      <c r="D108"/>
      <c r="E108"/>
      <c r="F108"/>
      <c r="G108"/>
      <c r="H108"/>
      <c r="I108"/>
      <c r="J108"/>
    </row>
    <row r="109" spans="1:10" ht="18">
      <c r="A109"/>
      <c r="B109"/>
      <c r="C109"/>
      <c r="D109"/>
      <c r="E109"/>
      <c r="F109"/>
      <c r="G109"/>
      <c r="H109"/>
      <c r="I109"/>
      <c r="J109"/>
    </row>
    <row r="110" spans="1:10" ht="18">
      <c r="A110"/>
      <c r="B110"/>
      <c r="C110"/>
      <c r="D110"/>
      <c r="E110"/>
      <c r="F110"/>
      <c r="G110"/>
      <c r="H110"/>
      <c r="I110"/>
      <c r="J110"/>
    </row>
    <row r="111" spans="1:10" ht="18">
      <c r="A111"/>
      <c r="B111"/>
      <c r="C111"/>
      <c r="D111"/>
      <c r="E111"/>
      <c r="F111"/>
      <c r="G111"/>
      <c r="H111"/>
      <c r="I111"/>
      <c r="J111"/>
    </row>
    <row r="112" spans="1:10" ht="18">
      <c r="A112"/>
      <c r="B112"/>
      <c r="C112"/>
      <c r="D112"/>
      <c r="E112"/>
      <c r="F112"/>
      <c r="G112"/>
      <c r="H112"/>
      <c r="I112"/>
      <c r="J112"/>
    </row>
    <row r="113" spans="1:10" ht="18">
      <c r="A113"/>
      <c r="B113"/>
      <c r="C113"/>
      <c r="D113"/>
      <c r="E113"/>
      <c r="F113"/>
      <c r="G113"/>
      <c r="H113"/>
      <c r="I113"/>
      <c r="J113"/>
    </row>
    <row r="114" spans="1:10" ht="18">
      <c r="A114"/>
      <c r="B114"/>
      <c r="C114"/>
      <c r="D114"/>
      <c r="E114"/>
      <c r="F114"/>
      <c r="G114"/>
      <c r="H114"/>
      <c r="I114"/>
      <c r="J114"/>
    </row>
    <row r="115" spans="1:10" ht="18">
      <c r="A115"/>
      <c r="B115"/>
      <c r="C115"/>
      <c r="D115"/>
      <c r="E115"/>
      <c r="F115"/>
      <c r="G115"/>
      <c r="H115"/>
      <c r="I115"/>
      <c r="J115"/>
    </row>
    <row r="116" spans="1:10" ht="18">
      <c r="A116"/>
      <c r="B116"/>
      <c r="C116"/>
      <c r="D116"/>
      <c r="E116"/>
      <c r="F116"/>
      <c r="G116"/>
      <c r="H116"/>
      <c r="I116"/>
      <c r="J116"/>
    </row>
    <row r="117" spans="1:10" ht="18">
      <c r="A117"/>
      <c r="B117"/>
      <c r="C117"/>
      <c r="D117"/>
      <c r="E117"/>
      <c r="F117"/>
      <c r="G117"/>
      <c r="H117"/>
      <c r="I117"/>
      <c r="J117"/>
    </row>
    <row r="118" spans="1:10" ht="18">
      <c r="A118"/>
      <c r="B118"/>
      <c r="C118"/>
      <c r="D118"/>
      <c r="E118"/>
      <c r="F118"/>
      <c r="G118"/>
      <c r="H118"/>
      <c r="I118"/>
      <c r="J118"/>
    </row>
    <row r="119" spans="1:10" ht="18">
      <c r="A119"/>
      <c r="B119"/>
      <c r="C119"/>
      <c r="D119"/>
      <c r="E119"/>
      <c r="F119"/>
      <c r="G119"/>
      <c r="H119"/>
      <c r="I119"/>
      <c r="J119"/>
    </row>
    <row r="120" spans="1:10" ht="18">
      <c r="A120"/>
      <c r="B120"/>
      <c r="C120"/>
      <c r="D120"/>
      <c r="E120"/>
      <c r="F120"/>
      <c r="G120"/>
      <c r="H120"/>
      <c r="I120"/>
      <c r="J120"/>
    </row>
    <row r="121" spans="1:10" ht="18">
      <c r="A121"/>
      <c r="B121"/>
      <c r="C121"/>
      <c r="D121"/>
      <c r="E121"/>
      <c r="F121"/>
      <c r="G121"/>
      <c r="H121"/>
      <c r="I121"/>
      <c r="J121"/>
    </row>
    <row r="122" spans="1:10" ht="18">
      <c r="A122"/>
      <c r="B122"/>
      <c r="C122"/>
      <c r="D122"/>
      <c r="E122"/>
      <c r="F122"/>
      <c r="G122"/>
      <c r="H122"/>
      <c r="I122"/>
      <c r="J122"/>
    </row>
    <row r="123" spans="1:10" ht="18">
      <c r="A123"/>
      <c r="B123"/>
      <c r="C123"/>
      <c r="D123"/>
      <c r="E123"/>
      <c r="F123"/>
      <c r="G123"/>
      <c r="H123"/>
      <c r="I123"/>
      <c r="J123"/>
    </row>
    <row r="124" spans="1:10" ht="18">
      <c r="A124"/>
      <c r="B124"/>
      <c r="C124"/>
      <c r="D124"/>
      <c r="E124"/>
      <c r="F124"/>
      <c r="G124"/>
      <c r="H124"/>
      <c r="I124"/>
      <c r="J124"/>
    </row>
    <row r="125" spans="1:10" ht="18">
      <c r="A125"/>
      <c r="B125"/>
      <c r="C125"/>
      <c r="D125"/>
      <c r="E125"/>
      <c r="F125"/>
      <c r="G125"/>
      <c r="H125"/>
      <c r="I125"/>
      <c r="J125"/>
    </row>
    <row r="126" spans="1:10" ht="18">
      <c r="A126"/>
      <c r="B126"/>
      <c r="C126"/>
      <c r="D126"/>
      <c r="E126"/>
      <c r="F126"/>
      <c r="G126"/>
      <c r="H126"/>
      <c r="I126"/>
      <c r="J126"/>
    </row>
    <row r="127" spans="1:10" ht="18">
      <c r="A127"/>
      <c r="B127"/>
      <c r="C127"/>
      <c r="D127"/>
      <c r="E127"/>
      <c r="F127"/>
      <c r="G127"/>
      <c r="H127"/>
      <c r="I127"/>
      <c r="J127"/>
    </row>
    <row r="128" spans="1:10" ht="18">
      <c r="A128"/>
      <c r="B128"/>
      <c r="C128"/>
      <c r="D128"/>
      <c r="E128"/>
      <c r="F128"/>
      <c r="G128"/>
      <c r="H128"/>
      <c r="I128"/>
      <c r="J128"/>
    </row>
    <row r="129" spans="1:10" ht="18">
      <c r="A129"/>
      <c r="B129"/>
      <c r="C129"/>
      <c r="D129"/>
      <c r="E129"/>
      <c r="F129"/>
      <c r="G129"/>
      <c r="H129"/>
      <c r="I129"/>
      <c r="J129"/>
    </row>
    <row r="130" spans="1:10" ht="18">
      <c r="A130"/>
      <c r="B130"/>
      <c r="C130"/>
      <c r="D130"/>
      <c r="E130"/>
      <c r="F130"/>
      <c r="G130"/>
      <c r="H130"/>
      <c r="I130"/>
      <c r="J130"/>
    </row>
    <row r="131" spans="1:10" ht="18">
      <c r="A131"/>
      <c r="B131"/>
      <c r="C131"/>
      <c r="D131"/>
      <c r="E131"/>
      <c r="F131"/>
      <c r="G131"/>
      <c r="H131"/>
      <c r="I131"/>
      <c r="J131"/>
    </row>
    <row r="132" spans="1:10" ht="18">
      <c r="A132"/>
      <c r="B132"/>
      <c r="C132"/>
      <c r="D132"/>
      <c r="E132"/>
      <c r="F132"/>
      <c r="G132"/>
      <c r="H132"/>
      <c r="I132"/>
      <c r="J132"/>
    </row>
    <row r="133" spans="1:10" ht="18">
      <c r="A133"/>
      <c r="B133"/>
      <c r="C133"/>
      <c r="D133"/>
      <c r="E133"/>
      <c r="F133"/>
      <c r="G133"/>
      <c r="H133"/>
      <c r="I133"/>
      <c r="J133"/>
    </row>
    <row r="134" spans="1:10" ht="18">
      <c r="A134"/>
      <c r="B134"/>
      <c r="C134"/>
      <c r="D134"/>
      <c r="E134"/>
      <c r="F134"/>
      <c r="G134"/>
      <c r="H134"/>
      <c r="I134"/>
      <c r="J134"/>
    </row>
    <row r="135" spans="1:10" ht="18">
      <c r="A135"/>
      <c r="B135"/>
      <c r="C135"/>
      <c r="D135"/>
      <c r="E135"/>
      <c r="F135"/>
      <c r="G135"/>
      <c r="H135"/>
      <c r="I135"/>
      <c r="J135"/>
    </row>
    <row r="136" spans="1:10" ht="18">
      <c r="A136"/>
      <c r="B136"/>
      <c r="C136"/>
      <c r="D136"/>
      <c r="E136"/>
      <c r="F136"/>
      <c r="G136"/>
      <c r="H136"/>
      <c r="I136"/>
      <c r="J136"/>
    </row>
    <row r="137" spans="1:10" ht="18">
      <c r="A137"/>
      <c r="B137"/>
      <c r="C137"/>
      <c r="D137"/>
      <c r="E137"/>
      <c r="F137"/>
      <c r="G137"/>
      <c r="H137"/>
      <c r="I137"/>
      <c r="J137"/>
    </row>
    <row r="138" spans="1:10" ht="18">
      <c r="A138"/>
      <c r="B138"/>
      <c r="C138"/>
      <c r="D138"/>
      <c r="E138"/>
      <c r="F138"/>
      <c r="G138"/>
      <c r="H138"/>
      <c r="I138"/>
      <c r="J138"/>
    </row>
    <row r="139" spans="1:10" ht="18">
      <c r="A139"/>
      <c r="B139"/>
      <c r="C139"/>
      <c r="D139"/>
      <c r="E139"/>
      <c r="F139"/>
      <c r="G139"/>
      <c r="H139"/>
      <c r="I139"/>
      <c r="J139"/>
    </row>
    <row r="140" spans="1:10" ht="18">
      <c r="A140"/>
      <c r="B140"/>
      <c r="C140"/>
      <c r="D140"/>
      <c r="E140"/>
      <c r="F140"/>
      <c r="G140"/>
      <c r="H140"/>
      <c r="I140"/>
      <c r="J140"/>
    </row>
    <row r="141" spans="1:10" ht="18">
      <c r="A141"/>
      <c r="B141"/>
      <c r="C141"/>
      <c r="D141"/>
      <c r="E141"/>
      <c r="F141"/>
      <c r="G141"/>
      <c r="H141"/>
      <c r="I141"/>
      <c r="J141"/>
    </row>
    <row r="142" spans="1:10" ht="18">
      <c r="A142"/>
      <c r="B142"/>
      <c r="C142"/>
      <c r="D142"/>
      <c r="E142"/>
      <c r="F142"/>
      <c r="G142"/>
      <c r="H142"/>
      <c r="I142"/>
      <c r="J142"/>
    </row>
    <row r="143" spans="1:10" ht="18">
      <c r="A143"/>
      <c r="B143"/>
      <c r="C143"/>
      <c r="D143"/>
      <c r="E143"/>
      <c r="F143"/>
      <c r="G143"/>
      <c r="H143"/>
      <c r="I143"/>
      <c r="J143"/>
    </row>
    <row r="144" spans="1:10" ht="18">
      <c r="A144"/>
      <c r="B144"/>
      <c r="C144"/>
      <c r="D144"/>
      <c r="E144"/>
      <c r="F144"/>
      <c r="G144"/>
      <c r="H144"/>
      <c r="I144"/>
      <c r="J144"/>
    </row>
    <row r="145" spans="1:10" ht="18">
      <c r="A145"/>
      <c r="B145"/>
      <c r="C145"/>
      <c r="D145"/>
      <c r="E145"/>
      <c r="F145"/>
      <c r="G145"/>
      <c r="H145"/>
      <c r="I145"/>
      <c r="J145"/>
    </row>
    <row r="146" spans="1:10" ht="18">
      <c r="A146"/>
      <c r="B146"/>
      <c r="C146"/>
      <c r="D146"/>
      <c r="E146"/>
      <c r="F146"/>
      <c r="G146"/>
      <c r="H146"/>
      <c r="I146"/>
      <c r="J146"/>
    </row>
    <row r="147" spans="1:10" ht="18">
      <c r="A147"/>
      <c r="B147"/>
      <c r="C147"/>
      <c r="D147"/>
      <c r="E147"/>
      <c r="F147"/>
      <c r="G147"/>
      <c r="H147"/>
      <c r="I147"/>
      <c r="J147"/>
    </row>
    <row r="148" spans="1:10" ht="18">
      <c r="A148"/>
      <c r="B148"/>
      <c r="C148"/>
      <c r="D148"/>
      <c r="E148"/>
      <c r="F148"/>
      <c r="G148"/>
      <c r="H148"/>
      <c r="I148"/>
      <c r="J148"/>
    </row>
    <row r="149" spans="1:10" ht="18">
      <c r="A149"/>
      <c r="B149"/>
      <c r="C149"/>
      <c r="D149"/>
      <c r="E149"/>
      <c r="F149"/>
      <c r="G149"/>
      <c r="H149"/>
      <c r="I149"/>
      <c r="J149"/>
    </row>
    <row r="150" spans="1:10" ht="18">
      <c r="A150"/>
      <c r="B150"/>
      <c r="C150"/>
      <c r="D150"/>
      <c r="E150"/>
      <c r="F150"/>
      <c r="G150"/>
      <c r="H150"/>
      <c r="I150"/>
      <c r="J150"/>
    </row>
    <row r="151" spans="1:10" ht="18">
      <c r="A151"/>
      <c r="B151"/>
      <c r="C151"/>
      <c r="D151"/>
      <c r="E151"/>
      <c r="F151"/>
      <c r="G151"/>
      <c r="H151"/>
      <c r="I151"/>
      <c r="J151"/>
    </row>
    <row r="152" spans="1:10" ht="18">
      <c r="A152"/>
      <c r="B152"/>
      <c r="C152"/>
      <c r="D152"/>
      <c r="E152"/>
      <c r="F152"/>
      <c r="G152"/>
      <c r="H152"/>
      <c r="I152"/>
      <c r="J152"/>
    </row>
    <row r="153" spans="1:10" ht="18">
      <c r="A153"/>
      <c r="B153"/>
      <c r="C153"/>
      <c r="D153"/>
      <c r="E153"/>
      <c r="F153"/>
      <c r="G153"/>
      <c r="H153"/>
      <c r="I153"/>
      <c r="J153"/>
    </row>
    <row r="154" spans="1:10" ht="18">
      <c r="A154"/>
      <c r="B154"/>
      <c r="C154"/>
      <c r="D154"/>
      <c r="E154"/>
      <c r="F154"/>
      <c r="G154"/>
      <c r="H154"/>
      <c r="I154"/>
      <c r="J154"/>
    </row>
    <row r="155" spans="1:10" ht="18">
      <c r="A155"/>
      <c r="B155"/>
      <c r="C155"/>
      <c r="D155"/>
      <c r="E155"/>
      <c r="F155"/>
      <c r="G155"/>
      <c r="H155"/>
      <c r="I155"/>
      <c r="J155"/>
    </row>
    <row r="156" spans="1:10" ht="18">
      <c r="A156"/>
      <c r="B156"/>
      <c r="C156"/>
      <c r="D156"/>
      <c r="E156"/>
      <c r="F156"/>
      <c r="G156"/>
      <c r="H156"/>
      <c r="I156"/>
      <c r="J156"/>
    </row>
    <row r="157" spans="1:10" ht="18">
      <c r="A157"/>
      <c r="B157"/>
      <c r="C157"/>
      <c r="D157"/>
      <c r="E157"/>
      <c r="F157"/>
      <c r="G157"/>
      <c r="H157"/>
      <c r="I157"/>
      <c r="J157"/>
    </row>
    <row r="158" spans="1:10" ht="18">
      <c r="A158"/>
      <c r="B158"/>
      <c r="C158"/>
      <c r="D158"/>
      <c r="E158"/>
      <c r="F158"/>
      <c r="G158"/>
      <c r="H158"/>
      <c r="I158"/>
      <c r="J158"/>
    </row>
    <row r="159" spans="1:10" ht="18">
      <c r="A159"/>
      <c r="B159"/>
      <c r="C159"/>
      <c r="D159"/>
      <c r="E159"/>
      <c r="F159"/>
      <c r="G159"/>
      <c r="H159"/>
      <c r="I159"/>
      <c r="J159"/>
    </row>
    <row r="160" spans="1:10" ht="18">
      <c r="A160"/>
      <c r="B160"/>
      <c r="C160"/>
      <c r="D160"/>
      <c r="E160"/>
      <c r="F160"/>
      <c r="G160"/>
      <c r="H160"/>
      <c r="I160"/>
      <c r="J160"/>
    </row>
    <row r="161" spans="1:10" ht="18">
      <c r="A161"/>
      <c r="B161"/>
      <c r="C161"/>
      <c r="D161"/>
      <c r="E161"/>
      <c r="F161"/>
      <c r="G161"/>
      <c r="H161"/>
      <c r="I161"/>
      <c r="J161"/>
    </row>
    <row r="162" spans="1:10" ht="18">
      <c r="A162"/>
      <c r="B162"/>
      <c r="C162"/>
      <c r="D162"/>
      <c r="E162"/>
      <c r="F162"/>
      <c r="G162"/>
      <c r="H162"/>
      <c r="I162"/>
      <c r="J162"/>
    </row>
    <row r="163" spans="1:10" ht="18">
      <c r="A163"/>
      <c r="B163"/>
      <c r="C163"/>
      <c r="D163"/>
      <c r="E163"/>
      <c r="F163"/>
      <c r="G163"/>
      <c r="H163"/>
      <c r="I163"/>
      <c r="J163"/>
    </row>
    <row r="164" spans="1:10" ht="18">
      <c r="A164"/>
      <c r="B164"/>
      <c r="C164"/>
      <c r="D164"/>
      <c r="E164"/>
      <c r="F164"/>
      <c r="G164"/>
      <c r="H164"/>
      <c r="I164"/>
      <c r="J164"/>
    </row>
    <row r="165" spans="1:10" ht="18">
      <c r="A165"/>
      <c r="B165"/>
      <c r="C165"/>
      <c r="D165"/>
      <c r="E165"/>
      <c r="F165"/>
      <c r="G165"/>
      <c r="H165"/>
      <c r="I165"/>
      <c r="J165"/>
    </row>
    <row r="166" spans="1:10" ht="18">
      <c r="A166"/>
      <c r="B166"/>
      <c r="C166"/>
      <c r="D166"/>
      <c r="E166"/>
      <c r="F166"/>
      <c r="G166"/>
      <c r="H166"/>
      <c r="I166"/>
      <c r="J166"/>
    </row>
    <row r="167" spans="1:10" ht="18">
      <c r="A167"/>
      <c r="B167"/>
      <c r="C167"/>
      <c r="D167"/>
      <c r="E167"/>
      <c r="F167"/>
      <c r="G167"/>
      <c r="H167"/>
      <c r="I167"/>
      <c r="J167"/>
    </row>
    <row r="168" spans="1:10" ht="18">
      <c r="A168"/>
      <c r="B168"/>
      <c r="C168"/>
      <c r="D168"/>
      <c r="E168"/>
      <c r="F168"/>
      <c r="G168"/>
      <c r="H168"/>
      <c r="I168"/>
      <c r="J168"/>
    </row>
    <row r="169" spans="1:10" ht="18">
      <c r="A169"/>
      <c r="B169"/>
      <c r="C169"/>
      <c r="D169"/>
      <c r="E169"/>
      <c r="F169"/>
      <c r="G169"/>
      <c r="H169"/>
      <c r="I169"/>
      <c r="J169"/>
    </row>
    <row r="170" spans="1:10" ht="18">
      <c r="A170"/>
      <c r="B170"/>
      <c r="C170"/>
      <c r="D170"/>
      <c r="E170"/>
      <c r="F170"/>
      <c r="G170"/>
      <c r="H170"/>
      <c r="I170"/>
      <c r="J170"/>
    </row>
    <row r="171" spans="1:10" ht="18">
      <c r="A171"/>
      <c r="B171"/>
      <c r="C171"/>
      <c r="D171"/>
      <c r="E171"/>
      <c r="F171"/>
      <c r="G171"/>
      <c r="H171"/>
      <c r="I171"/>
      <c r="J171"/>
    </row>
    <row r="172" spans="1:10" ht="18">
      <c r="A172"/>
      <c r="B172"/>
      <c r="C172"/>
      <c r="D172"/>
      <c r="E172"/>
      <c r="F172"/>
      <c r="G172"/>
      <c r="H172"/>
      <c r="I172"/>
      <c r="J172"/>
    </row>
    <row r="173" spans="1:10" ht="18">
      <c r="A173"/>
      <c r="B173"/>
      <c r="C173"/>
      <c r="D173"/>
      <c r="E173"/>
      <c r="F173"/>
      <c r="G173"/>
      <c r="H173"/>
      <c r="I173"/>
      <c r="J173"/>
    </row>
    <row r="174" spans="1:10" ht="18">
      <c r="A174"/>
      <c r="B174"/>
      <c r="C174"/>
      <c r="D174"/>
      <c r="E174"/>
      <c r="F174"/>
      <c r="G174"/>
      <c r="H174"/>
      <c r="I174"/>
      <c r="J174"/>
    </row>
    <row r="175" spans="1:10" ht="18">
      <c r="A175"/>
      <c r="B175"/>
      <c r="C175"/>
      <c r="D175"/>
      <c r="E175"/>
      <c r="F175"/>
      <c r="G175"/>
      <c r="H175"/>
      <c r="I175"/>
      <c r="J175"/>
    </row>
    <row r="176" spans="1:10" ht="18">
      <c r="A176"/>
      <c r="B176"/>
      <c r="C176"/>
      <c r="D176"/>
      <c r="E176"/>
      <c r="F176"/>
      <c r="G176"/>
      <c r="H176"/>
      <c r="I176"/>
      <c r="J176"/>
    </row>
    <row r="177" spans="1:10" ht="18">
      <c r="A177"/>
      <c r="B177"/>
      <c r="C177"/>
      <c r="D177"/>
      <c r="E177"/>
      <c r="F177"/>
      <c r="G177"/>
      <c r="H177"/>
      <c r="I177"/>
      <c r="J177"/>
    </row>
    <row r="178" spans="1:10" ht="18">
      <c r="A178"/>
      <c r="B178"/>
      <c r="C178"/>
      <c r="D178"/>
      <c r="E178"/>
      <c r="F178"/>
      <c r="G178"/>
      <c r="H178"/>
      <c r="I178"/>
      <c r="J178"/>
    </row>
    <row r="179" spans="1:10" ht="18">
      <c r="A179"/>
      <c r="B179"/>
      <c r="C179"/>
      <c r="D179"/>
      <c r="E179"/>
      <c r="F179"/>
      <c r="G179"/>
      <c r="H179"/>
      <c r="I179"/>
      <c r="J179"/>
    </row>
    <row r="180" spans="1:10" ht="18">
      <c r="A180"/>
      <c r="B180"/>
      <c r="C180"/>
      <c r="D180"/>
      <c r="E180"/>
      <c r="F180"/>
      <c r="G180"/>
      <c r="H180"/>
      <c r="I180"/>
      <c r="J180"/>
    </row>
    <row r="181" spans="1:10" ht="18">
      <c r="A181"/>
      <c r="B181"/>
      <c r="C181"/>
      <c r="D181"/>
      <c r="E181"/>
      <c r="F181"/>
      <c r="G181"/>
      <c r="H181"/>
      <c r="I181"/>
      <c r="J181"/>
    </row>
    <row r="182" spans="1:10" ht="18">
      <c r="A182"/>
      <c r="B182"/>
      <c r="C182"/>
      <c r="D182"/>
      <c r="E182"/>
      <c r="F182"/>
      <c r="G182"/>
      <c r="H182"/>
      <c r="I182"/>
      <c r="J182"/>
    </row>
    <row r="183" spans="1:10" ht="18">
      <c r="A183"/>
      <c r="B183"/>
      <c r="C183"/>
      <c r="D183"/>
      <c r="E183"/>
      <c r="F183"/>
      <c r="G183"/>
      <c r="H183"/>
      <c r="I183"/>
      <c r="J183"/>
    </row>
    <row r="184" spans="1:10" ht="18">
      <c r="A184"/>
      <c r="B184"/>
      <c r="C184"/>
      <c r="D184"/>
      <c r="E184"/>
      <c r="F184"/>
      <c r="G184"/>
      <c r="H184"/>
      <c r="I184"/>
      <c r="J184"/>
    </row>
    <row r="185" spans="1:10" ht="18">
      <c r="A185"/>
      <c r="B185"/>
      <c r="C185"/>
      <c r="D185"/>
      <c r="E185"/>
      <c r="F185"/>
      <c r="G185"/>
      <c r="H185"/>
      <c r="I185"/>
      <c r="J185"/>
    </row>
    <row r="186" spans="1:10" ht="18">
      <c r="A186"/>
      <c r="B186"/>
      <c r="C186"/>
      <c r="D186"/>
      <c r="E186"/>
      <c r="F186"/>
      <c r="G186"/>
      <c r="H186"/>
      <c r="I186"/>
      <c r="J186"/>
    </row>
    <row r="187" spans="1:10" ht="18">
      <c r="A187"/>
      <c r="B187"/>
      <c r="C187"/>
      <c r="D187"/>
      <c r="E187"/>
      <c r="F187"/>
      <c r="G187"/>
      <c r="H187"/>
      <c r="I187"/>
      <c r="J187"/>
    </row>
    <row r="188" spans="1:10" ht="18">
      <c r="A188"/>
      <c r="B188"/>
      <c r="C188"/>
      <c r="D188"/>
      <c r="E188"/>
      <c r="F188"/>
      <c r="G188"/>
      <c r="H188"/>
      <c r="I188"/>
      <c r="J188"/>
    </row>
    <row r="189" spans="1:10" ht="18">
      <c r="A189"/>
      <c r="B189"/>
      <c r="C189"/>
      <c r="D189"/>
      <c r="E189"/>
      <c r="F189"/>
      <c r="G189"/>
      <c r="H189"/>
      <c r="I189"/>
      <c r="J189"/>
    </row>
    <row r="190" spans="1:10" ht="18">
      <c r="A190"/>
      <c r="B190"/>
      <c r="C190"/>
      <c r="D190"/>
      <c r="E190"/>
      <c r="F190"/>
      <c r="G190"/>
      <c r="H190"/>
      <c r="I190"/>
      <c r="J190"/>
    </row>
    <row r="191" spans="1:10" ht="18">
      <c r="A191"/>
      <c r="B191"/>
      <c r="C191"/>
      <c r="D191"/>
      <c r="E191"/>
      <c r="F191"/>
      <c r="G191"/>
      <c r="H191"/>
      <c r="I191"/>
      <c r="J191"/>
    </row>
    <row r="192" spans="1:10" ht="18">
      <c r="A192"/>
      <c r="B192"/>
      <c r="C192"/>
      <c r="D192"/>
      <c r="E192"/>
      <c r="F192"/>
      <c r="G192"/>
      <c r="H192"/>
      <c r="I192"/>
      <c r="J192"/>
    </row>
    <row r="193" spans="1:10" ht="18">
      <c r="A193"/>
      <c r="B193"/>
      <c r="C193"/>
      <c r="D193"/>
      <c r="E193"/>
      <c r="F193"/>
      <c r="G193"/>
      <c r="H193"/>
      <c r="I193"/>
      <c r="J193"/>
    </row>
    <row r="194" spans="1:10" ht="18">
      <c r="A194"/>
      <c r="B194"/>
      <c r="C194"/>
      <c r="D194"/>
      <c r="E194"/>
      <c r="F194"/>
      <c r="G194"/>
      <c r="H194"/>
      <c r="I194"/>
      <c r="J194"/>
    </row>
    <row r="195" spans="1:10" ht="18">
      <c r="A195"/>
      <c r="B195"/>
      <c r="C195"/>
      <c r="D195"/>
      <c r="E195"/>
      <c r="F195"/>
      <c r="G195"/>
      <c r="H195"/>
      <c r="I195"/>
      <c r="J195"/>
    </row>
    <row r="196" spans="1:10" ht="18">
      <c r="A196"/>
      <c r="B196"/>
      <c r="C196"/>
      <c r="D196"/>
      <c r="E196"/>
      <c r="F196"/>
      <c r="G196"/>
      <c r="H196"/>
      <c r="I196"/>
      <c r="J196"/>
    </row>
    <row r="197" spans="1:10" ht="18">
      <c r="A197"/>
      <c r="B197"/>
      <c r="C197"/>
      <c r="D197"/>
      <c r="E197"/>
      <c r="F197"/>
      <c r="G197"/>
      <c r="H197"/>
      <c r="I197"/>
      <c r="J197"/>
    </row>
    <row r="198" spans="1:10" ht="18">
      <c r="A198"/>
      <c r="B198"/>
      <c r="C198"/>
      <c r="D198"/>
      <c r="E198"/>
      <c r="F198"/>
      <c r="G198"/>
      <c r="H198"/>
      <c r="I198"/>
      <c r="J198"/>
    </row>
    <row r="199" spans="1:10" ht="18">
      <c r="A199"/>
      <c r="B199"/>
      <c r="C199"/>
      <c r="D199"/>
      <c r="E199"/>
      <c r="F199"/>
      <c r="G199"/>
      <c r="H199"/>
      <c r="I199"/>
      <c r="J199"/>
    </row>
    <row r="200" spans="1:10" ht="18">
      <c r="A200"/>
      <c r="B200"/>
      <c r="C200"/>
      <c r="D200"/>
      <c r="E200"/>
      <c r="F200"/>
      <c r="G200"/>
      <c r="H200"/>
      <c r="I200"/>
      <c r="J200"/>
    </row>
    <row r="201" spans="1:10" ht="18">
      <c r="A201"/>
      <c r="B201"/>
      <c r="C201"/>
      <c r="D201"/>
      <c r="E201"/>
      <c r="F201"/>
      <c r="G201"/>
      <c r="H201"/>
      <c r="I201"/>
      <c r="J201"/>
    </row>
    <row r="202" spans="1:10" ht="18">
      <c r="A202"/>
      <c r="B202"/>
      <c r="C202"/>
      <c r="D202"/>
      <c r="E202"/>
      <c r="F202"/>
      <c r="G202"/>
      <c r="H202"/>
      <c r="I202"/>
      <c r="J202"/>
    </row>
    <row r="203" spans="1:10" ht="18">
      <c r="A203"/>
      <c r="B203"/>
      <c r="C203"/>
      <c r="D203"/>
      <c r="E203"/>
      <c r="F203"/>
      <c r="G203"/>
      <c r="H203"/>
      <c r="I203"/>
      <c r="J203"/>
    </row>
    <row r="204" spans="1:10" ht="18">
      <c r="A204"/>
      <c r="B204"/>
      <c r="C204"/>
      <c r="D204"/>
      <c r="E204"/>
      <c r="F204"/>
      <c r="G204"/>
      <c r="H204"/>
      <c r="I204"/>
      <c r="J204"/>
    </row>
    <row r="205" spans="1:10" ht="18">
      <c r="A205"/>
      <c r="B205"/>
      <c r="C205"/>
      <c r="D205"/>
      <c r="E205"/>
      <c r="F205"/>
      <c r="G205"/>
      <c r="H205"/>
      <c r="I205"/>
      <c r="J205"/>
    </row>
    <row r="206" spans="1:10" ht="18">
      <c r="A206"/>
      <c r="B206"/>
      <c r="C206"/>
      <c r="D206"/>
      <c r="E206"/>
      <c r="F206"/>
      <c r="G206"/>
      <c r="H206"/>
      <c r="I206"/>
      <c r="J206"/>
    </row>
    <row r="207" spans="1:10" ht="18">
      <c r="A207"/>
      <c r="B207"/>
      <c r="C207"/>
      <c r="D207"/>
      <c r="E207"/>
      <c r="F207"/>
      <c r="G207"/>
      <c r="H207"/>
      <c r="I207"/>
      <c r="J207"/>
    </row>
    <row r="208" spans="1:10" ht="18">
      <c r="A208"/>
      <c r="B208"/>
      <c r="C208"/>
      <c r="D208"/>
      <c r="E208"/>
      <c r="F208"/>
      <c r="G208"/>
      <c r="H208"/>
      <c r="I208"/>
      <c r="J208"/>
    </row>
    <row r="209" spans="1:10" ht="18">
      <c r="A209"/>
      <c r="B209"/>
      <c r="C209"/>
      <c r="D209"/>
      <c r="E209"/>
      <c r="F209"/>
      <c r="G209"/>
      <c r="H209"/>
      <c r="I209"/>
      <c r="J209"/>
    </row>
    <row r="210" spans="1:10" ht="18">
      <c r="A210"/>
      <c r="B210"/>
      <c r="C210"/>
      <c r="D210"/>
      <c r="E210"/>
      <c r="F210"/>
      <c r="G210"/>
      <c r="H210"/>
      <c r="I210"/>
      <c r="J210"/>
    </row>
    <row r="211" spans="1:10" ht="18">
      <c r="A211"/>
      <c r="B211"/>
      <c r="C211"/>
      <c r="D211"/>
      <c r="E211"/>
      <c r="F211"/>
      <c r="G211"/>
      <c r="H211"/>
      <c r="I211"/>
      <c r="J211"/>
    </row>
    <row r="212" spans="1:10" ht="18">
      <c r="A212"/>
      <c r="B212"/>
      <c r="C212"/>
      <c r="D212"/>
      <c r="E212"/>
      <c r="F212"/>
      <c r="G212"/>
      <c r="H212"/>
      <c r="I212"/>
      <c r="J212"/>
    </row>
    <row r="213" spans="1:10" ht="18">
      <c r="A213"/>
      <c r="B213"/>
      <c r="C213"/>
      <c r="D213"/>
      <c r="E213"/>
      <c r="F213"/>
      <c r="G213"/>
      <c r="H213"/>
      <c r="I213"/>
      <c r="J213"/>
    </row>
    <row r="214" spans="1:10" ht="18">
      <c r="A214"/>
      <c r="B214"/>
      <c r="C214"/>
      <c r="D214"/>
      <c r="E214"/>
      <c r="F214"/>
      <c r="G214"/>
      <c r="H214"/>
      <c r="I214"/>
      <c r="J214"/>
    </row>
    <row r="215" spans="1:10" ht="18">
      <c r="A215"/>
      <c r="B215"/>
      <c r="C215"/>
      <c r="D215"/>
      <c r="E215"/>
      <c r="F215"/>
      <c r="G215"/>
      <c r="H215"/>
      <c r="I215"/>
      <c r="J215"/>
    </row>
    <row r="216" spans="1:10" ht="18">
      <c r="A216"/>
      <c r="B216"/>
      <c r="C216"/>
      <c r="D216"/>
      <c r="E216"/>
      <c r="F216"/>
      <c r="G216"/>
      <c r="H216"/>
      <c r="I216"/>
      <c r="J216"/>
    </row>
    <row r="217" spans="1:10" ht="18">
      <c r="A217"/>
      <c r="B217"/>
      <c r="C217"/>
      <c r="D217"/>
      <c r="E217"/>
      <c r="F217"/>
      <c r="G217"/>
      <c r="H217"/>
      <c r="I217"/>
      <c r="J217"/>
    </row>
    <row r="218" spans="1:10" ht="18">
      <c r="A218"/>
      <c r="B218"/>
      <c r="C218"/>
      <c r="D218"/>
      <c r="E218"/>
      <c r="F218"/>
      <c r="G218"/>
      <c r="H218"/>
      <c r="I218"/>
      <c r="J218"/>
    </row>
    <row r="219" spans="1:10" ht="18">
      <c r="A219"/>
      <c r="B219"/>
      <c r="C219"/>
      <c r="D219"/>
      <c r="E219"/>
      <c r="F219"/>
      <c r="G219"/>
      <c r="H219"/>
      <c r="I219"/>
      <c r="J219"/>
    </row>
    <row r="220" spans="1:10" ht="18">
      <c r="A220"/>
      <c r="B220"/>
      <c r="C220"/>
      <c r="D220"/>
      <c r="E220"/>
      <c r="F220"/>
      <c r="G220"/>
      <c r="H220"/>
      <c r="I220"/>
      <c r="J220"/>
    </row>
    <row r="221" spans="1:10" ht="18">
      <c r="A221"/>
      <c r="B221"/>
      <c r="C221"/>
      <c r="D221"/>
      <c r="E221"/>
      <c r="F221"/>
      <c r="G221"/>
      <c r="H221"/>
      <c r="I221"/>
      <c r="J221"/>
    </row>
    <row r="222" spans="1:10" ht="18">
      <c r="A222"/>
      <c r="B222"/>
      <c r="C222"/>
      <c r="D222"/>
      <c r="E222"/>
      <c r="F222"/>
      <c r="G222"/>
      <c r="H222"/>
      <c r="I222"/>
      <c r="J222"/>
    </row>
    <row r="223" spans="1:10" ht="18">
      <c r="A223"/>
      <c r="B223"/>
      <c r="C223"/>
      <c r="D223"/>
      <c r="E223"/>
      <c r="F223"/>
      <c r="G223"/>
      <c r="H223"/>
      <c r="I223"/>
      <c r="J223"/>
    </row>
    <row r="224" spans="1:10" ht="18">
      <c r="A224"/>
      <c r="B224"/>
      <c r="C224"/>
      <c r="D224"/>
      <c r="E224"/>
      <c r="F224"/>
      <c r="G224"/>
      <c r="H224"/>
      <c r="I224"/>
      <c r="J224"/>
    </row>
    <row r="225" spans="1:10" ht="18">
      <c r="A225"/>
      <c r="B225"/>
      <c r="C225"/>
      <c r="D225"/>
      <c r="E225"/>
      <c r="F225"/>
      <c r="G225"/>
      <c r="H225"/>
      <c r="I225"/>
      <c r="J225"/>
    </row>
    <row r="226" spans="1:10" ht="18">
      <c r="A226"/>
      <c r="B226"/>
      <c r="C226"/>
      <c r="D226"/>
      <c r="E226"/>
      <c r="F226"/>
      <c r="G226"/>
      <c r="H226"/>
      <c r="I226"/>
      <c r="J226"/>
    </row>
    <row r="227" spans="1:10" ht="18">
      <c r="A227"/>
      <c r="B227"/>
      <c r="C227"/>
      <c r="D227"/>
      <c r="E227"/>
      <c r="F227"/>
      <c r="G227"/>
      <c r="H227"/>
      <c r="I227"/>
      <c r="J227"/>
    </row>
    <row r="228" spans="1:10" ht="18">
      <c r="A228"/>
      <c r="B228"/>
      <c r="C228"/>
      <c r="D228"/>
      <c r="E228"/>
      <c r="F228"/>
      <c r="G228"/>
      <c r="H228"/>
      <c r="I228"/>
      <c r="J228"/>
    </row>
    <row r="229" spans="1:10" ht="18">
      <c r="A229"/>
      <c r="B229"/>
      <c r="C229"/>
      <c r="D229"/>
      <c r="E229"/>
      <c r="F229"/>
      <c r="G229"/>
      <c r="H229"/>
      <c r="I229"/>
      <c r="J229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G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K101"/>
  <sheetViews>
    <sheetView showGridLines="0" workbookViewId="0">
      <pane ySplit="1" topLeftCell="A2" activePane="bottomLeft" state="frozen"/>
      <selection pane="bottomLeft" activeCell="C9" sqref="C9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40</v>
      </c>
      <c r="D1" s="4" t="s">
        <v>35</v>
      </c>
      <c r="E1" s="32" t="s">
        <v>39</v>
      </c>
      <c r="F1" s="95">
        <f ca="1">SUM($F$2:$F$101)</f>
        <v>0</v>
      </c>
      <c r="H1" s="27" t="s">
        <v>38</v>
      </c>
      <c r="I1" s="27" t="s">
        <v>36</v>
      </c>
      <c r="J1" s="27" t="s">
        <v>37</v>
      </c>
    </row>
    <row r="2" spans="1:10">
      <c r="A2" s="21">
        <f>ROW()-1</f>
        <v>1</v>
      </c>
      <c r="B2" s="29">
        <f ca="1">IF(AND(I2,NOT(J2),NOT(H2)),1,0)</f>
        <v>0</v>
      </c>
      <c r="C2" s="33" t="s">
        <v>51</v>
      </c>
      <c r="D2" s="22" t="s">
        <v>51</v>
      </c>
      <c r="E2" s="22" t="s">
        <v>162</v>
      </c>
      <c r="F2" s="92">
        <f ca="1">得意先!ERRORS</f>
        <v>0</v>
      </c>
      <c r="G2" s="55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52</v>
      </c>
      <c r="D3" s="24" t="s">
        <v>52</v>
      </c>
      <c r="E3" s="24" t="s">
        <v>50</v>
      </c>
      <c r="F3" s="93">
        <f ca="1">受注!ERRORS</f>
        <v>0</v>
      </c>
      <c r="G3" s="55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58</v>
      </c>
      <c r="D4" s="24" t="s">
        <v>58</v>
      </c>
      <c r="E4" s="24" t="s">
        <v>59</v>
      </c>
      <c r="F4" s="93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93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93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93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93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93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93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93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93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93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93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93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93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93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93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93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93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93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93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93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93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93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93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93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93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93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93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93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93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93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93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93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93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93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93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93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93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93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93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93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93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93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93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93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93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93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93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93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93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93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93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93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93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93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93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93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93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93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93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93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93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93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93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93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93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93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93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93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93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93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93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93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93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93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93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93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93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93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93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93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93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93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93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93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93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93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93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93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93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93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93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93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93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93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93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93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93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94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46" priority="4" operator="equal">
      <formula>1</formula>
    </cfRule>
  </conditionalFormatting>
  <conditionalFormatting sqref="D2:E101">
    <cfRule type="expression" dxfId="45" priority="3">
      <formula>$J2</formula>
    </cfRule>
  </conditionalFormatting>
  <conditionalFormatting sqref="F2:F101">
    <cfRule type="cellIs" dxfId="44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2D45E65D-A6B3-4DAB-A24E-DAB8000D17AE}"/>
    <hyperlink ref="C3" location="'受注'!A1" display="受注" xr:uid="{776B91A6-8B99-4063-9261-F71FFE05D192}"/>
    <hyperlink ref="C4" location="'受注明細'!A1" display="受注明細" xr:uid="{07F1C616-8449-4820-8EC9-AB8047CC942E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34"/>
      <c r="E2" s="90" t="s">
        <v>177</v>
      </c>
      <c r="F2" s="91" t="s">
        <v>178</v>
      </c>
      <c r="G2" s="41"/>
      <c r="AF2" s="7" t="s">
        <v>17</v>
      </c>
      <c r="AG2" s="7" t="b">
        <f ca="1">OR(ISERROR(TABLE_JP),ISERROR(TABLE_EN))</f>
        <v>1</v>
      </c>
    </row>
    <row r="3" spans="1:41">
      <c r="AE3" s="7" t="s">
        <v>8</v>
      </c>
      <c r="AF3" s="7" t="s">
        <v>26</v>
      </c>
      <c r="AG3" s="7" t="b">
        <f>AI6="N/A"</f>
        <v>1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1</v>
      </c>
      <c r="AJ5" s="71">
        <f>COUNTA(AJ6:AJ105)</f>
        <v>1</v>
      </c>
    </row>
    <row r="6" spans="1:41" ht="15" customHeight="1">
      <c r="A6" s="48">
        <v>1</v>
      </c>
      <c r="B6" s="42"/>
      <c r="C6" s="35" t="str">
        <f ca="1">IFERROR(VLOOKUP(B6,項目!DATA_AREA,2,FALSE),"")</f>
        <v/>
      </c>
      <c r="D6" s="35" t="str">
        <f ca="1">IFERROR(VLOOKUP(B6,項目!DATA_AREA,3,FALSE),"")</f>
        <v/>
      </c>
      <c r="E6" s="51"/>
      <c r="F6" s="45"/>
      <c r="G6" s="38" t="str">
        <f ca="1">IFERROR(VLOOKUP(B6,項目!DATA_AREA,4,FALSE),"")</f>
        <v/>
      </c>
      <c r="H6" s="11" t="str">
        <f ca="1">IFERROR(VLOOKUP(B6,項目!DATA_AREA,5,FALSE),"")</f>
        <v/>
      </c>
      <c r="I6" s="11" t="str">
        <f ca="1">IFERROR(VLOOKUP(B6,項目!DATA_AREA,6,FALSE),"")</f>
        <v/>
      </c>
      <c r="K6" s="54" t="s">
        <v>53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34</v>
      </c>
      <c r="AJ6" s="71" t="s">
        <v>34</v>
      </c>
    </row>
    <row r="7" spans="1:41">
      <c r="A7" s="49">
        <v>2</v>
      </c>
      <c r="B7" s="43"/>
      <c r="C7" s="36" t="str">
        <f ca="1">IFERROR(VLOOKUP(B7,項目!DATA_AREA,2,FALSE),"")</f>
        <v/>
      </c>
      <c r="D7" s="36" t="str">
        <f ca="1">IFERROR(VLOOKUP(B7,項目!DATA_AREA,3,FALSE),"")</f>
        <v/>
      </c>
      <c r="E7" s="52"/>
      <c r="F7" s="46"/>
      <c r="G7" s="39" t="str">
        <f ca="1">IFERROR(VLOOKUP(B7,項目!DATA_AREA,4,FALSE),"")</f>
        <v/>
      </c>
      <c r="H7" s="12" t="str">
        <f ca="1">IFERROR(VLOOKUP(B7,項目!DATA_AREA,5,FALSE),"")</f>
        <v/>
      </c>
      <c r="I7" s="12" t="str">
        <f ca="1">IFERROR(VLOOKUP(B7,項目!DATA_AREA,6,FALSE),"")</f>
        <v/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1</v>
      </c>
      <c r="AI7" s="60"/>
      <c r="AJ7" s="71"/>
    </row>
    <row r="8" spans="1:41">
      <c r="A8" s="49">
        <v>3</v>
      </c>
      <c r="B8" s="43"/>
      <c r="C8" s="36" t="str">
        <f ca="1">IFERROR(VLOOKUP(B8,項目!DATA_AREA,2,FALSE),"")</f>
        <v/>
      </c>
      <c r="D8" s="36" t="str">
        <f ca="1">IFERROR(VLOOKUP(B8,項目!DATA_AREA,3,FALSE),"")</f>
        <v/>
      </c>
      <c r="E8" s="52"/>
      <c r="F8" s="46"/>
      <c r="G8" s="39" t="str">
        <f ca="1">IFERROR(VLOOKUP(B8,項目!DATA_AREA,4,FALSE),"")</f>
        <v/>
      </c>
      <c r="H8" s="12" t="str">
        <f ca="1">IFERROR(VLOOKUP(B8,項目!DATA_AREA,5,FALSE),"")</f>
        <v/>
      </c>
      <c r="I8" s="12" t="str">
        <f ca="1">IFERROR(VLOOKUP(B8,項目!DATA_AREA,6,FALSE),"")</f>
        <v/>
      </c>
      <c r="K8" s="72" t="s">
        <v>14</v>
      </c>
      <c r="L8" s="73"/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/>
      <c r="AJ8" s="71"/>
      <c r="AK8" s="60" t="e">
        <f ca="1">VLOOKUP(L8,FIELD_NAME__,2,FALSE)</f>
        <v>#N/A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/>
      <c r="C9" s="36" t="str">
        <f ca="1">IFERROR(VLOOKUP(B9,項目!DATA_AREA,2,FALSE),"")</f>
        <v/>
      </c>
      <c r="D9" s="36" t="str">
        <f ca="1">IFERROR(VLOOKUP(B9,項目!DATA_AREA,3,FALSE),"")</f>
        <v/>
      </c>
      <c r="E9" s="52"/>
      <c r="F9" s="46"/>
      <c r="G9" s="39" t="str">
        <f ca="1">IFERROR(VLOOKUP(B9,項目!DATA_AREA,4,FALSE),"")</f>
        <v/>
      </c>
      <c r="H9" s="12" t="str">
        <f ca="1">IFERROR(VLOOKUP(B9,項目!DATA_AREA,5,FALSE),"")</f>
        <v/>
      </c>
      <c r="I9" s="12" t="str">
        <f ca="1">IFERROR(VLOOKUP(B9,項目!DATA_AREA,6,FALSE),"")</f>
        <v/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/>
      <c r="AJ9" s="71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/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ref="T38:T69" ca="1" si="16">AND(B38&lt;&gt;"",ISNA(MATCH(B38,項目リスト,0)))</f>
        <v>0</v>
      </c>
      <c r="U38" s="19" t="b">
        <f t="shared" ref="U38:U69" si="17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16"/>
        <v>0</v>
      </c>
      <c r="U39" s="19" t="b">
        <f t="shared" si="17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16"/>
        <v>0</v>
      </c>
      <c r="U40" s="19" t="b">
        <f t="shared" si="17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16"/>
        <v>0</v>
      </c>
      <c r="U41" s="19" t="b">
        <f t="shared" si="17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16"/>
        <v>0</v>
      </c>
      <c r="U42" s="19" t="b">
        <f t="shared" si="17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16"/>
        <v>0</v>
      </c>
      <c r="U43" s="19" t="b">
        <f t="shared" si="17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16"/>
        <v>0</v>
      </c>
      <c r="U44" s="19" t="b">
        <f t="shared" si="17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16"/>
        <v>0</v>
      </c>
      <c r="U45" s="19" t="b">
        <f t="shared" si="17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16"/>
        <v>0</v>
      </c>
      <c r="U46" s="19" t="b">
        <f t="shared" si="17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16"/>
        <v>0</v>
      </c>
      <c r="U47" s="19" t="b">
        <f t="shared" si="17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16"/>
        <v>0</v>
      </c>
      <c r="U48" s="19" t="b">
        <f t="shared" si="17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16"/>
        <v>0</v>
      </c>
      <c r="U49" s="19" t="b">
        <f t="shared" si="17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16"/>
        <v>0</v>
      </c>
      <c r="U50" s="19" t="b">
        <f t="shared" si="17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16"/>
        <v>0</v>
      </c>
      <c r="U51" s="19" t="b">
        <f t="shared" si="17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16"/>
        <v>0</v>
      </c>
      <c r="U52" s="19" t="b">
        <f t="shared" si="17"/>
        <v>0</v>
      </c>
      <c r="V52" s="19" t="b">
        <f t="shared" ca="1" si="3"/>
        <v>0</v>
      </c>
      <c r="X52" s="19" t="b">
        <f t="shared" ref="X52:X61" si="18">AND(N41&lt;&gt;"",ISNA(MATCH(N41,テーブル項目KEY,0)))</f>
        <v>0</v>
      </c>
      <c r="Y52" s="19" t="b">
        <f t="shared" ref="Y52:Y61" si="19">AND(O41&lt;&gt;"",ISNA(MATCH(O41,テーブル項目KEY,0)))</f>
        <v>0</v>
      </c>
      <c r="Z52" s="19" t="b">
        <f t="shared" ref="Z52:Z61" si="20">AND(P41&lt;&gt;"",ISNA(MATCH(P41,テーブル項目KEY,0)))</f>
        <v>0</v>
      </c>
      <c r="AA52" s="19" t="b">
        <f t="shared" ref="AA52:AA61" si="21">AND(Q41&lt;&gt;"",ISNA(MATCH(Q41,テーブル項目KEY,0)))</f>
        <v>0</v>
      </c>
      <c r="AB52" s="19" t="b">
        <f t="shared" ref="AB52:AB61" si="22">AND(R41&lt;&gt;"",ISNA(MATCH(R41,テーブル項目KEY,0)))</f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16"/>
        <v>0</v>
      </c>
      <c r="U53" s="19" t="b">
        <f t="shared" si="17"/>
        <v>0</v>
      </c>
      <c r="V53" s="19" t="b">
        <f t="shared" ca="1" si="3"/>
        <v>0</v>
      </c>
      <c r="X53" s="19" t="b">
        <f t="shared" si="18"/>
        <v>0</v>
      </c>
      <c r="Y53" s="19" t="b">
        <f t="shared" si="19"/>
        <v>0</v>
      </c>
      <c r="Z53" s="19" t="b">
        <f t="shared" si="20"/>
        <v>0</v>
      </c>
      <c r="AA53" s="19" t="b">
        <f t="shared" si="21"/>
        <v>0</v>
      </c>
      <c r="AB53" s="19" t="b">
        <f t="shared" si="22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16"/>
        <v>0</v>
      </c>
      <c r="U54" s="19" t="b">
        <f t="shared" si="17"/>
        <v>0</v>
      </c>
      <c r="V54" s="19" t="b">
        <f t="shared" ca="1" si="3"/>
        <v>0</v>
      </c>
      <c r="X54" s="19" t="b">
        <f t="shared" si="18"/>
        <v>0</v>
      </c>
      <c r="Y54" s="19" t="b">
        <f t="shared" si="19"/>
        <v>0</v>
      </c>
      <c r="Z54" s="19" t="b">
        <f t="shared" si="20"/>
        <v>0</v>
      </c>
      <c r="AA54" s="19" t="b">
        <f t="shared" si="21"/>
        <v>0</v>
      </c>
      <c r="AB54" s="19" t="b">
        <f t="shared" si="22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16"/>
        <v>0</v>
      </c>
      <c r="U55" s="19" t="b">
        <f t="shared" si="17"/>
        <v>0</v>
      </c>
      <c r="V55" s="19" t="b">
        <f t="shared" ca="1" si="3"/>
        <v>0</v>
      </c>
      <c r="X55" s="19" t="b">
        <f t="shared" si="18"/>
        <v>0</v>
      </c>
      <c r="Y55" s="19" t="b">
        <f t="shared" si="19"/>
        <v>0</v>
      </c>
      <c r="Z55" s="19" t="b">
        <f t="shared" si="20"/>
        <v>0</v>
      </c>
      <c r="AA55" s="19" t="b">
        <f t="shared" si="21"/>
        <v>0</v>
      </c>
      <c r="AB55" s="19" t="b">
        <f t="shared" si="22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16"/>
        <v>0</v>
      </c>
      <c r="U56" s="19" t="b">
        <f t="shared" si="17"/>
        <v>0</v>
      </c>
      <c r="V56" s="19" t="b">
        <f t="shared" ca="1" si="3"/>
        <v>0</v>
      </c>
      <c r="X56" s="19" t="b">
        <f t="shared" si="18"/>
        <v>0</v>
      </c>
      <c r="Y56" s="19" t="b">
        <f t="shared" si="19"/>
        <v>0</v>
      </c>
      <c r="Z56" s="19" t="b">
        <f t="shared" si="20"/>
        <v>0</v>
      </c>
      <c r="AA56" s="19" t="b">
        <f t="shared" si="21"/>
        <v>0</v>
      </c>
      <c r="AB56" s="19" t="b">
        <f t="shared" si="22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16"/>
        <v>0</v>
      </c>
      <c r="U57" s="19" t="b">
        <f t="shared" si="17"/>
        <v>0</v>
      </c>
      <c r="V57" s="19" t="b">
        <f t="shared" ca="1" si="3"/>
        <v>0</v>
      </c>
      <c r="X57" s="19" t="b">
        <f t="shared" si="18"/>
        <v>0</v>
      </c>
      <c r="Y57" s="19" t="b">
        <f t="shared" si="19"/>
        <v>0</v>
      </c>
      <c r="Z57" s="19" t="b">
        <f t="shared" si="20"/>
        <v>0</v>
      </c>
      <c r="AA57" s="19" t="b">
        <f t="shared" si="21"/>
        <v>0</v>
      </c>
      <c r="AB57" s="19" t="b">
        <f t="shared" si="22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16"/>
        <v>0</v>
      </c>
      <c r="U58" s="19" t="b">
        <f t="shared" si="17"/>
        <v>0</v>
      </c>
      <c r="V58" s="19" t="b">
        <f t="shared" ca="1" si="3"/>
        <v>0</v>
      </c>
      <c r="X58" s="19" t="b">
        <f t="shared" si="18"/>
        <v>0</v>
      </c>
      <c r="Y58" s="19" t="b">
        <f t="shared" si="19"/>
        <v>0</v>
      </c>
      <c r="Z58" s="19" t="b">
        <f t="shared" si="20"/>
        <v>0</v>
      </c>
      <c r="AA58" s="19" t="b">
        <f t="shared" si="21"/>
        <v>0</v>
      </c>
      <c r="AB58" s="19" t="b">
        <f t="shared" si="22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16"/>
        <v>0</v>
      </c>
      <c r="U59" s="19" t="b">
        <f t="shared" si="17"/>
        <v>0</v>
      </c>
      <c r="V59" s="19" t="b">
        <f t="shared" ca="1" si="3"/>
        <v>0</v>
      </c>
      <c r="X59" s="19" t="b">
        <f t="shared" si="18"/>
        <v>0</v>
      </c>
      <c r="Y59" s="19" t="b">
        <f t="shared" si="19"/>
        <v>0</v>
      </c>
      <c r="Z59" s="19" t="b">
        <f t="shared" si="20"/>
        <v>0</v>
      </c>
      <c r="AA59" s="19" t="b">
        <f t="shared" si="21"/>
        <v>0</v>
      </c>
      <c r="AB59" s="19" t="b">
        <f t="shared" si="22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16"/>
        <v>0</v>
      </c>
      <c r="U60" s="19" t="b">
        <f t="shared" si="17"/>
        <v>0</v>
      </c>
      <c r="V60" s="19" t="b">
        <f t="shared" ca="1" si="3"/>
        <v>0</v>
      </c>
      <c r="X60" s="19" t="b">
        <f t="shared" si="18"/>
        <v>0</v>
      </c>
      <c r="Y60" s="19" t="b">
        <f t="shared" si="19"/>
        <v>0</v>
      </c>
      <c r="Z60" s="19" t="b">
        <f t="shared" si="20"/>
        <v>0</v>
      </c>
      <c r="AA60" s="19" t="b">
        <f t="shared" si="21"/>
        <v>0</v>
      </c>
      <c r="AB60" s="19" t="b">
        <f t="shared" si="22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16"/>
        <v>0</v>
      </c>
      <c r="U61" s="19" t="b">
        <f t="shared" si="17"/>
        <v>0</v>
      </c>
      <c r="V61" s="19" t="b">
        <f t="shared" ca="1" si="3"/>
        <v>0</v>
      </c>
      <c r="X61" s="19" t="b">
        <f t="shared" si="18"/>
        <v>0</v>
      </c>
      <c r="Y61" s="19" t="b">
        <f t="shared" si="19"/>
        <v>0</v>
      </c>
      <c r="Z61" s="19" t="b">
        <f t="shared" si="20"/>
        <v>0</v>
      </c>
      <c r="AA61" s="19" t="b">
        <f t="shared" si="21"/>
        <v>0</v>
      </c>
      <c r="AB61" s="19" t="b">
        <f t="shared" si="22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16"/>
        <v>0</v>
      </c>
      <c r="U62" s="19" t="b">
        <f t="shared" si="17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16"/>
        <v>0</v>
      </c>
      <c r="U63" s="19" t="b">
        <f t="shared" si="17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16"/>
        <v>0</v>
      </c>
      <c r="U64" s="19" t="b">
        <f t="shared" si="17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16"/>
        <v>0</v>
      </c>
      <c r="U65" s="19" t="b">
        <f t="shared" si="17"/>
        <v>0</v>
      </c>
      <c r="V65" s="19" t="b">
        <f t="shared" ca="1" si="3"/>
        <v>0</v>
      </c>
      <c r="X65" s="19" t="b">
        <f t="shared" ref="X65:X74" si="23">COUNTIF($N41:$R41,N41)&gt;1</f>
        <v>0</v>
      </c>
      <c r="Y65" s="19" t="b">
        <f t="shared" ref="Y65:Y74" si="24">COUNTIF($N41:$R41,O41)&gt;1</f>
        <v>0</v>
      </c>
      <c r="Z65" s="19" t="b">
        <f t="shared" ref="Z65:Z74" si="25">COUNTIF($N41:$R41,P41)&gt;1</f>
        <v>0</v>
      </c>
      <c r="AA65" s="19" t="b">
        <f t="shared" ref="AA65:AA74" si="26">COUNTIF($N41:$R41,Q41)&gt;1</f>
        <v>0</v>
      </c>
      <c r="AB65" s="19" t="b">
        <f t="shared" ref="AB65:AB74" si="27">COUNTIF($N41:$R41,R41)&gt;1</f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16"/>
        <v>0</v>
      </c>
      <c r="U66" s="19" t="b">
        <f t="shared" si="17"/>
        <v>0</v>
      </c>
      <c r="V66" s="19" t="b">
        <f t="shared" ca="1" si="3"/>
        <v>0</v>
      </c>
      <c r="X66" s="19" t="b">
        <f t="shared" si="23"/>
        <v>0</v>
      </c>
      <c r="Y66" s="19" t="b">
        <f t="shared" si="24"/>
        <v>0</v>
      </c>
      <c r="Z66" s="19" t="b">
        <f t="shared" si="25"/>
        <v>0</v>
      </c>
      <c r="AA66" s="19" t="b">
        <f t="shared" si="26"/>
        <v>0</v>
      </c>
      <c r="AB66" s="19" t="b">
        <f t="shared" si="27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16"/>
        <v>0</v>
      </c>
      <c r="U67" s="19" t="b">
        <f t="shared" si="17"/>
        <v>0</v>
      </c>
      <c r="V67" s="19" t="b">
        <f t="shared" ca="1" si="3"/>
        <v>0</v>
      </c>
      <c r="X67" s="19" t="b">
        <f t="shared" si="23"/>
        <v>0</v>
      </c>
      <c r="Y67" s="19" t="b">
        <f t="shared" si="24"/>
        <v>0</v>
      </c>
      <c r="Z67" s="19" t="b">
        <f t="shared" si="25"/>
        <v>0</v>
      </c>
      <c r="AA67" s="19" t="b">
        <f t="shared" si="26"/>
        <v>0</v>
      </c>
      <c r="AB67" s="19" t="b">
        <f t="shared" si="27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16"/>
        <v>0</v>
      </c>
      <c r="U68" s="19" t="b">
        <f t="shared" si="17"/>
        <v>0</v>
      </c>
      <c r="V68" s="19" t="b">
        <f t="shared" ca="1" si="3"/>
        <v>0</v>
      </c>
      <c r="X68" s="19" t="b">
        <f t="shared" si="23"/>
        <v>0</v>
      </c>
      <c r="Y68" s="19" t="b">
        <f t="shared" si="24"/>
        <v>0</v>
      </c>
      <c r="Z68" s="19" t="b">
        <f t="shared" si="25"/>
        <v>0</v>
      </c>
      <c r="AA68" s="19" t="b">
        <f t="shared" si="26"/>
        <v>0</v>
      </c>
      <c r="AB68" s="19" t="b">
        <f t="shared" si="27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16"/>
        <v>0</v>
      </c>
      <c r="U69" s="19" t="b">
        <f t="shared" si="17"/>
        <v>0</v>
      </c>
      <c r="V69" s="19" t="b">
        <f t="shared" ca="1" si="3"/>
        <v>0</v>
      </c>
      <c r="X69" s="19" t="b">
        <f t="shared" si="23"/>
        <v>0</v>
      </c>
      <c r="Y69" s="19" t="b">
        <f t="shared" si="24"/>
        <v>0</v>
      </c>
      <c r="Z69" s="19" t="b">
        <f t="shared" si="25"/>
        <v>0</v>
      </c>
      <c r="AA69" s="19" t="b">
        <f t="shared" si="26"/>
        <v>0</v>
      </c>
      <c r="AB69" s="19" t="b">
        <f t="shared" si="27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28">AND(B70&lt;&gt;"",ISNA(MATCH(B70,項目リスト,0)))</f>
        <v>0</v>
      </c>
      <c r="U70" s="19" t="b">
        <f t="shared" ref="U70:U105" si="29">COUNTIF(FIELD_NAME,B70)&gt;1</f>
        <v>0</v>
      </c>
      <c r="V70" s="19" t="b">
        <f t="shared" ca="1" si="3"/>
        <v>0</v>
      </c>
      <c r="X70" s="19" t="b">
        <f t="shared" si="23"/>
        <v>0</v>
      </c>
      <c r="Y70" s="19" t="b">
        <f t="shared" si="24"/>
        <v>0</v>
      </c>
      <c r="Z70" s="19" t="b">
        <f t="shared" si="25"/>
        <v>0</v>
      </c>
      <c r="AA70" s="19" t="b">
        <f t="shared" si="26"/>
        <v>0</v>
      </c>
      <c r="AB70" s="19" t="b">
        <f t="shared" si="27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28"/>
        <v>0</v>
      </c>
      <c r="U71" s="19" t="b">
        <f t="shared" si="29"/>
        <v>0</v>
      </c>
      <c r="V71" s="19" t="b">
        <f t="shared" ca="1" si="3"/>
        <v>0</v>
      </c>
      <c r="X71" s="19" t="b">
        <f t="shared" si="23"/>
        <v>0</v>
      </c>
      <c r="Y71" s="19" t="b">
        <f t="shared" si="24"/>
        <v>0</v>
      </c>
      <c r="Z71" s="19" t="b">
        <f t="shared" si="25"/>
        <v>0</v>
      </c>
      <c r="AA71" s="19" t="b">
        <f t="shared" si="26"/>
        <v>0</v>
      </c>
      <c r="AB71" s="19" t="b">
        <f t="shared" si="27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28"/>
        <v>0</v>
      </c>
      <c r="U72" s="19" t="b">
        <f t="shared" si="29"/>
        <v>0</v>
      </c>
      <c r="V72" s="19" t="b">
        <f t="shared" ca="1" si="3"/>
        <v>0</v>
      </c>
      <c r="X72" s="19" t="b">
        <f t="shared" si="23"/>
        <v>0</v>
      </c>
      <c r="Y72" s="19" t="b">
        <f t="shared" si="24"/>
        <v>0</v>
      </c>
      <c r="Z72" s="19" t="b">
        <f t="shared" si="25"/>
        <v>0</v>
      </c>
      <c r="AA72" s="19" t="b">
        <f t="shared" si="26"/>
        <v>0</v>
      </c>
      <c r="AB72" s="19" t="b">
        <f t="shared" si="27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28"/>
        <v>0</v>
      </c>
      <c r="U73" s="19" t="b">
        <f t="shared" si="29"/>
        <v>0</v>
      </c>
      <c r="V73" s="19" t="b">
        <f t="shared" ref="V73:V105" ca="1" si="30">AND(E73="",H73&lt;&gt;"",H73)</f>
        <v>0</v>
      </c>
      <c r="X73" s="19" t="b">
        <f t="shared" si="23"/>
        <v>0</v>
      </c>
      <c r="Y73" s="19" t="b">
        <f t="shared" si="24"/>
        <v>0</v>
      </c>
      <c r="Z73" s="19" t="b">
        <f t="shared" si="25"/>
        <v>0</v>
      </c>
      <c r="AA73" s="19" t="b">
        <f t="shared" si="26"/>
        <v>0</v>
      </c>
      <c r="AB73" s="19" t="b">
        <f t="shared" si="27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28"/>
        <v>0</v>
      </c>
      <c r="U74" s="19" t="b">
        <f t="shared" si="29"/>
        <v>0</v>
      </c>
      <c r="V74" s="19" t="b">
        <f t="shared" ca="1" si="30"/>
        <v>0</v>
      </c>
      <c r="X74" s="19" t="b">
        <f t="shared" si="23"/>
        <v>0</v>
      </c>
      <c r="Y74" s="19" t="b">
        <f t="shared" si="24"/>
        <v>0</v>
      </c>
      <c r="Z74" s="19" t="b">
        <f t="shared" si="25"/>
        <v>0</v>
      </c>
      <c r="AA74" s="19" t="b">
        <f t="shared" si="26"/>
        <v>0</v>
      </c>
      <c r="AB74" s="19" t="b">
        <f t="shared" si="27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28"/>
        <v>0</v>
      </c>
      <c r="U75" s="19" t="b">
        <f t="shared" si="29"/>
        <v>0</v>
      </c>
      <c r="V75" s="19" t="b">
        <f t="shared" ca="1" si="30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28"/>
        <v>0</v>
      </c>
      <c r="U76" s="19" t="b">
        <f t="shared" si="29"/>
        <v>0</v>
      </c>
      <c r="V76" s="19" t="b">
        <f t="shared" ca="1" si="30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28"/>
        <v>0</v>
      </c>
      <c r="U77" s="19" t="b">
        <f t="shared" si="29"/>
        <v>0</v>
      </c>
      <c r="V77" s="19" t="b">
        <f t="shared" ca="1" si="30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28"/>
        <v>0</v>
      </c>
      <c r="U78" s="19" t="b">
        <f t="shared" si="29"/>
        <v>0</v>
      </c>
      <c r="V78" s="19" t="b">
        <f t="shared" ca="1" si="30"/>
        <v>0</v>
      </c>
      <c r="X78" s="19" t="b">
        <f t="shared" ref="X78:X87" ca="1" si="31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28"/>
        <v>0</v>
      </c>
      <c r="U79" s="19" t="b">
        <f t="shared" si="29"/>
        <v>0</v>
      </c>
      <c r="V79" s="19" t="b">
        <f t="shared" ca="1" si="30"/>
        <v>0</v>
      </c>
      <c r="X79" s="19" t="b">
        <f t="shared" ca="1" si="31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28"/>
        <v>0</v>
      </c>
      <c r="U80" s="19" t="b">
        <f t="shared" si="29"/>
        <v>0</v>
      </c>
      <c r="V80" s="19" t="b">
        <f t="shared" ca="1" si="30"/>
        <v>0</v>
      </c>
      <c r="X80" s="19" t="e">
        <f t="shared" ca="1" si="31"/>
        <v>#N/A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28"/>
        <v>0</v>
      </c>
      <c r="U81" s="19" t="b">
        <f t="shared" si="29"/>
        <v>0</v>
      </c>
      <c r="V81" s="19" t="b">
        <f t="shared" ca="1" si="30"/>
        <v>0</v>
      </c>
      <c r="X81" s="19" t="b">
        <f t="shared" ca="1" si="31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28"/>
        <v>0</v>
      </c>
      <c r="U82" s="19" t="b">
        <f t="shared" si="29"/>
        <v>0</v>
      </c>
      <c r="V82" s="19" t="b">
        <f t="shared" ca="1" si="30"/>
        <v>0</v>
      </c>
      <c r="X82" s="19" t="b">
        <f t="shared" ca="1" si="31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28"/>
        <v>0</v>
      </c>
      <c r="U83" s="19" t="b">
        <f t="shared" si="29"/>
        <v>0</v>
      </c>
      <c r="V83" s="19" t="b">
        <f t="shared" ca="1" si="30"/>
        <v>0</v>
      </c>
      <c r="X83" s="19" t="b">
        <f t="shared" ca="1" si="31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28"/>
        <v>0</v>
      </c>
      <c r="U84" s="19" t="b">
        <f t="shared" si="29"/>
        <v>0</v>
      </c>
      <c r="V84" s="19" t="b">
        <f t="shared" ca="1" si="30"/>
        <v>0</v>
      </c>
      <c r="X84" s="19" t="b">
        <f t="shared" ca="1" si="31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28"/>
        <v>0</v>
      </c>
      <c r="U85" s="19" t="b">
        <f t="shared" si="29"/>
        <v>0</v>
      </c>
      <c r="V85" s="19" t="b">
        <f t="shared" ca="1" si="30"/>
        <v>0</v>
      </c>
      <c r="X85" s="19" t="e">
        <f t="shared" ca="1" si="31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28"/>
        <v>0</v>
      </c>
      <c r="U86" s="19" t="b">
        <f t="shared" si="29"/>
        <v>0</v>
      </c>
      <c r="V86" s="19" t="b">
        <f t="shared" ca="1" si="30"/>
        <v>0</v>
      </c>
      <c r="X86" s="19" t="e">
        <f t="shared" ca="1" si="31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28"/>
        <v>0</v>
      </c>
      <c r="U87" s="19" t="b">
        <f t="shared" si="29"/>
        <v>0</v>
      </c>
      <c r="V87" s="19" t="b">
        <f t="shared" ca="1" si="30"/>
        <v>0</v>
      </c>
      <c r="X87" s="19" t="e">
        <f t="shared" ca="1" si="31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28"/>
        <v>0</v>
      </c>
      <c r="U88" s="19" t="b">
        <f t="shared" si="29"/>
        <v>0</v>
      </c>
      <c r="V88" s="19" t="b">
        <f t="shared" ca="1" si="30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28"/>
        <v>0</v>
      </c>
      <c r="U89" s="19" t="b">
        <f t="shared" si="29"/>
        <v>0</v>
      </c>
      <c r="V89" s="19" t="b">
        <f t="shared" ca="1" si="30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28"/>
        <v>0</v>
      </c>
      <c r="U90" s="19" t="b">
        <f t="shared" si="29"/>
        <v>0</v>
      </c>
      <c r="V90" s="19" t="b">
        <f t="shared" ca="1" si="30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28"/>
        <v>0</v>
      </c>
      <c r="U91" s="19" t="b">
        <f t="shared" si="29"/>
        <v>0</v>
      </c>
      <c r="V91" s="19" t="b">
        <f t="shared" ca="1" si="30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28"/>
        <v>0</v>
      </c>
      <c r="U92" s="19" t="b">
        <f t="shared" si="29"/>
        <v>0</v>
      </c>
      <c r="V92" s="19" t="b">
        <f t="shared" ca="1" si="30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28"/>
        <v>0</v>
      </c>
      <c r="U93" s="19" t="b">
        <f t="shared" si="29"/>
        <v>0</v>
      </c>
      <c r="V93" s="19" t="b">
        <f t="shared" ca="1" si="30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28"/>
        <v>0</v>
      </c>
      <c r="U94" s="19" t="b">
        <f t="shared" si="29"/>
        <v>0</v>
      </c>
      <c r="V94" s="19" t="b">
        <f t="shared" ca="1" si="30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28"/>
        <v>0</v>
      </c>
      <c r="U95" s="19" t="b">
        <f t="shared" si="29"/>
        <v>0</v>
      </c>
      <c r="V95" s="19" t="b">
        <f t="shared" ca="1" si="30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28"/>
        <v>0</v>
      </c>
      <c r="U96" s="19" t="b">
        <f t="shared" si="29"/>
        <v>0</v>
      </c>
      <c r="V96" s="19" t="b">
        <f t="shared" ca="1" si="30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28"/>
        <v>0</v>
      </c>
      <c r="U97" s="19" t="b">
        <f t="shared" si="29"/>
        <v>0</v>
      </c>
      <c r="V97" s="19" t="b">
        <f t="shared" ca="1" si="30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28"/>
        <v>0</v>
      </c>
      <c r="U98" s="19" t="b">
        <f t="shared" si="29"/>
        <v>0</v>
      </c>
      <c r="V98" s="19" t="b">
        <f t="shared" ca="1" si="30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28"/>
        <v>0</v>
      </c>
      <c r="U99" s="19" t="b">
        <f t="shared" si="29"/>
        <v>0</v>
      </c>
      <c r="V99" s="19" t="b">
        <f t="shared" ca="1" si="30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28"/>
        <v>0</v>
      </c>
      <c r="U100" s="19" t="b">
        <f t="shared" si="29"/>
        <v>0</v>
      </c>
      <c r="V100" s="19" t="b">
        <f t="shared" ca="1" si="30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28"/>
        <v>0</v>
      </c>
      <c r="U101" s="19" t="b">
        <f t="shared" si="29"/>
        <v>0</v>
      </c>
      <c r="V101" s="19" t="b">
        <f t="shared" ca="1" si="30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28"/>
        <v>0</v>
      </c>
      <c r="U102" s="19" t="b">
        <f t="shared" si="29"/>
        <v>0</v>
      </c>
      <c r="V102" s="19" t="b">
        <f t="shared" ca="1" si="30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28"/>
        <v>0</v>
      </c>
      <c r="U103" s="19" t="b">
        <f t="shared" si="29"/>
        <v>0</v>
      </c>
      <c r="V103" s="19" t="b">
        <f t="shared" ca="1" si="30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28"/>
        <v>0</v>
      </c>
      <c r="U104" s="19" t="b">
        <f t="shared" si="29"/>
        <v>0</v>
      </c>
      <c r="V104" s="19" t="b">
        <f t="shared" ca="1" si="30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28"/>
        <v>0</v>
      </c>
      <c r="U105" s="19" t="b">
        <f t="shared" si="29"/>
        <v>0</v>
      </c>
      <c r="V105" s="19" t="b">
        <f t="shared" ca="1" si="30"/>
        <v>0</v>
      </c>
      <c r="AI105" s="60"/>
      <c r="AJ105" s="71"/>
    </row>
  </sheetData>
  <phoneticPr fontId="2"/>
  <conditionalFormatting sqref="B2:C2">
    <cfRule type="expression" dxfId="56" priority="58">
      <formula>ISERROR(B2)</formula>
    </cfRule>
  </conditionalFormatting>
  <conditionalFormatting sqref="B6:B105">
    <cfRule type="expression" dxfId="55" priority="55">
      <formula>COUNTIF(FIELD_NAME,B6)&gt;1</formula>
    </cfRule>
    <cfRule type="expression" dxfId="54" priority="56">
      <formula>AND($B6&lt;&gt;"",ISNA(MATCH($B6,項目リスト,0)))</formula>
    </cfRule>
  </conditionalFormatting>
  <conditionalFormatting sqref="B6">
    <cfRule type="expression" dxfId="53" priority="50">
      <formula>$AI$6="N/A"</formula>
    </cfRule>
  </conditionalFormatting>
  <conditionalFormatting sqref="D1">
    <cfRule type="cellIs" dxfId="52" priority="39" operator="greaterThan">
      <formula>0</formula>
    </cfRule>
  </conditionalFormatting>
  <conditionalFormatting sqref="L8:P8">
    <cfRule type="expression" dxfId="51" priority="70">
      <formula>Y8</formula>
    </cfRule>
    <cfRule type="expression" dxfId="50" priority="71">
      <formula>Y7</formula>
    </cfRule>
  </conditionalFormatting>
  <conditionalFormatting sqref="L13:P22">
    <cfRule type="expression" dxfId="49" priority="2">
      <formula>Y13</formula>
    </cfRule>
    <cfRule type="expression" dxfId="48" priority="3">
      <formula>$AD13</formula>
    </cfRule>
  </conditionalFormatting>
  <conditionalFormatting sqref="L8">
    <cfRule type="expression" dxfId="47" priority="69">
      <formula>$AG$7</formula>
    </cfRule>
  </conditionalFormatting>
  <dataValidations count="7">
    <dataValidation imeMode="on" allowBlank="1" showInputMessage="1" showErrorMessage="1" sqref="K12 A5 A1:A2 F6:I105 K7 E2" xr:uid="{6CAB66BA-704B-4ABE-B97E-3983DA3EB600}"/>
    <dataValidation imeMode="off" allowBlank="1" showInputMessage="1" showErrorMessage="1" sqref="D5:F5 C2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FBBF5-05C7-4052-9C0B-98C5C0B11AE3}">
  <sheetPr codeName="template1">
    <tabColor rgb="FFFFFFFF"/>
  </sheetPr>
  <dimension ref="A1:AO105"/>
  <sheetViews>
    <sheetView showGridLines="0" tabSelected="1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34">
        <v>1</v>
      </c>
      <c r="E2" s="90" t="s">
        <v>177</v>
      </c>
      <c r="F2" s="91" t="s">
        <v>179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5</v>
      </c>
      <c r="AJ5" s="71">
        <f>COUNTA(AJ6:AJ105)</f>
        <v>4</v>
      </c>
    </row>
    <row r="6" spans="1:41" ht="15" customHeight="1">
      <c r="A6" s="48">
        <v>1</v>
      </c>
      <c r="B6" s="42" t="s">
        <v>33</v>
      </c>
      <c r="C6" s="35" t="str">
        <f ca="1">IFERROR(VLOOKUP(B6,項目!DATA_AREA,2,FALSE),"")</f>
        <v>customer_id</v>
      </c>
      <c r="D6" s="35" t="str">
        <f ca="1">IFERROR(VLOOKUP(B6,項目!DATA_AREA,3,FALSE),"")</f>
        <v>varchar(3)</v>
      </c>
      <c r="E6" s="51">
        <v>1</v>
      </c>
      <c r="F6" s="45"/>
      <c r="G6" s="38" t="str">
        <f ca="1">IFERROR(VLOOKUP(B6,項目!DATA_AREA,4,FALSE),"")</f>
        <v>(LENGTH(customer_id) &gt;= 3)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163</v>
      </c>
      <c r="AJ6" s="71" t="s">
        <v>163</v>
      </c>
    </row>
    <row r="7" spans="1:41">
      <c r="A7" s="49">
        <v>2</v>
      </c>
      <c r="B7" s="43" t="s">
        <v>51</v>
      </c>
      <c r="C7" s="36" t="str">
        <f ca="1">IFERROR(VLOOKUP(B7,項目!DATA_AREA,2,FALSE),"")</f>
        <v>customer_name</v>
      </c>
      <c r="D7" s="36" t="str">
        <f ca="1">IFERROR(VLOOKUP(B7,項目!DATA_AREA,3,FALSE),"")</f>
        <v>varchar(100)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51</v>
      </c>
      <c r="AJ7" s="71" t="s">
        <v>51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2" t="s">
        <v>14</v>
      </c>
      <c r="L8" s="73" t="s">
        <v>33</v>
      </c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32</v>
      </c>
      <c r="AJ8" s="71" t="s">
        <v>57</v>
      </c>
      <c r="AK8" s="60" t="str">
        <f ca="1">VLOOKUP(L8,FIELD_NAME__,2,FALSE)</f>
        <v>customer_id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57</v>
      </c>
      <c r="C9" s="36" t="str">
        <f ca="1">IFERROR(VLOOKUP(B9,項目!DATA_AREA,2,FALSE),"")</f>
        <v>customer_type</v>
      </c>
      <c r="D9" s="36" t="str">
        <f ca="1">IFERROR(VLOOKUP(B9,項目!DATA_AREA,3,FALSE),"")</f>
        <v>customer_type</v>
      </c>
      <c r="E9" s="52">
        <v>1</v>
      </c>
      <c r="F9" s="46"/>
      <c r="G9" s="39">
        <f ca="1">IFERROR(VLOOKUP(B9,項目!DATA_AREA,4,FALSE),"")</f>
        <v>0</v>
      </c>
      <c r="H9" s="12" t="b">
        <f ca="1">IFERROR(VLOOKUP(B9,項目!DATA_AREA,5,FALSE),"")</f>
        <v>1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57</v>
      </c>
      <c r="AJ9" s="71" t="s">
        <v>21</v>
      </c>
    </row>
    <row r="10" spans="1:41">
      <c r="A10" s="49">
        <v>5</v>
      </c>
      <c r="B10" s="43" t="s">
        <v>21</v>
      </c>
      <c r="C10" s="36" t="str">
        <f ca="1">IFERROR(VLOOKUP(B10,項目!DATA_AREA,2,FALSE),"")</f>
        <v>registration_date</v>
      </c>
      <c r="D10" s="36" t="str">
        <f ca="1">IFERROR(VLOOKUP(B10,項目!DATA_AREA,3,FALSE),"")</f>
        <v>date</v>
      </c>
      <c r="E10" s="52">
        <v>1</v>
      </c>
      <c r="F10" s="46" t="s">
        <v>164</v>
      </c>
      <c r="G10" s="39">
        <f ca="1">IFERROR(VLOOKUP(B10,項目!DATA_AREA,4,FALSE),"")</f>
        <v>0</v>
      </c>
      <c r="H10" s="12" t="b">
        <f ca="1">IFERROR(VLOOKUP(B10,項目!DATA_AREA,5,FALSE),"")</f>
        <v>0</v>
      </c>
      <c r="I10" s="12" t="b">
        <f ca="1">IFERROR(VLOOKUP(B10,項目!DATA_AREA,6,FALSE),"")</f>
        <v>0</v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 t="s">
        <v>21</v>
      </c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1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 t="s">
        <v>51</v>
      </c>
      <c r="M13" s="78" t="s">
        <v>32</v>
      </c>
      <c r="N13" s="78"/>
      <c r="O13" s="78"/>
      <c r="P13" s="79"/>
      <c r="R13" s="88" t="str">
        <f>_xlfn.CONCAT(L13:P13)</f>
        <v>得意先担当者名</v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str">
        <f t="shared" ref="AK13:AK22" ca="1" si="9">VLOOKUP(L13,FIELD_NAME__,2,FALSE)</f>
        <v>customer_name</v>
      </c>
      <c r="AL13" s="60" t="str">
        <f t="shared" ref="AL13:AL22" ca="1" si="10">VLOOKUP(M13,FIELD_NAME__,2,FALSE)</f>
        <v>person_in_charge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 t="s">
        <v>21</v>
      </c>
      <c r="M14" s="82"/>
      <c r="N14" s="82"/>
      <c r="O14" s="82"/>
      <c r="P14" s="83"/>
      <c r="R14" s="88" t="str">
        <f t="shared" ref="R14:R22" si="14">_xlfn.CONCAT(L14:P14)</f>
        <v>登録日</v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str">
        <f t="shared" ca="1" si="9"/>
        <v>registration_date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b">
        <f t="shared" ca="1" si="22"/>
        <v>0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b">
        <f t="shared" ca="1" si="22"/>
        <v>0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43" priority="7">
      <formula>ISERROR(B2)</formula>
    </cfRule>
  </conditionalFormatting>
  <conditionalFormatting sqref="B6:B105">
    <cfRule type="expression" dxfId="42" priority="5">
      <formula>COUNTIF(FIELD_NAME,B6)&gt;1</formula>
    </cfRule>
    <cfRule type="expression" dxfId="41" priority="6">
      <formula>AND($B6&lt;&gt;"",ISNA(MATCH($B6,項目リスト,0)))</formula>
    </cfRule>
  </conditionalFormatting>
  <conditionalFormatting sqref="B6">
    <cfRule type="expression" dxfId="40" priority="4">
      <formula>$AI$6="N/A"</formula>
    </cfRule>
  </conditionalFormatting>
  <conditionalFormatting sqref="D1">
    <cfRule type="cellIs" dxfId="39" priority="3" operator="greaterThan">
      <formula>0</formula>
    </cfRule>
  </conditionalFormatting>
  <conditionalFormatting sqref="L8:P8">
    <cfRule type="expression" dxfId="38" priority="9">
      <formula>Y8</formula>
    </cfRule>
    <cfRule type="expression" dxfId="37" priority="10">
      <formula>Y7</formula>
    </cfRule>
  </conditionalFormatting>
  <conditionalFormatting sqref="L13:P22">
    <cfRule type="expression" dxfId="36" priority="1">
      <formula>Y13</formula>
    </cfRule>
    <cfRule type="expression" dxfId="35" priority="2">
      <formula>$AD13</formula>
    </cfRule>
  </conditionalFormatting>
  <conditionalFormatting sqref="L8">
    <cfRule type="expression" dxfId="34" priority="8">
      <formula>$AG$7</formula>
    </cfRule>
  </conditionalFormatting>
  <conditionalFormatting sqref="E6">
    <cfRule type="expression" dxfId="33" priority="11" stopIfTrue="1">
      <formula>$V6</formula>
    </cfRule>
  </conditionalFormatting>
  <conditionalFormatting sqref="E7">
    <cfRule type="expression" dxfId="32" priority="12" stopIfTrue="1">
      <formula>$V7</formula>
    </cfRule>
  </conditionalFormatting>
  <conditionalFormatting sqref="E8">
    <cfRule type="expression" dxfId="31" priority="13" stopIfTrue="1">
      <formula>$V8</formula>
    </cfRule>
  </conditionalFormatting>
  <conditionalFormatting sqref="E9">
    <cfRule type="expression" dxfId="30" priority="14" stopIfTrue="1">
      <formula>$V9</formula>
    </cfRule>
  </conditionalFormatting>
  <conditionalFormatting sqref="E10">
    <cfRule type="expression" dxfId="29" priority="15" stopIfTrue="1">
      <formula>$V10</formula>
    </cfRule>
  </conditionalFormatting>
  <dataValidations count="7">
    <dataValidation imeMode="off" allowBlank="1" showInputMessage="1" showErrorMessage="1" sqref="D5:F5 C2" xr:uid="{7A73844D-9039-4569-A12A-82351FE869AE}"/>
    <dataValidation type="list" allowBlank="1" showInputMessage="1" showErrorMessage="1" sqref="F2" xr:uid="{AC74F27E-5FC3-4FE8-814D-D15FA65FB592}">
      <formula1>"○,-"</formula1>
    </dataValidation>
    <dataValidation type="list" allowBlank="1" showInputMessage="1" showErrorMessage="1" sqref="L13:P22" xr:uid="{946C36AA-4CAA-4D85-B53E-7F7842AE80DD}">
      <formula1>FIELDリスト</formula1>
    </dataValidation>
    <dataValidation type="list" allowBlank="1" showInputMessage="1" showErrorMessage="1" sqref="L8:P8" xr:uid="{0DBA9873-DEE2-4B30-9B48-E6BA6ED243E1}">
      <formula1>FIELDリストNN</formula1>
    </dataValidation>
    <dataValidation type="whole" imeMode="off" operator="equal" allowBlank="1" showInputMessage="1" showErrorMessage="1" error="NotNullの場合は[1]を入力する。" sqref="E6:E105" xr:uid="{F116FD85-C35B-4CFA-802F-C12C9E941005}">
      <formula1>1</formula1>
    </dataValidation>
    <dataValidation type="list" allowBlank="1" showInputMessage="1" showErrorMessage="1" sqref="B6:B105" xr:uid="{41C6CBEB-E008-41C1-ABEB-FE77624CA807}">
      <formula1>項目リスト</formula1>
    </dataValidation>
    <dataValidation imeMode="on" allowBlank="1" showInputMessage="1" showErrorMessage="1" sqref="K12 A5 A1:A2 F6:I105 K7 E2" xr:uid="{1732797C-E4E7-4598-94DE-1FA54012A836}"/>
  </dataValidations>
  <hyperlinks>
    <hyperlink ref="E1" location="一覧!R1C1" display="一覧へ" xr:uid="{317C04FC-0741-4116-BD05-D3E94717C44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03E6E-8847-4345-ACC9-E1CA18798F49}">
  <sheetPr codeName="template2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34">
        <v>2</v>
      </c>
      <c r="E2" s="90" t="s">
        <v>177</v>
      </c>
      <c r="F2" s="91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5</v>
      </c>
      <c r="AJ5" s="71">
        <f>COUNTA(AJ6:AJ105)</f>
        <v>3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176</v>
      </c>
      <c r="AJ6" s="71" t="s">
        <v>176</v>
      </c>
    </row>
    <row r="7" spans="1:41">
      <c r="A7" s="49">
        <v>2</v>
      </c>
      <c r="B7" s="43" t="s">
        <v>29</v>
      </c>
      <c r="C7" s="36" t="str">
        <f ca="1">IFERROR(VLOOKUP(B7,項目!DATA_AREA,2,FALSE),"")</f>
        <v>order_date</v>
      </c>
      <c r="D7" s="36" t="str">
        <f ca="1">IFERROR(VLOOKUP(B7,項目!DATA_AREA,3,FALSE),"")</f>
        <v>date</v>
      </c>
      <c r="E7" s="52">
        <v>1</v>
      </c>
      <c r="F7" s="46"/>
      <c r="G7" s="39">
        <f ca="1">IFERROR(VLOOKUP(B7,項目!DATA_AREA,4,FALSE),"")</f>
        <v>0</v>
      </c>
      <c r="H7" s="12" t="b">
        <f ca="1">IFERROR(VLOOKUP(B7,項目!DATA_AREA,5,FALSE),"")</f>
        <v>0</v>
      </c>
      <c r="I7" s="12" t="b">
        <f ca="1">IFERROR(VLOOKUP(B7,項目!DATA_AREA,6,FALSE),"")</f>
        <v>0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29</v>
      </c>
      <c r="AJ7" s="71" t="s">
        <v>29</v>
      </c>
    </row>
    <row r="8" spans="1:41">
      <c r="A8" s="49">
        <v>3</v>
      </c>
      <c r="B8" s="43" t="s">
        <v>32</v>
      </c>
      <c r="C8" s="36" t="str">
        <f ca="1">IFERROR(VLOOKUP(B8,項目!DATA_AREA,2,FALSE),"")</f>
        <v>person_in_charge</v>
      </c>
      <c r="D8" s="36" t="str">
        <f ca="1">IFERROR(VLOOKUP(B8,項目!DATA_AREA,3,FALSE),"")</f>
        <v>varchar(30)</v>
      </c>
      <c r="E8" s="52"/>
      <c r="F8" s="46"/>
      <c r="G8" s="39">
        <f ca="1">IFERROR(VLOOKUP(B8,項目!DATA_AREA,4,FALSE),"")</f>
        <v>0</v>
      </c>
      <c r="H8" s="12" t="b">
        <f ca="1">IFERROR(VLOOKUP(B8,項目!DATA_AREA,5,FALSE),"")</f>
        <v>0</v>
      </c>
      <c r="I8" s="12" t="b">
        <f ca="1">IFERROR(VLOOKUP(B8,項目!DATA_AREA,6,FALSE),"")</f>
        <v>1</v>
      </c>
      <c r="K8" s="72" t="s">
        <v>14</v>
      </c>
      <c r="L8" s="73" t="s">
        <v>31</v>
      </c>
      <c r="M8" s="74"/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32</v>
      </c>
      <c r="AJ8" s="71" t="s">
        <v>33</v>
      </c>
      <c r="AK8" s="60" t="str">
        <f ca="1">VLOOKUP(L8,FIELD_NAME__,2,FALSE)</f>
        <v>received_order_no</v>
      </c>
      <c r="AL8" s="60" t="e">
        <f ca="1">VLOOKUP(M8,FIELD_NAME__,2,FALSE)</f>
        <v>#N/A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33</v>
      </c>
      <c r="C9" s="36" t="str">
        <f ca="1">IFERROR(VLOOKUP(B9,項目!DATA_AREA,2,FALSE),"")</f>
        <v>customer_id</v>
      </c>
      <c r="D9" s="36" t="str">
        <f ca="1">IFERROR(VLOOKUP(B9,項目!DATA_AREA,3,FALSE),"")</f>
        <v>varchar(3)</v>
      </c>
      <c r="E9" s="52">
        <v>1</v>
      </c>
      <c r="F9" s="46"/>
      <c r="G9" s="39" t="str">
        <f ca="1">IFERROR(VLOOKUP(B9,項目!DATA_AREA,4,FALSE),"")</f>
        <v>(LENGTH(customer_id) &gt;= 3)</v>
      </c>
      <c r="H9" s="12" t="b">
        <f ca="1">IFERROR(VLOOKUP(B9,項目!DATA_AREA,5,FALSE),"")</f>
        <v>0</v>
      </c>
      <c r="I9" s="12" t="b">
        <f ca="1">IFERROR(VLOOKUP(B9,項目!DATA_AREA,6,FALSE),"")</f>
        <v>1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33</v>
      </c>
      <c r="AJ9" s="71"/>
    </row>
    <row r="10" spans="1:41">
      <c r="A10" s="49">
        <v>5</v>
      </c>
      <c r="B10" s="43" t="s">
        <v>22</v>
      </c>
      <c r="C10" s="36" t="str">
        <f ca="1">IFERROR(VLOOKUP(B10,項目!DATA_AREA,2,FALSE),"")</f>
        <v>comment</v>
      </c>
      <c r="D10" s="36" t="str">
        <f ca="1">IFERROR(VLOOKUP(B10,項目!DATA_AREA,3,FALSE),"")</f>
        <v>text</v>
      </c>
      <c r="E10" s="52"/>
      <c r="F10" s="46"/>
      <c r="G10" s="39" t="str">
        <f ca="1">IFERROR(VLOOKUP(B10,項目!DATA_AREA,4,FALSE),"")</f>
        <v>(LENGTH(comment) &gt;= 10)</v>
      </c>
      <c r="H10" s="12" t="b">
        <f ca="1">IFERROR(VLOOKUP(B10,項目!DATA_AREA,5,FALSE),"")</f>
        <v>0</v>
      </c>
      <c r="I10" s="12" t="b">
        <f ca="1">IFERROR(VLOOKUP(B10,項目!DATA_AREA,6,FALSE),"")</f>
        <v>1</v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 t="s">
        <v>22</v>
      </c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28" priority="7">
      <formula>ISERROR(B2)</formula>
    </cfRule>
  </conditionalFormatting>
  <conditionalFormatting sqref="B6:B105">
    <cfRule type="expression" dxfId="27" priority="5">
      <formula>COUNTIF(FIELD_NAME,B6)&gt;1</formula>
    </cfRule>
    <cfRule type="expression" dxfId="26" priority="6">
      <formula>AND($B6&lt;&gt;"",ISNA(MATCH($B6,項目リスト,0)))</formula>
    </cfRule>
  </conditionalFormatting>
  <conditionalFormatting sqref="B6">
    <cfRule type="expression" dxfId="25" priority="4">
      <formula>$AI$6="N/A"</formula>
    </cfRule>
  </conditionalFormatting>
  <conditionalFormatting sqref="D1">
    <cfRule type="cellIs" dxfId="24" priority="3" operator="greaterThan">
      <formula>0</formula>
    </cfRule>
  </conditionalFormatting>
  <conditionalFormatting sqref="L8:P8">
    <cfRule type="expression" dxfId="23" priority="9">
      <formula>Y8</formula>
    </cfRule>
    <cfRule type="expression" dxfId="22" priority="10">
      <formula>Y7</formula>
    </cfRule>
  </conditionalFormatting>
  <conditionalFormatting sqref="L13:P22">
    <cfRule type="expression" dxfId="21" priority="1">
      <formula>Y13</formula>
    </cfRule>
    <cfRule type="expression" dxfId="20" priority="2">
      <formula>$AD13</formula>
    </cfRule>
  </conditionalFormatting>
  <conditionalFormatting sqref="L8">
    <cfRule type="expression" dxfId="19" priority="8">
      <formula>$AG$7</formula>
    </cfRule>
  </conditionalFormatting>
  <conditionalFormatting sqref="E6">
    <cfRule type="expression" dxfId="18" priority="11" stopIfTrue="1">
      <formula>$V6</formula>
    </cfRule>
  </conditionalFormatting>
  <conditionalFormatting sqref="E7">
    <cfRule type="expression" dxfId="17" priority="12" stopIfTrue="1">
      <formula>$V7</formula>
    </cfRule>
  </conditionalFormatting>
  <conditionalFormatting sqref="E8">
    <cfRule type="expression" dxfId="16" priority="13" stopIfTrue="1">
      <formula>$V8</formula>
    </cfRule>
  </conditionalFormatting>
  <conditionalFormatting sqref="E9">
    <cfRule type="expression" dxfId="15" priority="14" stopIfTrue="1">
      <formula>$V9</formula>
    </cfRule>
  </conditionalFormatting>
  <conditionalFormatting sqref="E10">
    <cfRule type="expression" dxfId="14" priority="15" stopIfTrue="1">
      <formula>$V10</formula>
    </cfRule>
  </conditionalFormatting>
  <dataValidations count="7">
    <dataValidation imeMode="off" allowBlank="1" showInputMessage="1" showErrorMessage="1" sqref="D5:F5 C2" xr:uid="{BFCD16F4-B190-4F24-991E-8AF3A21C6400}"/>
    <dataValidation type="list" allowBlank="1" showInputMessage="1" showErrorMessage="1" sqref="F2" xr:uid="{A84ED664-A302-4614-827A-7DFA3565E719}">
      <formula1>"○,-"</formula1>
    </dataValidation>
    <dataValidation type="list" allowBlank="1" showInputMessage="1" showErrorMessage="1" sqref="L13:P22" xr:uid="{661E2443-1072-4F94-929E-BAF25E4D5A69}">
      <formula1>FIELDリスト</formula1>
    </dataValidation>
    <dataValidation type="list" allowBlank="1" showInputMessage="1" showErrorMessage="1" sqref="L8:P8" xr:uid="{78E89871-04F5-45BE-81B7-21CC8DAED448}">
      <formula1>FIELDリストNN</formula1>
    </dataValidation>
    <dataValidation type="whole" imeMode="off" operator="equal" allowBlank="1" showInputMessage="1" showErrorMessage="1" error="NotNullの場合は[1]を入力する。" sqref="E6:E105" xr:uid="{55F362C7-962F-4932-B6F3-DE1D2DCB68FB}">
      <formula1>1</formula1>
    </dataValidation>
    <dataValidation type="list" allowBlank="1" showInputMessage="1" showErrorMessage="1" sqref="B6:B105" xr:uid="{08B987ED-ECC3-44A9-AD94-D6AEBE94C576}">
      <formula1>項目リスト</formula1>
    </dataValidation>
    <dataValidation imeMode="on" allowBlank="1" showInputMessage="1" showErrorMessage="1" sqref="K12 A5 A1:A2 F6:I105 K7 E2" xr:uid="{CC6DFDED-0662-4B9A-9562-65C761BDA778}"/>
  </dataValidations>
  <hyperlinks>
    <hyperlink ref="E1" location="一覧!R1C1" display="一覧へ" xr:uid="{3197EA2B-F527-4CEB-87D1-6E3D753E40BE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BE888-B47B-4C33-A9D4-007502871A91}">
  <sheetPr codeName="template3">
    <tabColor rgb="FFFFFFFF"/>
  </sheetPr>
  <dimension ref="A1:AO105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9" width="6.4140625" style="7" hidden="1" customWidth="1"/>
    <col min="10" max="10" width="2.4140625" style="7" customWidth="1"/>
    <col min="11" max="11" width="8.6640625" style="7"/>
    <col min="12" max="16" width="12.08203125" style="7" customWidth="1"/>
    <col min="17" max="17" width="8.6640625" style="7"/>
    <col min="18" max="30" width="8.6640625" style="7" hidden="1" customWidth="1"/>
    <col min="31" max="31" width="5.6640625" style="7" hidden="1" customWidth="1"/>
    <col min="32" max="32" width="11.83203125" style="7" hidden="1" customWidth="1"/>
    <col min="33" max="41" width="8.6640625" style="7" hidden="1" customWidth="1"/>
    <col min="42" max="42" width="8.6640625" style="7" customWidth="1"/>
    <col min="43" max="16384" width="8.6640625" style="7"/>
  </cols>
  <sheetData>
    <row r="1" spans="1:41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6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1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34">
        <v>3</v>
      </c>
      <c r="E2" s="90" t="s">
        <v>177</v>
      </c>
      <c r="F2" s="91" t="s">
        <v>180</v>
      </c>
      <c r="G2" s="41"/>
      <c r="AF2" s="7" t="s">
        <v>17</v>
      </c>
      <c r="AG2" s="7" t="b">
        <f>OR(ISERROR(TABLE_JP),ISERROR(TABLE_EN))</f>
        <v>0</v>
      </c>
    </row>
    <row r="3" spans="1:41">
      <c r="AE3" s="7" t="s">
        <v>8</v>
      </c>
      <c r="AF3" s="7" t="s">
        <v>26</v>
      </c>
      <c r="AG3" s="7" t="b">
        <f>AI6="N/A"</f>
        <v>0</v>
      </c>
    </row>
    <row r="4" spans="1:41" ht="20">
      <c r="A4" s="10" t="s">
        <v>48</v>
      </c>
      <c r="K4" s="10" t="s">
        <v>49</v>
      </c>
      <c r="T4" s="70" t="s">
        <v>167</v>
      </c>
      <c r="AF4" s="7" t="s">
        <v>19</v>
      </c>
      <c r="AG4" s="7" t="b">
        <f ca="1">OR(T6:T105)</f>
        <v>0</v>
      </c>
    </row>
    <row r="5" spans="1:41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46</v>
      </c>
      <c r="H5" s="3" t="s">
        <v>44</v>
      </c>
      <c r="I5" s="3" t="s">
        <v>45</v>
      </c>
      <c r="T5" s="7" t="s">
        <v>19</v>
      </c>
      <c r="U5" s="7" t="s">
        <v>23</v>
      </c>
      <c r="V5" s="7" t="s">
        <v>47</v>
      </c>
      <c r="AF5" s="7" t="s">
        <v>23</v>
      </c>
      <c r="AG5" s="7" t="b">
        <f>OR(U6:U105)</f>
        <v>0</v>
      </c>
      <c r="AI5" s="60">
        <f>COUNTA(AI6:AI105)</f>
        <v>4</v>
      </c>
      <c r="AJ5" s="71">
        <f>COUNTA(AJ6:AJ105)</f>
        <v>2</v>
      </c>
    </row>
    <row r="6" spans="1:41" ht="15" customHeight="1">
      <c r="A6" s="48">
        <v>1</v>
      </c>
      <c r="B6" s="42" t="s">
        <v>31</v>
      </c>
      <c r="C6" s="35" t="str">
        <f ca="1">IFERROR(VLOOKUP(B6,項目!DATA_AREA,2,FALSE),"")</f>
        <v>received_order_no</v>
      </c>
      <c r="D6" s="35" t="str">
        <f ca="1">IFERROR(VLOOKUP(B6,項目!DATA_AREA,3,FALSE),"")</f>
        <v>varchar(10)</v>
      </c>
      <c r="E6" s="51">
        <v>1</v>
      </c>
      <c r="F6" s="45"/>
      <c r="G6" s="38" t="str">
        <f ca="1">IFERROR(VLOOKUP(B6,項目!DATA_AREA,4,FALSE),"")</f>
        <v>(LENGTH(received_order_no) &gt;= 10)</v>
      </c>
      <c r="H6" s="11" t="b">
        <f ca="1">IFERROR(VLOOKUP(B6,項目!DATA_AREA,5,FALSE),"")</f>
        <v>0</v>
      </c>
      <c r="I6" s="11" t="b">
        <f ca="1">IFERROR(VLOOKUP(B6,項目!DATA_AREA,6,FALSE),"")</f>
        <v>1</v>
      </c>
      <c r="K6" s="54" t="s">
        <v>53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 t="b">
        <f t="shared" ref="V6:V7" ca="1" si="2">AND(E6="",H6&lt;&gt;"",H6)</f>
        <v>0</v>
      </c>
      <c r="X6" s="70" t="s">
        <v>169</v>
      </c>
      <c r="AF6" s="7" t="s">
        <v>24</v>
      </c>
      <c r="AG6" s="7" t="b">
        <f ca="1">OR(V6:V105)</f>
        <v>0</v>
      </c>
      <c r="AI6" s="60" t="s">
        <v>176</v>
      </c>
      <c r="AJ6" s="71" t="s">
        <v>176</v>
      </c>
    </row>
    <row r="7" spans="1:41">
      <c r="A7" s="49">
        <v>2</v>
      </c>
      <c r="B7" s="43" t="s">
        <v>28</v>
      </c>
      <c r="C7" s="36" t="str">
        <f ca="1">IFERROR(VLOOKUP(B7,項目!DATA_AREA,2,FALSE),"")</f>
        <v>product_no</v>
      </c>
      <c r="D7" s="36" t="str">
        <f ca="1">IFERROR(VLOOKUP(B7,項目!DATA_AREA,3,FALSE),"")</f>
        <v>varchar(10)</v>
      </c>
      <c r="E7" s="52">
        <v>1</v>
      </c>
      <c r="F7" s="46"/>
      <c r="G7" s="39" t="str">
        <f ca="1">IFERROR(VLOOKUP(B7,項目!DATA_AREA,4,FALSE),"")</f>
        <v>(LENGTH(product_no) &gt;= 9)</v>
      </c>
      <c r="H7" s="12" t="b">
        <f ca="1">IFERROR(VLOOKUP(B7,項目!DATA_AREA,5,FALSE),"")</f>
        <v>0</v>
      </c>
      <c r="I7" s="12" t="b">
        <f ca="1">IFERROR(VLOOKUP(B7,項目!DATA_AREA,6,FALSE),"")</f>
        <v>1</v>
      </c>
      <c r="K7" s="57" t="s">
        <v>12</v>
      </c>
      <c r="L7" s="58">
        <v>1</v>
      </c>
      <c r="M7" s="58">
        <v>2</v>
      </c>
      <c r="N7" s="58">
        <v>3</v>
      </c>
      <c r="O7" s="58">
        <v>4</v>
      </c>
      <c r="P7" s="59">
        <v>5</v>
      </c>
      <c r="T7" s="19" t="b">
        <f t="shared" ca="1" si="0"/>
        <v>0</v>
      </c>
      <c r="U7" s="19" t="b">
        <f t="shared" si="1"/>
        <v>0</v>
      </c>
      <c r="V7" s="19" t="b">
        <f t="shared" ca="1" si="2"/>
        <v>0</v>
      </c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27</v>
      </c>
      <c r="AG7" s="7" t="b">
        <f>_xlfn.CONCAT(PK_AREA)=""</f>
        <v>0</v>
      </c>
      <c r="AI7" s="60" t="s">
        <v>28</v>
      </c>
      <c r="AJ7" s="71" t="s">
        <v>28</v>
      </c>
    </row>
    <row r="8" spans="1:41">
      <c r="A8" s="49">
        <v>3</v>
      </c>
      <c r="B8" s="43" t="s">
        <v>30</v>
      </c>
      <c r="C8" s="36" t="str">
        <f ca="1">IFERROR(VLOOKUP(B8,項目!DATA_AREA,2,FALSE),"")</f>
        <v>quantity</v>
      </c>
      <c r="D8" s="36" t="str">
        <f ca="1">IFERROR(VLOOKUP(B8,項目!DATA_AREA,3,FALSE),"")</f>
        <v>integer</v>
      </c>
      <c r="E8" s="52"/>
      <c r="F8" s="46"/>
      <c r="G8" s="39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I8" s="12" t="b">
        <f ca="1">IFERROR(VLOOKUP(B8,項目!DATA_AREA,6,FALSE),"")</f>
        <v>0</v>
      </c>
      <c r="K8" s="72" t="s">
        <v>14</v>
      </c>
      <c r="L8" s="73" t="s">
        <v>31</v>
      </c>
      <c r="M8" s="74" t="s">
        <v>28</v>
      </c>
      <c r="N8" s="74"/>
      <c r="O8" s="74"/>
      <c r="P8" s="75"/>
      <c r="T8" s="19" t="b">
        <f t="shared" ca="1" si="0"/>
        <v>0</v>
      </c>
      <c r="U8" s="19" t="b">
        <f t="shared" si="1"/>
        <v>0</v>
      </c>
      <c r="V8" s="19" t="b">
        <f ca="1">AND(E8="",H8&lt;&gt;"",H8)</f>
        <v>0</v>
      </c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I8" s="60" t="s">
        <v>30</v>
      </c>
      <c r="AJ8" s="71"/>
      <c r="AK8" s="60" t="str">
        <f ca="1">VLOOKUP(L8,FIELD_NAME__,2,FALSE)</f>
        <v>received_order_no</v>
      </c>
      <c r="AL8" s="60" t="str">
        <f ca="1">VLOOKUP(M8,FIELD_NAME__,2,FALSE)</f>
        <v>product_no</v>
      </c>
      <c r="AM8" s="60" t="e">
        <f ca="1">VLOOKUP(N8,FIELD_NAME__,2,FALSE)</f>
        <v>#N/A</v>
      </c>
      <c r="AN8" s="60" t="e">
        <f ca="1">VLOOKUP(O8,FIELD_NAME__,2,FALSE)</f>
        <v>#N/A</v>
      </c>
      <c r="AO8" s="60" t="e">
        <f ca="1">VLOOKUP(P8,FIELD_NAME__,2,FALSE)</f>
        <v>#N/A</v>
      </c>
    </row>
    <row r="9" spans="1:41">
      <c r="A9" s="49">
        <v>4</v>
      </c>
      <c r="B9" s="43" t="s">
        <v>4</v>
      </c>
      <c r="C9" s="36" t="str">
        <f ca="1">IFERROR(VLOOKUP(B9,項目!DATA_AREA,2,FALSE),"")</f>
        <v>price</v>
      </c>
      <c r="D9" s="36" t="str">
        <f ca="1">IFERROR(VLOOKUP(B9,項目!DATA_AREA,3,FALSE),"")</f>
        <v>integer</v>
      </c>
      <c r="E9" s="52"/>
      <c r="F9" s="46"/>
      <c r="G9" s="39" t="str">
        <f ca="1">IFERROR(VLOOKUP(B9,項目!DATA_AREA,4,FALSE),"")</f>
        <v>(price &gt;= 0)</v>
      </c>
      <c r="H9" s="12" t="b">
        <f ca="1">IFERROR(VLOOKUP(B9,項目!DATA_AREA,5,FALSE),"")</f>
        <v>0</v>
      </c>
      <c r="I9" s="12" t="b">
        <f ca="1">IFERROR(VLOOKUP(B9,項目!DATA_AREA,6,FALSE),"")</f>
        <v>0</v>
      </c>
      <c r="T9" s="19" t="b">
        <f t="shared" ca="1" si="0"/>
        <v>0</v>
      </c>
      <c r="U9" s="19" t="b">
        <f t="shared" si="1"/>
        <v>0</v>
      </c>
      <c r="V9" s="19" t="b">
        <f t="shared" ref="V9:V72" ca="1" si="3">AND(E9="",H9&lt;&gt;"",H9)</f>
        <v>0</v>
      </c>
      <c r="AF9" s="7" t="s">
        <v>23</v>
      </c>
      <c r="AG9" s="7" t="b">
        <f>OR(Y8:AC8)</f>
        <v>0</v>
      </c>
      <c r="AI9" s="60" t="s">
        <v>4</v>
      </c>
      <c r="AJ9" s="71"/>
    </row>
    <row r="10" spans="1:41">
      <c r="A10" s="49">
        <v>5</v>
      </c>
      <c r="B10" s="43"/>
      <c r="C10" s="36" t="str">
        <f ca="1">IFERROR(VLOOKUP(B10,項目!DATA_AREA,2,FALSE),"")</f>
        <v/>
      </c>
      <c r="D10" s="36" t="str">
        <f ca="1">IFERROR(VLOOKUP(B10,項目!DATA_AREA,3,FALSE),"")</f>
        <v/>
      </c>
      <c r="E10" s="52"/>
      <c r="F10" s="46"/>
      <c r="G10" s="39" t="str">
        <f ca="1">IFERROR(VLOOKUP(B10,項目!DATA_AREA,4,FALSE),"")</f>
        <v/>
      </c>
      <c r="H10" s="12" t="str">
        <f ca="1">IFERROR(VLOOKUP(B10,項目!DATA_AREA,5,FALSE),"")</f>
        <v/>
      </c>
      <c r="I10" s="12" t="str">
        <f ca="1">IFERROR(VLOOKUP(B10,項目!DATA_AREA,6,FALSE),"")</f>
        <v/>
      </c>
      <c r="R10" s="70" t="s">
        <v>168</v>
      </c>
      <c r="T10" s="19" t="b">
        <f t="shared" ca="1" si="0"/>
        <v>0</v>
      </c>
      <c r="U10" s="19" t="b">
        <f t="shared" si="1"/>
        <v>0</v>
      </c>
      <c r="V10" s="19" t="b">
        <f t="shared" ca="1" si="3"/>
        <v>0</v>
      </c>
      <c r="AE10" s="7" t="s">
        <v>55</v>
      </c>
      <c r="AF10" s="7" t="s">
        <v>172</v>
      </c>
      <c r="AG10" s="7" t="b">
        <f ca="1">OR($Y$13:$AC$22)</f>
        <v>0</v>
      </c>
      <c r="AI10" s="60"/>
      <c r="AJ10" s="71"/>
    </row>
    <row r="11" spans="1:41" ht="15" customHeight="1">
      <c r="A11" s="49">
        <v>6</v>
      </c>
      <c r="B11" s="43"/>
      <c r="C11" s="36" t="str">
        <f ca="1">IFERROR(VLOOKUP(B11,項目!DATA_AREA,2,FALSE),"")</f>
        <v/>
      </c>
      <c r="D11" s="36" t="str">
        <f ca="1">IFERROR(VLOOKUP(B11,項目!DATA_AREA,3,FALSE),"")</f>
        <v/>
      </c>
      <c r="E11" s="52"/>
      <c r="F11" s="46"/>
      <c r="G11" s="39" t="str">
        <f ca="1">IFERROR(VLOOKUP(B11,項目!DATA_AREA,4,FALSE),"")</f>
        <v/>
      </c>
      <c r="H11" s="12" t="str">
        <f ca="1">IFERROR(VLOOKUP(B11,項目!DATA_AREA,5,FALSE),"")</f>
        <v/>
      </c>
      <c r="I11" s="12" t="str">
        <f ca="1">IFERROR(VLOOKUP(B11,項目!DATA_AREA,6,FALSE),"")</f>
        <v/>
      </c>
      <c r="K11" s="54" t="s">
        <v>54</v>
      </c>
      <c r="L11" s="64" t="s">
        <v>56</v>
      </c>
      <c r="R11" s="60" t="b">
        <f>_xlfn.CONCAT(UNIQUE_LIST)&lt;&gt;""</f>
        <v>0</v>
      </c>
      <c r="T11" s="19" t="b">
        <f t="shared" ca="1" si="0"/>
        <v>0</v>
      </c>
      <c r="U11" s="19" t="b">
        <f t="shared" si="1"/>
        <v>0</v>
      </c>
      <c r="V11" s="19" t="b">
        <f t="shared" ca="1" si="3"/>
        <v>0</v>
      </c>
      <c r="AF11" s="7" t="s">
        <v>171</v>
      </c>
      <c r="AG11" s="7" t="b">
        <f>OR($AD$13:$AD$22)</f>
        <v>0</v>
      </c>
      <c r="AI11" s="60"/>
      <c r="AJ11" s="71"/>
    </row>
    <row r="12" spans="1:41" ht="15" customHeight="1">
      <c r="A12" s="49">
        <v>7</v>
      </c>
      <c r="B12" s="43"/>
      <c r="C12" s="36" t="str">
        <f ca="1">IFERROR(VLOOKUP(B12,項目!DATA_AREA,2,FALSE),"")</f>
        <v/>
      </c>
      <c r="D12" s="36" t="str">
        <f ca="1">IFERROR(VLOOKUP(B12,項目!DATA_AREA,3,FALSE),"")</f>
        <v/>
      </c>
      <c r="E12" s="52"/>
      <c r="F12" s="46"/>
      <c r="G12" s="39" t="str">
        <f ca="1">IFERROR(VLOOKUP(B12,項目!DATA_AREA,4,FALSE),"")</f>
        <v/>
      </c>
      <c r="H12" s="12" t="str">
        <f ca="1">IFERROR(VLOOKUP(B12,項目!DATA_AREA,5,FALSE),"")</f>
        <v/>
      </c>
      <c r="I12" s="12" t="str">
        <f ca="1">IFERROR(VLOOKUP(B12,項目!DATA_AREA,6,FALSE),"")</f>
        <v/>
      </c>
      <c r="K12" s="61" t="s">
        <v>12</v>
      </c>
      <c r="L12" s="62">
        <v>1</v>
      </c>
      <c r="M12" s="62">
        <v>2</v>
      </c>
      <c r="N12" s="62">
        <v>3</v>
      </c>
      <c r="O12" s="62">
        <v>4</v>
      </c>
      <c r="P12" s="63">
        <v>5</v>
      </c>
      <c r="T12" s="19" t="b">
        <f t="shared" ca="1" si="0"/>
        <v>0</v>
      </c>
      <c r="U12" s="19" t="b">
        <f t="shared" si="1"/>
        <v>0</v>
      </c>
      <c r="V12" s="19" t="b">
        <f t="shared" ca="1" si="3"/>
        <v>0</v>
      </c>
      <c r="X12" s="70" t="s">
        <v>170</v>
      </c>
      <c r="AD12" s="7" t="s">
        <v>171</v>
      </c>
      <c r="AI12" s="60"/>
      <c r="AJ12" s="71"/>
    </row>
    <row r="13" spans="1:41">
      <c r="A13" s="49">
        <v>8</v>
      </c>
      <c r="B13" s="43"/>
      <c r="C13" s="36" t="str">
        <f ca="1">IFERROR(VLOOKUP(B13,項目!DATA_AREA,2,FALSE),"")</f>
        <v/>
      </c>
      <c r="D13" s="36" t="str">
        <f ca="1">IFERROR(VLOOKUP(B13,項目!DATA_AREA,3,FALSE),"")</f>
        <v/>
      </c>
      <c r="E13" s="52"/>
      <c r="F13" s="46"/>
      <c r="G13" s="39" t="str">
        <f ca="1">IFERROR(VLOOKUP(B13,項目!DATA_AREA,4,FALSE),"")</f>
        <v/>
      </c>
      <c r="H13" s="12" t="str">
        <f ca="1">IFERROR(VLOOKUP(B13,項目!DATA_AREA,5,FALSE),"")</f>
        <v/>
      </c>
      <c r="I13" s="12" t="str">
        <f ca="1">IFERROR(VLOOKUP(B13,項目!DATA_AREA,6,FALSE),"")</f>
        <v/>
      </c>
      <c r="K13" s="76">
        <v>1</v>
      </c>
      <c r="L13" s="77"/>
      <c r="M13" s="78"/>
      <c r="N13" s="78"/>
      <c r="O13" s="78"/>
      <c r="P13" s="79"/>
      <c r="R13" s="88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 t="b">
        <f t="shared" ca="1" si="3"/>
        <v>0</v>
      </c>
      <c r="X13" s="7" t="s">
        <v>173</v>
      </c>
      <c r="Y13" s="19" t="b">
        <f t="shared" ref="Y13:Y22" ca="1" si="4">OR(AND(L13&lt;&gt;"",ISNA(MATCH(L13,FIELDリスト,0))),COUNTIF($L13:$P13,L13)&gt;1)</f>
        <v>0</v>
      </c>
      <c r="Z13" s="19" t="b">
        <f t="shared" ref="Z13:Z22" ca="1" si="5">OR(AND(M13&lt;&gt;"",ISNA(MATCH(M13,FIELDリスト,0))),COUNTIF($L13:$P13,M13)&gt;1)</f>
        <v>0</v>
      </c>
      <c r="AA13" s="19" t="b">
        <f t="shared" ref="AA13:AA22" ca="1" si="6">OR(AND(N13&lt;&gt;"",ISNA(MATCH(N13,FIELDリスト,0))),COUNTIF($L13:$P13,N13)&gt;1)</f>
        <v>0</v>
      </c>
      <c r="AB13" s="19" t="b">
        <f t="shared" ref="AB13:AB22" ca="1" si="7">OR(AND(O13&lt;&gt;"",ISNA(MATCH(O13,FIELDリスト,0))),COUNTIF($L13:$P13,O13)&gt;1)</f>
        <v>0</v>
      </c>
      <c r="AC13" s="19" t="b">
        <f t="shared" ref="AC13:AC22" ca="1" si="8">OR(AND(P13&lt;&gt;"",ISNA(MATCH(P13,FIELDリスト,0))),COUNTIF($L13:$P13,P13)&gt;1)</f>
        <v>0</v>
      </c>
      <c r="AD13" s="19" t="b">
        <f>AND(R13&lt;&gt;"",COUNTIF(R$13:R$22,R13)&gt;1)</f>
        <v>0</v>
      </c>
      <c r="AI13" s="60"/>
      <c r="AJ13" s="71"/>
      <c r="AK13" s="60" t="e">
        <f t="shared" ref="AK13:AK22" ca="1" si="9">VLOOKUP(L13,FIELD_NAME__,2,FALSE)</f>
        <v>#N/A</v>
      </c>
      <c r="AL13" s="60" t="e">
        <f t="shared" ref="AL13:AL22" ca="1" si="10">VLOOKUP(M13,FIELD_NAME__,2,FALSE)</f>
        <v>#N/A</v>
      </c>
      <c r="AM13" s="60" t="e">
        <f t="shared" ref="AM13:AM22" ca="1" si="11">VLOOKUP(N13,FIELD_NAME__,2,FALSE)</f>
        <v>#N/A</v>
      </c>
      <c r="AN13" s="60" t="e">
        <f t="shared" ref="AN13:AN22" ca="1" si="12">VLOOKUP(O13,FIELD_NAME__,2,FALSE)</f>
        <v>#N/A</v>
      </c>
      <c r="AO13" s="60" t="e">
        <f t="shared" ref="AO13:AO22" ca="1" si="13">VLOOKUP(P13,FIELD_NAME__,2,FALSE)</f>
        <v>#N/A</v>
      </c>
    </row>
    <row r="14" spans="1:41">
      <c r="A14" s="49">
        <v>9</v>
      </c>
      <c r="B14" s="43"/>
      <c r="C14" s="36" t="str">
        <f ca="1">IFERROR(VLOOKUP(B14,項目!DATA_AREA,2,FALSE),"")</f>
        <v/>
      </c>
      <c r="D14" s="36" t="str">
        <f ca="1">IFERROR(VLOOKUP(B14,項目!DATA_AREA,3,FALSE),"")</f>
        <v/>
      </c>
      <c r="E14" s="52"/>
      <c r="F14" s="46"/>
      <c r="G14" s="39" t="str">
        <f ca="1">IFERROR(VLOOKUP(B14,項目!DATA_AREA,4,FALSE),"")</f>
        <v/>
      </c>
      <c r="H14" s="12" t="str">
        <f ca="1">IFERROR(VLOOKUP(B14,項目!DATA_AREA,5,FALSE),"")</f>
        <v/>
      </c>
      <c r="I14" s="12" t="str">
        <f ca="1">IFERROR(VLOOKUP(B14,項目!DATA_AREA,6,FALSE),"")</f>
        <v/>
      </c>
      <c r="K14" s="80">
        <v>2</v>
      </c>
      <c r="L14" s="81"/>
      <c r="M14" s="82"/>
      <c r="N14" s="82"/>
      <c r="O14" s="82"/>
      <c r="P14" s="83"/>
      <c r="R14" s="88" t="str">
        <f t="shared" ref="R14:R22" si="14">_xlfn.CONCAT(L14:P14)</f>
        <v/>
      </c>
      <c r="T14" s="19" t="b">
        <f t="shared" ca="1" si="0"/>
        <v>0</v>
      </c>
      <c r="U14" s="19" t="b">
        <f t="shared" si="1"/>
        <v>0</v>
      </c>
      <c r="V14" s="19" t="b">
        <f t="shared" ca="1" si="3"/>
        <v>0</v>
      </c>
      <c r="X14" s="7" t="s">
        <v>174</v>
      </c>
      <c r="Y14" s="19" t="b">
        <f t="shared" ca="1" si="4"/>
        <v>0</v>
      </c>
      <c r="Z14" s="19" t="b">
        <f t="shared" ca="1" si="5"/>
        <v>0</v>
      </c>
      <c r="AA14" s="19" t="b">
        <f t="shared" ca="1" si="6"/>
        <v>0</v>
      </c>
      <c r="AB14" s="19" t="b">
        <f t="shared" ca="1" si="7"/>
        <v>0</v>
      </c>
      <c r="AC14" s="19" t="b">
        <f t="shared" ca="1" si="8"/>
        <v>0</v>
      </c>
      <c r="AD14" s="19" t="b">
        <f t="shared" ref="AD14:AD22" si="15">AND(R14&lt;&gt;"",COUNTIF(R$13:R$22,R14)&gt;1)</f>
        <v>0</v>
      </c>
      <c r="AI14" s="60"/>
      <c r="AJ14" s="71"/>
      <c r="AK14" s="60" t="e">
        <f t="shared" ca="1" si="9"/>
        <v>#N/A</v>
      </c>
      <c r="AL14" s="60" t="e">
        <f t="shared" ca="1" si="10"/>
        <v>#N/A</v>
      </c>
      <c r="AM14" s="60" t="e">
        <f t="shared" ca="1" si="11"/>
        <v>#N/A</v>
      </c>
      <c r="AN14" s="60" t="e">
        <f t="shared" ca="1" si="12"/>
        <v>#N/A</v>
      </c>
      <c r="AO14" s="60" t="e">
        <f t="shared" ca="1" si="13"/>
        <v>#N/A</v>
      </c>
    </row>
    <row r="15" spans="1:41">
      <c r="A15" s="49">
        <v>10</v>
      </c>
      <c r="B15" s="43"/>
      <c r="C15" s="36" t="str">
        <f ca="1">IFERROR(VLOOKUP(B15,項目!DATA_AREA,2,FALSE),"")</f>
        <v/>
      </c>
      <c r="D15" s="36" t="str">
        <f ca="1">IFERROR(VLOOKUP(B15,項目!DATA_AREA,3,FALSE),"")</f>
        <v/>
      </c>
      <c r="E15" s="52"/>
      <c r="F15" s="46"/>
      <c r="G15" s="39" t="str">
        <f ca="1">IFERROR(VLOOKUP(B15,項目!DATA_AREA,4,FALSE),"")</f>
        <v/>
      </c>
      <c r="H15" s="12" t="str">
        <f ca="1">IFERROR(VLOOKUP(B15,項目!DATA_AREA,5,FALSE),"")</f>
        <v/>
      </c>
      <c r="I15" s="12" t="str">
        <f ca="1">IFERROR(VLOOKUP(B15,項目!DATA_AREA,6,FALSE),"")</f>
        <v/>
      </c>
      <c r="K15" s="80">
        <v>3</v>
      </c>
      <c r="L15" s="81"/>
      <c r="M15" s="82"/>
      <c r="N15" s="82"/>
      <c r="O15" s="82"/>
      <c r="P15" s="83"/>
      <c r="R15" s="88" t="str">
        <f t="shared" si="14"/>
        <v/>
      </c>
      <c r="T15" s="19" t="b">
        <f t="shared" ca="1" si="0"/>
        <v>0</v>
      </c>
      <c r="U15" s="19" t="b">
        <f t="shared" si="1"/>
        <v>0</v>
      </c>
      <c r="V15" s="19" t="b">
        <f t="shared" ca="1" si="3"/>
        <v>0</v>
      </c>
      <c r="Y15" s="19" t="b">
        <f t="shared" ca="1" si="4"/>
        <v>0</v>
      </c>
      <c r="Z15" s="19" t="b">
        <f t="shared" ca="1" si="5"/>
        <v>0</v>
      </c>
      <c r="AA15" s="19" t="b">
        <f t="shared" ca="1" si="6"/>
        <v>0</v>
      </c>
      <c r="AB15" s="19" t="b">
        <f t="shared" ca="1" si="7"/>
        <v>0</v>
      </c>
      <c r="AC15" s="19" t="b">
        <f t="shared" ca="1" si="8"/>
        <v>0</v>
      </c>
      <c r="AD15" s="19" t="b">
        <f t="shared" si="15"/>
        <v>0</v>
      </c>
      <c r="AI15" s="60"/>
      <c r="AJ15" s="71"/>
      <c r="AK15" s="60" t="e">
        <f t="shared" ca="1" si="9"/>
        <v>#N/A</v>
      </c>
      <c r="AL15" s="60" t="e">
        <f t="shared" ca="1" si="10"/>
        <v>#N/A</v>
      </c>
      <c r="AM15" s="60" t="e">
        <f t="shared" ca="1" si="11"/>
        <v>#N/A</v>
      </c>
      <c r="AN15" s="60" t="e">
        <f t="shared" ca="1" si="12"/>
        <v>#N/A</v>
      </c>
      <c r="AO15" s="60" t="e">
        <f t="shared" ca="1" si="13"/>
        <v>#N/A</v>
      </c>
    </row>
    <row r="16" spans="1:41">
      <c r="A16" s="49">
        <v>11</v>
      </c>
      <c r="B16" s="43"/>
      <c r="C16" s="36" t="str">
        <f ca="1">IFERROR(VLOOKUP(B16,項目!DATA_AREA,2,FALSE),"")</f>
        <v/>
      </c>
      <c r="D16" s="36" t="str">
        <f ca="1">IFERROR(VLOOKUP(B16,項目!DATA_AREA,3,FALSE),"")</f>
        <v/>
      </c>
      <c r="E16" s="52"/>
      <c r="F16" s="46"/>
      <c r="G16" s="39" t="str">
        <f ca="1">IFERROR(VLOOKUP(B16,項目!DATA_AREA,4,FALSE),"")</f>
        <v/>
      </c>
      <c r="H16" s="12" t="str">
        <f ca="1">IFERROR(VLOOKUP(B16,項目!DATA_AREA,5,FALSE),"")</f>
        <v/>
      </c>
      <c r="I16" s="12" t="str">
        <f ca="1">IFERROR(VLOOKUP(B16,項目!DATA_AREA,6,FALSE),"")</f>
        <v/>
      </c>
      <c r="K16" s="80">
        <v>4</v>
      </c>
      <c r="L16" s="81"/>
      <c r="M16" s="82"/>
      <c r="N16" s="82"/>
      <c r="O16" s="82"/>
      <c r="P16" s="83"/>
      <c r="R16" s="88" t="str">
        <f t="shared" si="14"/>
        <v/>
      </c>
      <c r="T16" s="19" t="b">
        <f t="shared" ca="1" si="0"/>
        <v>0</v>
      </c>
      <c r="U16" s="19" t="b">
        <f t="shared" si="1"/>
        <v>0</v>
      </c>
      <c r="V16" s="19" t="b">
        <f t="shared" ca="1" si="3"/>
        <v>0</v>
      </c>
      <c r="Y16" s="19" t="b">
        <f t="shared" ca="1" si="4"/>
        <v>0</v>
      </c>
      <c r="Z16" s="19" t="b">
        <f t="shared" ca="1" si="5"/>
        <v>0</v>
      </c>
      <c r="AA16" s="19" t="b">
        <f t="shared" ca="1" si="6"/>
        <v>0</v>
      </c>
      <c r="AB16" s="19" t="b">
        <f t="shared" ca="1" si="7"/>
        <v>0</v>
      </c>
      <c r="AC16" s="19" t="b">
        <f t="shared" ca="1" si="8"/>
        <v>0</v>
      </c>
      <c r="AD16" s="19" t="b">
        <f t="shared" si="15"/>
        <v>0</v>
      </c>
      <c r="AI16" s="60"/>
      <c r="AJ16" s="71"/>
      <c r="AK16" s="60" t="e">
        <f t="shared" ca="1" si="9"/>
        <v>#N/A</v>
      </c>
      <c r="AL16" s="60" t="e">
        <f t="shared" ca="1" si="10"/>
        <v>#N/A</v>
      </c>
      <c r="AM16" s="60" t="e">
        <f t="shared" ca="1" si="11"/>
        <v>#N/A</v>
      </c>
      <c r="AN16" s="60" t="e">
        <f t="shared" ca="1" si="12"/>
        <v>#N/A</v>
      </c>
      <c r="AO16" s="60" t="e">
        <f t="shared" ca="1" si="13"/>
        <v>#N/A</v>
      </c>
    </row>
    <row r="17" spans="1:41">
      <c r="A17" s="49">
        <v>12</v>
      </c>
      <c r="B17" s="43"/>
      <c r="C17" s="36" t="str">
        <f ca="1">IFERROR(VLOOKUP(B17,項目!DATA_AREA,2,FALSE),"")</f>
        <v/>
      </c>
      <c r="D17" s="36" t="str">
        <f ca="1">IFERROR(VLOOKUP(B17,項目!DATA_AREA,3,FALSE),"")</f>
        <v/>
      </c>
      <c r="E17" s="52"/>
      <c r="F17" s="46"/>
      <c r="G17" s="39" t="str">
        <f ca="1">IFERROR(VLOOKUP(B17,項目!DATA_AREA,4,FALSE),"")</f>
        <v/>
      </c>
      <c r="H17" s="12" t="str">
        <f ca="1">IFERROR(VLOOKUP(B17,項目!DATA_AREA,5,FALSE),"")</f>
        <v/>
      </c>
      <c r="I17" s="12" t="str">
        <f ca="1">IFERROR(VLOOKUP(B17,項目!DATA_AREA,6,FALSE),"")</f>
        <v/>
      </c>
      <c r="K17" s="80">
        <v>5</v>
      </c>
      <c r="L17" s="81"/>
      <c r="M17" s="82"/>
      <c r="N17" s="82"/>
      <c r="O17" s="82"/>
      <c r="P17" s="83"/>
      <c r="R17" s="88" t="str">
        <f t="shared" si="14"/>
        <v/>
      </c>
      <c r="T17" s="19" t="b">
        <f t="shared" ca="1" si="0"/>
        <v>0</v>
      </c>
      <c r="U17" s="19" t="b">
        <f t="shared" si="1"/>
        <v>0</v>
      </c>
      <c r="V17" s="19" t="b">
        <f t="shared" ca="1" si="3"/>
        <v>0</v>
      </c>
      <c r="Y17" s="19" t="b">
        <f t="shared" ca="1" si="4"/>
        <v>0</v>
      </c>
      <c r="Z17" s="19" t="b">
        <f t="shared" ca="1" si="5"/>
        <v>0</v>
      </c>
      <c r="AA17" s="19" t="b">
        <f t="shared" ca="1" si="6"/>
        <v>0</v>
      </c>
      <c r="AB17" s="19" t="b">
        <f t="shared" ca="1" si="7"/>
        <v>0</v>
      </c>
      <c r="AC17" s="19" t="b">
        <f t="shared" ca="1" si="8"/>
        <v>0</v>
      </c>
      <c r="AD17" s="19" t="b">
        <f t="shared" si="15"/>
        <v>0</v>
      </c>
      <c r="AI17" s="60"/>
      <c r="AJ17" s="71"/>
      <c r="AK17" s="60" t="e">
        <f t="shared" ca="1" si="9"/>
        <v>#N/A</v>
      </c>
      <c r="AL17" s="60" t="e">
        <f t="shared" ca="1" si="10"/>
        <v>#N/A</v>
      </c>
      <c r="AM17" s="60" t="e">
        <f t="shared" ca="1" si="11"/>
        <v>#N/A</v>
      </c>
      <c r="AN17" s="60" t="e">
        <f t="shared" ca="1" si="12"/>
        <v>#N/A</v>
      </c>
      <c r="AO17" s="60" t="e">
        <f t="shared" ca="1" si="13"/>
        <v>#N/A</v>
      </c>
    </row>
    <row r="18" spans="1:41">
      <c r="A18" s="49">
        <v>13</v>
      </c>
      <c r="B18" s="43"/>
      <c r="C18" s="36" t="str">
        <f ca="1">IFERROR(VLOOKUP(B18,項目!DATA_AREA,2,FALSE),"")</f>
        <v/>
      </c>
      <c r="D18" s="36" t="str">
        <f ca="1">IFERROR(VLOOKUP(B18,項目!DATA_AREA,3,FALSE),"")</f>
        <v/>
      </c>
      <c r="E18" s="52"/>
      <c r="F18" s="46"/>
      <c r="G18" s="39" t="str">
        <f ca="1">IFERROR(VLOOKUP(B18,項目!DATA_AREA,4,FALSE),"")</f>
        <v/>
      </c>
      <c r="H18" s="12" t="str">
        <f ca="1">IFERROR(VLOOKUP(B18,項目!DATA_AREA,5,FALSE),"")</f>
        <v/>
      </c>
      <c r="I18" s="12" t="str">
        <f ca="1">IFERROR(VLOOKUP(B18,項目!DATA_AREA,6,FALSE),"")</f>
        <v/>
      </c>
      <c r="K18" s="80">
        <v>6</v>
      </c>
      <c r="L18" s="81"/>
      <c r="M18" s="82"/>
      <c r="N18" s="82"/>
      <c r="O18" s="82"/>
      <c r="P18" s="83"/>
      <c r="R18" s="88" t="str">
        <f t="shared" si="14"/>
        <v/>
      </c>
      <c r="T18" s="19" t="b">
        <f t="shared" ca="1" si="0"/>
        <v>0</v>
      </c>
      <c r="U18" s="19" t="b">
        <f t="shared" si="1"/>
        <v>0</v>
      </c>
      <c r="V18" s="19" t="b">
        <f t="shared" ca="1" si="3"/>
        <v>0</v>
      </c>
      <c r="Y18" s="19" t="b">
        <f t="shared" ca="1" si="4"/>
        <v>0</v>
      </c>
      <c r="Z18" s="19" t="b">
        <f t="shared" ca="1" si="5"/>
        <v>0</v>
      </c>
      <c r="AA18" s="19" t="b">
        <f t="shared" ca="1" si="6"/>
        <v>0</v>
      </c>
      <c r="AB18" s="19" t="b">
        <f t="shared" ca="1" si="7"/>
        <v>0</v>
      </c>
      <c r="AC18" s="19" t="b">
        <f t="shared" ca="1" si="8"/>
        <v>0</v>
      </c>
      <c r="AD18" s="19" t="b">
        <f t="shared" si="15"/>
        <v>0</v>
      </c>
      <c r="AI18" s="60"/>
      <c r="AJ18" s="71"/>
      <c r="AK18" s="60" t="e">
        <f t="shared" ca="1" si="9"/>
        <v>#N/A</v>
      </c>
      <c r="AL18" s="60" t="e">
        <f t="shared" ca="1" si="10"/>
        <v>#N/A</v>
      </c>
      <c r="AM18" s="60" t="e">
        <f t="shared" ca="1" si="11"/>
        <v>#N/A</v>
      </c>
      <c r="AN18" s="60" t="e">
        <f t="shared" ca="1" si="12"/>
        <v>#N/A</v>
      </c>
      <c r="AO18" s="60" t="e">
        <f t="shared" ca="1" si="13"/>
        <v>#N/A</v>
      </c>
    </row>
    <row r="19" spans="1:41">
      <c r="A19" s="49">
        <v>14</v>
      </c>
      <c r="B19" s="43"/>
      <c r="C19" s="36" t="str">
        <f ca="1">IFERROR(VLOOKUP(B19,項目!DATA_AREA,2,FALSE),"")</f>
        <v/>
      </c>
      <c r="D19" s="36" t="str">
        <f ca="1">IFERROR(VLOOKUP(B19,項目!DATA_AREA,3,FALSE),"")</f>
        <v/>
      </c>
      <c r="E19" s="52"/>
      <c r="F19" s="46"/>
      <c r="G19" s="39" t="str">
        <f ca="1">IFERROR(VLOOKUP(B19,項目!DATA_AREA,4,FALSE),"")</f>
        <v/>
      </c>
      <c r="H19" s="12" t="str">
        <f ca="1">IFERROR(VLOOKUP(B19,項目!DATA_AREA,5,FALSE),"")</f>
        <v/>
      </c>
      <c r="I19" s="12" t="str">
        <f ca="1">IFERROR(VLOOKUP(B19,項目!DATA_AREA,6,FALSE),"")</f>
        <v/>
      </c>
      <c r="K19" s="80">
        <v>7</v>
      </c>
      <c r="L19" s="81"/>
      <c r="M19" s="82"/>
      <c r="N19" s="82"/>
      <c r="O19" s="82"/>
      <c r="P19" s="83"/>
      <c r="R19" s="88" t="str">
        <f t="shared" si="14"/>
        <v/>
      </c>
      <c r="T19" s="19" t="b">
        <f t="shared" ca="1" si="0"/>
        <v>0</v>
      </c>
      <c r="U19" s="19" t="b">
        <f t="shared" si="1"/>
        <v>0</v>
      </c>
      <c r="V19" s="19" t="b">
        <f t="shared" ca="1" si="3"/>
        <v>0</v>
      </c>
      <c r="Y19" s="19" t="b">
        <f t="shared" ca="1" si="4"/>
        <v>0</v>
      </c>
      <c r="Z19" s="19" t="b">
        <f t="shared" ca="1" si="5"/>
        <v>0</v>
      </c>
      <c r="AA19" s="19" t="b">
        <f t="shared" ca="1" si="6"/>
        <v>0</v>
      </c>
      <c r="AB19" s="19" t="b">
        <f t="shared" ca="1" si="7"/>
        <v>0</v>
      </c>
      <c r="AC19" s="19" t="b">
        <f t="shared" ca="1" si="8"/>
        <v>0</v>
      </c>
      <c r="AD19" s="19" t="b">
        <f t="shared" si="15"/>
        <v>0</v>
      </c>
      <c r="AI19" s="60"/>
      <c r="AJ19" s="71"/>
      <c r="AK19" s="60" t="e">
        <f t="shared" ca="1" si="9"/>
        <v>#N/A</v>
      </c>
      <c r="AL19" s="60" t="e">
        <f t="shared" ca="1" si="10"/>
        <v>#N/A</v>
      </c>
      <c r="AM19" s="60" t="e">
        <f t="shared" ca="1" si="11"/>
        <v>#N/A</v>
      </c>
      <c r="AN19" s="60" t="e">
        <f t="shared" ca="1" si="12"/>
        <v>#N/A</v>
      </c>
      <c r="AO19" s="60" t="e">
        <f t="shared" ca="1" si="13"/>
        <v>#N/A</v>
      </c>
    </row>
    <row r="20" spans="1:41">
      <c r="A20" s="49">
        <v>15</v>
      </c>
      <c r="B20" s="43"/>
      <c r="C20" s="36" t="str">
        <f ca="1">IFERROR(VLOOKUP(B20,項目!DATA_AREA,2,FALSE),"")</f>
        <v/>
      </c>
      <c r="D20" s="36" t="str">
        <f ca="1">IFERROR(VLOOKUP(B20,項目!DATA_AREA,3,FALSE),"")</f>
        <v/>
      </c>
      <c r="E20" s="52"/>
      <c r="F20" s="46"/>
      <c r="G20" s="39" t="str">
        <f ca="1">IFERROR(VLOOKUP(B20,項目!DATA_AREA,4,FALSE),"")</f>
        <v/>
      </c>
      <c r="H20" s="12" t="str">
        <f ca="1">IFERROR(VLOOKUP(B20,項目!DATA_AREA,5,FALSE),"")</f>
        <v/>
      </c>
      <c r="I20" s="12" t="str">
        <f ca="1">IFERROR(VLOOKUP(B20,項目!DATA_AREA,6,FALSE),"")</f>
        <v/>
      </c>
      <c r="K20" s="80">
        <v>8</v>
      </c>
      <c r="L20" s="81"/>
      <c r="M20" s="82"/>
      <c r="N20" s="82"/>
      <c r="O20" s="82"/>
      <c r="P20" s="83"/>
      <c r="R20" s="88" t="str">
        <f t="shared" si="14"/>
        <v/>
      </c>
      <c r="T20" s="19" t="b">
        <f t="shared" ca="1" si="0"/>
        <v>0</v>
      </c>
      <c r="U20" s="19" t="b">
        <f t="shared" si="1"/>
        <v>0</v>
      </c>
      <c r="V20" s="19" t="b">
        <f t="shared" ca="1" si="3"/>
        <v>0</v>
      </c>
      <c r="Y20" s="19" t="b">
        <f t="shared" ca="1" si="4"/>
        <v>0</v>
      </c>
      <c r="Z20" s="19" t="b">
        <f t="shared" ca="1" si="5"/>
        <v>0</v>
      </c>
      <c r="AA20" s="19" t="b">
        <f t="shared" ca="1" si="6"/>
        <v>0</v>
      </c>
      <c r="AB20" s="19" t="b">
        <f t="shared" ca="1" si="7"/>
        <v>0</v>
      </c>
      <c r="AC20" s="19" t="b">
        <f t="shared" ca="1" si="8"/>
        <v>0</v>
      </c>
      <c r="AD20" s="19" t="b">
        <f t="shared" si="15"/>
        <v>0</v>
      </c>
      <c r="AI20" s="60"/>
      <c r="AJ20" s="71"/>
      <c r="AK20" s="60" t="e">
        <f t="shared" ca="1" si="9"/>
        <v>#N/A</v>
      </c>
      <c r="AL20" s="60" t="e">
        <f t="shared" ca="1" si="10"/>
        <v>#N/A</v>
      </c>
      <c r="AM20" s="60" t="e">
        <f t="shared" ca="1" si="11"/>
        <v>#N/A</v>
      </c>
      <c r="AN20" s="60" t="e">
        <f t="shared" ca="1" si="12"/>
        <v>#N/A</v>
      </c>
      <c r="AO20" s="60" t="e">
        <f t="shared" ca="1" si="13"/>
        <v>#N/A</v>
      </c>
    </row>
    <row r="21" spans="1:41">
      <c r="A21" s="49">
        <v>16</v>
      </c>
      <c r="B21" s="43"/>
      <c r="C21" s="36" t="str">
        <f ca="1">IFERROR(VLOOKUP(B21,項目!DATA_AREA,2,FALSE),"")</f>
        <v/>
      </c>
      <c r="D21" s="36" t="str">
        <f ca="1">IFERROR(VLOOKUP(B21,項目!DATA_AREA,3,FALSE),"")</f>
        <v/>
      </c>
      <c r="E21" s="52"/>
      <c r="F21" s="46"/>
      <c r="G21" s="39" t="str">
        <f ca="1">IFERROR(VLOOKUP(B21,項目!DATA_AREA,4,FALSE),"")</f>
        <v/>
      </c>
      <c r="H21" s="12" t="str">
        <f ca="1">IFERROR(VLOOKUP(B21,項目!DATA_AREA,5,FALSE),"")</f>
        <v/>
      </c>
      <c r="I21" s="12" t="str">
        <f ca="1">IFERROR(VLOOKUP(B21,項目!DATA_AREA,6,FALSE),"")</f>
        <v/>
      </c>
      <c r="K21" s="80">
        <v>9</v>
      </c>
      <c r="L21" s="81"/>
      <c r="M21" s="82"/>
      <c r="N21" s="82"/>
      <c r="O21" s="82"/>
      <c r="P21" s="83"/>
      <c r="R21" s="88" t="str">
        <f t="shared" si="14"/>
        <v/>
      </c>
      <c r="T21" s="19" t="b">
        <f t="shared" ca="1" si="0"/>
        <v>0</v>
      </c>
      <c r="U21" s="19" t="b">
        <f t="shared" si="1"/>
        <v>0</v>
      </c>
      <c r="V21" s="19" t="b">
        <f t="shared" ca="1" si="3"/>
        <v>0</v>
      </c>
      <c r="Y21" s="19" t="b">
        <f t="shared" ca="1" si="4"/>
        <v>0</v>
      </c>
      <c r="Z21" s="19" t="b">
        <f t="shared" ca="1" si="5"/>
        <v>0</v>
      </c>
      <c r="AA21" s="19" t="b">
        <f t="shared" ca="1" si="6"/>
        <v>0</v>
      </c>
      <c r="AB21" s="19" t="b">
        <f t="shared" ca="1" si="7"/>
        <v>0</v>
      </c>
      <c r="AC21" s="19" t="b">
        <f t="shared" ca="1" si="8"/>
        <v>0</v>
      </c>
      <c r="AD21" s="19" t="b">
        <f t="shared" si="15"/>
        <v>0</v>
      </c>
      <c r="AI21" s="60"/>
      <c r="AJ21" s="71"/>
      <c r="AK21" s="60" t="e">
        <f t="shared" ca="1" si="9"/>
        <v>#N/A</v>
      </c>
      <c r="AL21" s="60" t="e">
        <f t="shared" ca="1" si="10"/>
        <v>#N/A</v>
      </c>
      <c r="AM21" s="60" t="e">
        <f t="shared" ca="1" si="11"/>
        <v>#N/A</v>
      </c>
      <c r="AN21" s="60" t="e">
        <f t="shared" ca="1" si="12"/>
        <v>#N/A</v>
      </c>
      <c r="AO21" s="60" t="e">
        <f t="shared" ca="1" si="13"/>
        <v>#N/A</v>
      </c>
    </row>
    <row r="22" spans="1:41">
      <c r="A22" s="49">
        <v>17</v>
      </c>
      <c r="B22" s="43"/>
      <c r="C22" s="36" t="str">
        <f ca="1">IFERROR(VLOOKUP(B22,項目!DATA_AREA,2,FALSE),"")</f>
        <v/>
      </c>
      <c r="D22" s="36" t="str">
        <f ca="1">IFERROR(VLOOKUP(B22,項目!DATA_AREA,3,FALSE),"")</f>
        <v/>
      </c>
      <c r="E22" s="52"/>
      <c r="F22" s="46"/>
      <c r="G22" s="39" t="str">
        <f ca="1">IFERROR(VLOOKUP(B22,項目!DATA_AREA,4,FALSE),"")</f>
        <v/>
      </c>
      <c r="H22" s="12" t="str">
        <f ca="1">IFERROR(VLOOKUP(B22,項目!DATA_AREA,5,FALSE),"")</f>
        <v/>
      </c>
      <c r="I22" s="12" t="str">
        <f ca="1">IFERROR(VLOOKUP(B22,項目!DATA_AREA,6,FALSE),"")</f>
        <v/>
      </c>
      <c r="K22" s="84">
        <v>10</v>
      </c>
      <c r="L22" s="85"/>
      <c r="M22" s="86"/>
      <c r="N22" s="86"/>
      <c r="O22" s="86"/>
      <c r="P22" s="87"/>
      <c r="R22" s="88" t="str">
        <f t="shared" si="14"/>
        <v/>
      </c>
      <c r="T22" s="19" t="b">
        <f t="shared" ca="1" si="0"/>
        <v>0</v>
      </c>
      <c r="U22" s="19" t="b">
        <f t="shared" si="1"/>
        <v>0</v>
      </c>
      <c r="V22" s="19" t="b">
        <f t="shared" ca="1" si="3"/>
        <v>0</v>
      </c>
      <c r="Y22" s="19" t="b">
        <f t="shared" ca="1" si="4"/>
        <v>0</v>
      </c>
      <c r="Z22" s="19" t="b">
        <f t="shared" ca="1" si="5"/>
        <v>0</v>
      </c>
      <c r="AA22" s="19" t="b">
        <f t="shared" ca="1" si="6"/>
        <v>0</v>
      </c>
      <c r="AB22" s="19" t="b">
        <f t="shared" ca="1" si="7"/>
        <v>0</v>
      </c>
      <c r="AC22" s="19" t="b">
        <f t="shared" ca="1" si="8"/>
        <v>0</v>
      </c>
      <c r="AD22" s="19" t="b">
        <f t="shared" si="15"/>
        <v>0</v>
      </c>
      <c r="AI22" s="60"/>
      <c r="AJ22" s="71"/>
      <c r="AK22" s="60" t="e">
        <f t="shared" ca="1" si="9"/>
        <v>#N/A</v>
      </c>
      <c r="AL22" s="60" t="e">
        <f t="shared" ca="1" si="10"/>
        <v>#N/A</v>
      </c>
      <c r="AM22" s="60" t="e">
        <f t="shared" ca="1" si="11"/>
        <v>#N/A</v>
      </c>
      <c r="AN22" s="60" t="e">
        <f t="shared" ca="1" si="12"/>
        <v>#N/A</v>
      </c>
      <c r="AO22" s="60" t="e">
        <f t="shared" ca="1" si="13"/>
        <v>#N/A</v>
      </c>
    </row>
    <row r="23" spans="1:41">
      <c r="A23" s="49">
        <v>18</v>
      </c>
      <c r="B23" s="43"/>
      <c r="C23" s="36" t="str">
        <f ca="1">IFERROR(VLOOKUP(B23,項目!DATA_AREA,2,FALSE),"")</f>
        <v/>
      </c>
      <c r="D23" s="36" t="str">
        <f ca="1">IFERROR(VLOOKUP(B23,項目!DATA_AREA,3,FALSE),"")</f>
        <v/>
      </c>
      <c r="E23" s="52"/>
      <c r="F23" s="46"/>
      <c r="G23" s="39" t="str">
        <f ca="1">IFERROR(VLOOKUP(B23,項目!DATA_AREA,4,FALSE),"")</f>
        <v/>
      </c>
      <c r="H23" s="12" t="str">
        <f ca="1">IFERROR(VLOOKUP(B23,項目!DATA_AREA,5,FALSE),"")</f>
        <v/>
      </c>
      <c r="I23" s="12" t="str">
        <f ca="1">IFERROR(VLOOKUP(B23,項目!DATA_AREA,6,FALSE),"")</f>
        <v/>
      </c>
      <c r="T23" s="19" t="b">
        <f t="shared" ca="1" si="0"/>
        <v>0</v>
      </c>
      <c r="U23" s="19" t="b">
        <f t="shared" si="1"/>
        <v>0</v>
      </c>
      <c r="V23" s="19" t="b">
        <f t="shared" ca="1" si="3"/>
        <v>0</v>
      </c>
      <c r="AI23" s="60"/>
      <c r="AJ23" s="71"/>
    </row>
    <row r="24" spans="1:41" ht="15" customHeight="1">
      <c r="A24" s="49">
        <v>19</v>
      </c>
      <c r="B24" s="43"/>
      <c r="C24" s="36" t="str">
        <f ca="1">IFERROR(VLOOKUP(B24,項目!DATA_AREA,2,FALSE),"")</f>
        <v/>
      </c>
      <c r="D24" s="36" t="str">
        <f ca="1">IFERROR(VLOOKUP(B24,項目!DATA_AREA,3,FALSE),"")</f>
        <v/>
      </c>
      <c r="E24" s="52"/>
      <c r="F24" s="46"/>
      <c r="G24" s="39" t="str">
        <f ca="1">IFERROR(VLOOKUP(B24,項目!DATA_AREA,4,FALSE),"")</f>
        <v/>
      </c>
      <c r="H24" s="12" t="str">
        <f ca="1">IFERROR(VLOOKUP(B24,項目!DATA_AREA,5,FALSE),"")</f>
        <v/>
      </c>
      <c r="I24" s="12" t="str">
        <f ca="1">IFERROR(VLOOKUP(B24,項目!DATA_AREA,6,FALSE),"")</f>
        <v/>
      </c>
      <c r="T24" s="19" t="b">
        <f t="shared" ca="1" si="0"/>
        <v>0</v>
      </c>
      <c r="U24" s="19" t="b">
        <f t="shared" si="1"/>
        <v>0</v>
      </c>
      <c r="V24" s="19" t="b">
        <f t="shared" ca="1" si="3"/>
        <v>0</v>
      </c>
      <c r="AI24" s="60"/>
      <c r="AJ24" s="71"/>
    </row>
    <row r="25" spans="1:41">
      <c r="A25" s="49">
        <v>20</v>
      </c>
      <c r="B25" s="43"/>
      <c r="C25" s="36" t="str">
        <f ca="1">IFERROR(VLOOKUP(B25,項目!DATA_AREA,2,FALSE),"")</f>
        <v/>
      </c>
      <c r="D25" s="36" t="str">
        <f ca="1">IFERROR(VLOOKUP(B25,項目!DATA_AREA,3,FALSE),"")</f>
        <v/>
      </c>
      <c r="E25" s="52"/>
      <c r="F25" s="46"/>
      <c r="G25" s="39" t="str">
        <f ca="1">IFERROR(VLOOKUP(B25,項目!DATA_AREA,4,FALSE),"")</f>
        <v/>
      </c>
      <c r="H25" s="12" t="str">
        <f ca="1">IFERROR(VLOOKUP(B25,項目!DATA_AREA,5,FALSE),"")</f>
        <v/>
      </c>
      <c r="I25" s="12" t="str">
        <f ca="1">IFERROR(VLOOKUP(B25,項目!DATA_AREA,6,FALSE),"")</f>
        <v/>
      </c>
      <c r="T25" s="19" t="b">
        <f t="shared" ca="1" si="0"/>
        <v>0</v>
      </c>
      <c r="U25" s="19" t="b">
        <f t="shared" si="1"/>
        <v>0</v>
      </c>
      <c r="V25" s="19" t="b">
        <f t="shared" ca="1" si="3"/>
        <v>0</v>
      </c>
      <c r="AI25" s="60"/>
      <c r="AJ25" s="71"/>
    </row>
    <row r="26" spans="1:41">
      <c r="A26" s="49">
        <v>21</v>
      </c>
      <c r="B26" s="43"/>
      <c r="C26" s="36" t="str">
        <f ca="1">IFERROR(VLOOKUP(B26,項目!DATA_AREA,2,FALSE),"")</f>
        <v/>
      </c>
      <c r="D26" s="36" t="str">
        <f ca="1">IFERROR(VLOOKUP(B26,項目!DATA_AREA,3,FALSE),"")</f>
        <v/>
      </c>
      <c r="E26" s="52"/>
      <c r="F26" s="46"/>
      <c r="G26" s="39" t="str">
        <f ca="1">IFERROR(VLOOKUP(B26,項目!DATA_AREA,4,FALSE),"")</f>
        <v/>
      </c>
      <c r="H26" s="12" t="str">
        <f ca="1">IFERROR(VLOOKUP(B26,項目!DATA_AREA,5,FALSE),"")</f>
        <v/>
      </c>
      <c r="I26" s="12" t="str">
        <f ca="1">IFERROR(VLOOKUP(B26,項目!DATA_AREA,6,FALSE),"")</f>
        <v/>
      </c>
      <c r="T26" s="19" t="b">
        <f t="shared" ca="1" si="0"/>
        <v>0</v>
      </c>
      <c r="U26" s="19" t="b">
        <f t="shared" si="1"/>
        <v>0</v>
      </c>
      <c r="V26" s="19" t="b">
        <f t="shared" ca="1" si="3"/>
        <v>0</v>
      </c>
      <c r="AI26" s="60"/>
      <c r="AJ26" s="71"/>
    </row>
    <row r="27" spans="1:41">
      <c r="A27" s="49">
        <v>22</v>
      </c>
      <c r="B27" s="43"/>
      <c r="C27" s="36" t="str">
        <f ca="1">IFERROR(VLOOKUP(B27,項目!DATA_AREA,2,FALSE),"")</f>
        <v/>
      </c>
      <c r="D27" s="36" t="str">
        <f ca="1">IFERROR(VLOOKUP(B27,項目!DATA_AREA,3,FALSE),"")</f>
        <v/>
      </c>
      <c r="E27" s="52"/>
      <c r="F27" s="46"/>
      <c r="G27" s="39" t="str">
        <f ca="1">IFERROR(VLOOKUP(B27,項目!DATA_AREA,4,FALSE),"")</f>
        <v/>
      </c>
      <c r="H27" s="12" t="str">
        <f ca="1">IFERROR(VLOOKUP(B27,項目!DATA_AREA,5,FALSE),"")</f>
        <v/>
      </c>
      <c r="I27" s="12" t="str">
        <f ca="1">IFERROR(VLOOKUP(B27,項目!DATA_AREA,6,FALSE),"")</f>
        <v/>
      </c>
      <c r="T27" s="19" t="b">
        <f t="shared" ca="1" si="0"/>
        <v>0</v>
      </c>
      <c r="U27" s="19" t="b">
        <f t="shared" si="1"/>
        <v>0</v>
      </c>
      <c r="V27" s="19" t="b">
        <f t="shared" ca="1" si="3"/>
        <v>0</v>
      </c>
      <c r="AI27" s="60"/>
      <c r="AJ27" s="71"/>
    </row>
    <row r="28" spans="1:41">
      <c r="A28" s="49">
        <v>23</v>
      </c>
      <c r="B28" s="43"/>
      <c r="C28" s="36" t="str">
        <f ca="1">IFERROR(VLOOKUP(B28,項目!DATA_AREA,2,FALSE),"")</f>
        <v/>
      </c>
      <c r="D28" s="36" t="str">
        <f ca="1">IFERROR(VLOOKUP(B28,項目!DATA_AREA,3,FALSE),"")</f>
        <v/>
      </c>
      <c r="E28" s="52"/>
      <c r="F28" s="46"/>
      <c r="G28" s="39" t="str">
        <f ca="1">IFERROR(VLOOKUP(B28,項目!DATA_AREA,4,FALSE),"")</f>
        <v/>
      </c>
      <c r="H28" s="12" t="str">
        <f ca="1">IFERROR(VLOOKUP(B28,項目!DATA_AREA,5,FALSE),"")</f>
        <v/>
      </c>
      <c r="I28" s="12" t="str">
        <f ca="1">IFERROR(VLOOKUP(B28,項目!DATA_AREA,6,FALSE),"")</f>
        <v/>
      </c>
      <c r="T28" s="19" t="b">
        <f t="shared" ca="1" si="0"/>
        <v>0</v>
      </c>
      <c r="U28" s="19" t="b">
        <f t="shared" si="1"/>
        <v>0</v>
      </c>
      <c r="V28" s="19" t="b">
        <f t="shared" ca="1" si="3"/>
        <v>0</v>
      </c>
      <c r="AI28" s="60"/>
      <c r="AJ28" s="71"/>
    </row>
    <row r="29" spans="1:41">
      <c r="A29" s="49">
        <v>24</v>
      </c>
      <c r="B29" s="43"/>
      <c r="C29" s="36" t="str">
        <f ca="1">IFERROR(VLOOKUP(B29,項目!DATA_AREA,2,FALSE),"")</f>
        <v/>
      </c>
      <c r="D29" s="36" t="str">
        <f ca="1">IFERROR(VLOOKUP(B29,項目!DATA_AREA,3,FALSE),"")</f>
        <v/>
      </c>
      <c r="E29" s="52"/>
      <c r="F29" s="46"/>
      <c r="G29" s="39" t="str">
        <f ca="1">IFERROR(VLOOKUP(B29,項目!DATA_AREA,4,FALSE),"")</f>
        <v/>
      </c>
      <c r="H29" s="12" t="str">
        <f ca="1">IFERROR(VLOOKUP(B29,項目!DATA_AREA,5,FALSE),"")</f>
        <v/>
      </c>
      <c r="I29" s="12" t="str">
        <f ca="1">IFERROR(VLOOKUP(B29,項目!DATA_AREA,6,FALSE),"")</f>
        <v/>
      </c>
      <c r="T29" s="19" t="b">
        <f t="shared" ca="1" si="0"/>
        <v>0</v>
      </c>
      <c r="U29" s="19" t="b">
        <f t="shared" si="1"/>
        <v>0</v>
      </c>
      <c r="V29" s="19" t="b">
        <f t="shared" ca="1" si="3"/>
        <v>0</v>
      </c>
      <c r="AI29" s="60"/>
      <c r="AJ29" s="71"/>
    </row>
    <row r="30" spans="1:41">
      <c r="A30" s="49">
        <v>25</v>
      </c>
      <c r="B30" s="43"/>
      <c r="C30" s="36" t="str">
        <f ca="1">IFERROR(VLOOKUP(B30,項目!DATA_AREA,2,FALSE),"")</f>
        <v/>
      </c>
      <c r="D30" s="36" t="str">
        <f ca="1">IFERROR(VLOOKUP(B30,項目!DATA_AREA,3,FALSE),"")</f>
        <v/>
      </c>
      <c r="E30" s="52"/>
      <c r="F30" s="46"/>
      <c r="G30" s="39" t="str">
        <f ca="1">IFERROR(VLOOKUP(B30,項目!DATA_AREA,4,FALSE),"")</f>
        <v/>
      </c>
      <c r="H30" s="12" t="str">
        <f ca="1">IFERROR(VLOOKUP(B30,項目!DATA_AREA,5,FALSE),"")</f>
        <v/>
      </c>
      <c r="I30" s="12" t="str">
        <f ca="1">IFERROR(VLOOKUP(B30,項目!DATA_AREA,6,FALSE),"")</f>
        <v/>
      </c>
      <c r="T30" s="19" t="b">
        <f t="shared" ca="1" si="0"/>
        <v>0</v>
      </c>
      <c r="U30" s="19" t="b">
        <f t="shared" si="1"/>
        <v>0</v>
      </c>
      <c r="V30" s="19" t="b">
        <f t="shared" ca="1" si="3"/>
        <v>0</v>
      </c>
      <c r="AI30" s="60"/>
      <c r="AJ30" s="71"/>
    </row>
    <row r="31" spans="1:41">
      <c r="A31" s="49">
        <v>26</v>
      </c>
      <c r="B31" s="43"/>
      <c r="C31" s="36" t="str">
        <f ca="1">IFERROR(VLOOKUP(B31,項目!DATA_AREA,2,FALSE),"")</f>
        <v/>
      </c>
      <c r="D31" s="36" t="str">
        <f ca="1">IFERROR(VLOOKUP(B31,項目!DATA_AREA,3,FALSE),"")</f>
        <v/>
      </c>
      <c r="E31" s="52"/>
      <c r="F31" s="46"/>
      <c r="G31" s="39" t="str">
        <f ca="1">IFERROR(VLOOKUP(B31,項目!DATA_AREA,4,FALSE),"")</f>
        <v/>
      </c>
      <c r="H31" s="12" t="str">
        <f ca="1">IFERROR(VLOOKUP(B31,項目!DATA_AREA,5,FALSE),"")</f>
        <v/>
      </c>
      <c r="I31" s="12" t="str">
        <f ca="1">IFERROR(VLOOKUP(B31,項目!DATA_AREA,6,FALSE),"")</f>
        <v/>
      </c>
      <c r="T31" s="19" t="b">
        <f t="shared" ca="1" si="0"/>
        <v>0</v>
      </c>
      <c r="U31" s="19" t="b">
        <f t="shared" si="1"/>
        <v>0</v>
      </c>
      <c r="V31" s="19" t="b">
        <f t="shared" ca="1" si="3"/>
        <v>0</v>
      </c>
      <c r="AI31" s="60"/>
      <c r="AJ31" s="71"/>
    </row>
    <row r="32" spans="1:41">
      <c r="A32" s="49">
        <v>27</v>
      </c>
      <c r="B32" s="43"/>
      <c r="C32" s="36" t="str">
        <f ca="1">IFERROR(VLOOKUP(B32,項目!DATA_AREA,2,FALSE),"")</f>
        <v/>
      </c>
      <c r="D32" s="36" t="str">
        <f ca="1">IFERROR(VLOOKUP(B32,項目!DATA_AREA,3,FALSE),"")</f>
        <v/>
      </c>
      <c r="E32" s="52"/>
      <c r="F32" s="46"/>
      <c r="G32" s="39" t="str">
        <f ca="1">IFERROR(VLOOKUP(B32,項目!DATA_AREA,4,FALSE),"")</f>
        <v/>
      </c>
      <c r="H32" s="12" t="str">
        <f ca="1">IFERROR(VLOOKUP(B32,項目!DATA_AREA,5,FALSE),"")</f>
        <v/>
      </c>
      <c r="I32" s="12" t="str">
        <f ca="1">IFERROR(VLOOKUP(B32,項目!DATA_AREA,6,FALSE),"")</f>
        <v/>
      </c>
      <c r="T32" s="19" t="b">
        <f t="shared" ca="1" si="0"/>
        <v>0</v>
      </c>
      <c r="U32" s="19" t="b">
        <f t="shared" si="1"/>
        <v>0</v>
      </c>
      <c r="V32" s="19" t="b">
        <f t="shared" ca="1" si="3"/>
        <v>0</v>
      </c>
      <c r="AI32" s="60"/>
      <c r="AJ32" s="71"/>
    </row>
    <row r="33" spans="1:36">
      <c r="A33" s="49">
        <v>28</v>
      </c>
      <c r="B33" s="43"/>
      <c r="C33" s="36" t="str">
        <f ca="1">IFERROR(VLOOKUP(B33,項目!DATA_AREA,2,FALSE),"")</f>
        <v/>
      </c>
      <c r="D33" s="36" t="str">
        <f ca="1">IFERROR(VLOOKUP(B33,項目!DATA_AREA,3,FALSE),"")</f>
        <v/>
      </c>
      <c r="E33" s="52"/>
      <c r="F33" s="46"/>
      <c r="G33" s="39" t="str">
        <f ca="1">IFERROR(VLOOKUP(B33,項目!DATA_AREA,4,FALSE),"")</f>
        <v/>
      </c>
      <c r="H33" s="12" t="str">
        <f ca="1">IFERROR(VLOOKUP(B33,項目!DATA_AREA,5,FALSE),"")</f>
        <v/>
      </c>
      <c r="I33" s="12" t="str">
        <f ca="1">IFERROR(VLOOKUP(B33,項目!DATA_AREA,6,FALSE),"")</f>
        <v/>
      </c>
      <c r="T33" s="19" t="b">
        <f t="shared" ca="1" si="0"/>
        <v>0</v>
      </c>
      <c r="U33" s="19" t="b">
        <f t="shared" si="1"/>
        <v>0</v>
      </c>
      <c r="V33" s="19" t="b">
        <f t="shared" ca="1" si="3"/>
        <v>0</v>
      </c>
      <c r="AI33" s="60"/>
      <c r="AJ33" s="71"/>
    </row>
    <row r="34" spans="1:36">
      <c r="A34" s="49">
        <v>29</v>
      </c>
      <c r="B34" s="43"/>
      <c r="C34" s="36" t="str">
        <f ca="1">IFERROR(VLOOKUP(B34,項目!DATA_AREA,2,FALSE),"")</f>
        <v/>
      </c>
      <c r="D34" s="36" t="str">
        <f ca="1">IFERROR(VLOOKUP(B34,項目!DATA_AREA,3,FALSE),"")</f>
        <v/>
      </c>
      <c r="E34" s="52"/>
      <c r="F34" s="46"/>
      <c r="G34" s="39" t="str">
        <f ca="1">IFERROR(VLOOKUP(B34,項目!DATA_AREA,4,FALSE),"")</f>
        <v/>
      </c>
      <c r="H34" s="12" t="str">
        <f ca="1">IFERROR(VLOOKUP(B34,項目!DATA_AREA,5,FALSE),"")</f>
        <v/>
      </c>
      <c r="I34" s="12" t="str">
        <f ca="1">IFERROR(VLOOKUP(B34,項目!DATA_AREA,6,FALSE),"")</f>
        <v/>
      </c>
      <c r="T34" s="19" t="b">
        <f t="shared" ca="1" si="0"/>
        <v>0</v>
      </c>
      <c r="U34" s="19" t="b">
        <f t="shared" si="1"/>
        <v>0</v>
      </c>
      <c r="V34" s="19" t="b">
        <f t="shared" ca="1" si="3"/>
        <v>0</v>
      </c>
      <c r="AI34" s="60"/>
      <c r="AJ34" s="71"/>
    </row>
    <row r="35" spans="1:36">
      <c r="A35" s="49">
        <v>30</v>
      </c>
      <c r="B35" s="43"/>
      <c r="C35" s="36" t="str">
        <f ca="1">IFERROR(VLOOKUP(B35,項目!DATA_AREA,2,FALSE),"")</f>
        <v/>
      </c>
      <c r="D35" s="36" t="str">
        <f ca="1">IFERROR(VLOOKUP(B35,項目!DATA_AREA,3,FALSE),"")</f>
        <v/>
      </c>
      <c r="E35" s="52"/>
      <c r="F35" s="46"/>
      <c r="G35" s="39" t="str">
        <f ca="1">IFERROR(VLOOKUP(B35,項目!DATA_AREA,4,FALSE),"")</f>
        <v/>
      </c>
      <c r="H35" s="12" t="str">
        <f ca="1">IFERROR(VLOOKUP(B35,項目!DATA_AREA,5,FALSE),"")</f>
        <v/>
      </c>
      <c r="I35" s="12" t="str">
        <f ca="1">IFERROR(VLOOKUP(B35,項目!DATA_AREA,6,FALSE),"")</f>
        <v/>
      </c>
      <c r="T35" s="19" t="b">
        <f t="shared" ca="1" si="0"/>
        <v>0</v>
      </c>
      <c r="U35" s="19" t="b">
        <f t="shared" si="1"/>
        <v>0</v>
      </c>
      <c r="V35" s="19" t="b">
        <f t="shared" ca="1" si="3"/>
        <v>0</v>
      </c>
      <c r="AI35" s="60"/>
      <c r="AJ35" s="71"/>
    </row>
    <row r="36" spans="1:36">
      <c r="A36" s="49">
        <v>31</v>
      </c>
      <c r="B36" s="43"/>
      <c r="C36" s="36" t="str">
        <f ca="1">IFERROR(VLOOKUP(B36,項目!DATA_AREA,2,FALSE),"")</f>
        <v/>
      </c>
      <c r="D36" s="36" t="str">
        <f ca="1">IFERROR(VLOOKUP(B36,項目!DATA_AREA,3,FALSE),"")</f>
        <v/>
      </c>
      <c r="E36" s="52"/>
      <c r="F36" s="46"/>
      <c r="G36" s="39" t="str">
        <f ca="1">IFERROR(VLOOKUP(B36,項目!DATA_AREA,4,FALSE),"")</f>
        <v/>
      </c>
      <c r="H36" s="12" t="str">
        <f ca="1">IFERROR(VLOOKUP(B36,項目!DATA_AREA,5,FALSE),"")</f>
        <v/>
      </c>
      <c r="I36" s="12" t="str">
        <f ca="1">IFERROR(VLOOKUP(B36,項目!DATA_AREA,6,FALSE),"")</f>
        <v/>
      </c>
      <c r="T36" s="19" t="b">
        <f t="shared" ca="1" si="0"/>
        <v>0</v>
      </c>
      <c r="U36" s="19" t="b">
        <f t="shared" si="1"/>
        <v>0</v>
      </c>
      <c r="V36" s="19" t="b">
        <f t="shared" ca="1" si="3"/>
        <v>0</v>
      </c>
      <c r="AI36" s="60"/>
      <c r="AJ36" s="71"/>
    </row>
    <row r="37" spans="1:36">
      <c r="A37" s="49">
        <v>32</v>
      </c>
      <c r="B37" s="43"/>
      <c r="C37" s="36" t="str">
        <f ca="1">IFERROR(VLOOKUP(B37,項目!DATA_AREA,2,FALSE),"")</f>
        <v/>
      </c>
      <c r="D37" s="36" t="str">
        <f ca="1">IFERROR(VLOOKUP(B37,項目!DATA_AREA,3,FALSE),"")</f>
        <v/>
      </c>
      <c r="E37" s="52"/>
      <c r="F37" s="46"/>
      <c r="G37" s="39" t="str">
        <f ca="1">IFERROR(VLOOKUP(B37,項目!DATA_AREA,4,FALSE),"")</f>
        <v/>
      </c>
      <c r="H37" s="12" t="str">
        <f ca="1">IFERROR(VLOOKUP(B37,項目!DATA_AREA,5,FALSE),"")</f>
        <v/>
      </c>
      <c r="I37" s="12" t="str">
        <f ca="1">IFERROR(VLOOKUP(B37,項目!DATA_AREA,6,FALSE),"")</f>
        <v/>
      </c>
      <c r="T37" s="19" t="b">
        <f t="shared" ca="1" si="0"/>
        <v>0</v>
      </c>
      <c r="U37" s="19" t="b">
        <f t="shared" si="1"/>
        <v>0</v>
      </c>
      <c r="V37" s="19" t="b">
        <f t="shared" ca="1" si="3"/>
        <v>0</v>
      </c>
      <c r="AI37" s="60"/>
      <c r="AJ37" s="71"/>
    </row>
    <row r="38" spans="1:36">
      <c r="A38" s="49">
        <v>33</v>
      </c>
      <c r="B38" s="43"/>
      <c r="C38" s="36" t="str">
        <f ca="1">IFERROR(VLOOKUP(B38,項目!DATA_AREA,2,FALSE),"")</f>
        <v/>
      </c>
      <c r="D38" s="36" t="str">
        <f ca="1">IFERROR(VLOOKUP(B38,項目!DATA_AREA,3,FALSE),"")</f>
        <v/>
      </c>
      <c r="E38" s="52"/>
      <c r="F38" s="46"/>
      <c r="G38" s="39" t="str">
        <f ca="1">IFERROR(VLOOKUP(B38,項目!DATA_AREA,4,FALSE),"")</f>
        <v/>
      </c>
      <c r="H38" s="12" t="str">
        <f ca="1">IFERROR(VLOOKUP(B38,項目!DATA_AREA,5,FALSE),"")</f>
        <v/>
      </c>
      <c r="I38" s="12" t="str">
        <f ca="1">IFERROR(VLOOKUP(B38,項目!DATA_AREA,6,FALSE),"")</f>
        <v/>
      </c>
      <c r="T38" s="19" t="b">
        <f t="shared" ca="1" si="0"/>
        <v>0</v>
      </c>
      <c r="U38" s="19" t="b">
        <f t="shared" ref="U38:U69" si="16">COUNTIF(FIELD_NAME,B38)&gt;1</f>
        <v>0</v>
      </c>
      <c r="V38" s="19" t="b">
        <f t="shared" ca="1" si="3"/>
        <v>0</v>
      </c>
      <c r="AI38" s="60"/>
      <c r="AJ38" s="71"/>
    </row>
    <row r="39" spans="1:36">
      <c r="A39" s="49">
        <v>34</v>
      </c>
      <c r="B39" s="43"/>
      <c r="C39" s="36" t="str">
        <f ca="1">IFERROR(VLOOKUP(B39,項目!DATA_AREA,2,FALSE),"")</f>
        <v/>
      </c>
      <c r="D39" s="36" t="str">
        <f ca="1">IFERROR(VLOOKUP(B39,項目!DATA_AREA,3,FALSE),"")</f>
        <v/>
      </c>
      <c r="E39" s="52"/>
      <c r="F39" s="46"/>
      <c r="G39" s="39" t="str">
        <f ca="1">IFERROR(VLOOKUP(B39,項目!DATA_AREA,4,FALSE),"")</f>
        <v/>
      </c>
      <c r="H39" s="12" t="str">
        <f ca="1">IFERROR(VLOOKUP(B39,項目!DATA_AREA,5,FALSE),"")</f>
        <v/>
      </c>
      <c r="I39" s="12" t="str">
        <f ca="1">IFERROR(VLOOKUP(B39,項目!DATA_AREA,6,FALSE),"")</f>
        <v/>
      </c>
      <c r="T39" s="19" t="b">
        <f t="shared" ca="1" si="0"/>
        <v>0</v>
      </c>
      <c r="U39" s="19" t="b">
        <f t="shared" si="16"/>
        <v>0</v>
      </c>
      <c r="V39" s="19" t="b">
        <f t="shared" ca="1" si="3"/>
        <v>0</v>
      </c>
      <c r="AI39" s="60"/>
      <c r="AJ39" s="71"/>
    </row>
    <row r="40" spans="1:36">
      <c r="A40" s="49">
        <v>35</v>
      </c>
      <c r="B40" s="43"/>
      <c r="C40" s="36" t="str">
        <f ca="1">IFERROR(VLOOKUP(B40,項目!DATA_AREA,2,FALSE),"")</f>
        <v/>
      </c>
      <c r="D40" s="36" t="str">
        <f ca="1">IFERROR(VLOOKUP(B40,項目!DATA_AREA,3,FALSE),"")</f>
        <v/>
      </c>
      <c r="E40" s="52"/>
      <c r="F40" s="46"/>
      <c r="G40" s="39" t="str">
        <f ca="1">IFERROR(VLOOKUP(B40,項目!DATA_AREA,4,FALSE),"")</f>
        <v/>
      </c>
      <c r="H40" s="12" t="str">
        <f ca="1">IFERROR(VLOOKUP(B40,項目!DATA_AREA,5,FALSE),"")</f>
        <v/>
      </c>
      <c r="I40" s="12" t="str">
        <f ca="1">IFERROR(VLOOKUP(B40,項目!DATA_AREA,6,FALSE),"")</f>
        <v/>
      </c>
      <c r="T40" s="19" t="b">
        <f t="shared" ca="1" si="0"/>
        <v>0</v>
      </c>
      <c r="U40" s="19" t="b">
        <f t="shared" si="16"/>
        <v>0</v>
      </c>
      <c r="V40" s="19" t="b">
        <f t="shared" ca="1" si="3"/>
        <v>0</v>
      </c>
      <c r="AI40" s="60"/>
      <c r="AJ40" s="71"/>
    </row>
    <row r="41" spans="1:36">
      <c r="A41" s="49">
        <v>36</v>
      </c>
      <c r="B41" s="43"/>
      <c r="C41" s="36" t="str">
        <f ca="1">IFERROR(VLOOKUP(B41,項目!DATA_AREA,2,FALSE),"")</f>
        <v/>
      </c>
      <c r="D41" s="36" t="str">
        <f ca="1">IFERROR(VLOOKUP(B41,項目!DATA_AREA,3,FALSE),"")</f>
        <v/>
      </c>
      <c r="E41" s="52"/>
      <c r="F41" s="46"/>
      <c r="G41" s="39" t="str">
        <f ca="1">IFERROR(VLOOKUP(B41,項目!DATA_AREA,4,FALSE),"")</f>
        <v/>
      </c>
      <c r="H41" s="12" t="str">
        <f ca="1">IFERROR(VLOOKUP(B41,項目!DATA_AREA,5,FALSE),"")</f>
        <v/>
      </c>
      <c r="I41" s="12" t="str">
        <f ca="1">IFERROR(VLOOKUP(B41,項目!DATA_AREA,6,FALSE),"")</f>
        <v/>
      </c>
      <c r="T41" s="19" t="b">
        <f t="shared" ca="1" si="0"/>
        <v>0</v>
      </c>
      <c r="U41" s="19" t="b">
        <f t="shared" si="16"/>
        <v>0</v>
      </c>
      <c r="V41" s="19" t="b">
        <f t="shared" ca="1" si="3"/>
        <v>0</v>
      </c>
      <c r="AI41" s="60"/>
      <c r="AJ41" s="71"/>
    </row>
    <row r="42" spans="1:36">
      <c r="A42" s="49">
        <v>37</v>
      </c>
      <c r="B42" s="43"/>
      <c r="C42" s="36" t="str">
        <f ca="1">IFERROR(VLOOKUP(B42,項目!DATA_AREA,2,FALSE),"")</f>
        <v/>
      </c>
      <c r="D42" s="36" t="str">
        <f ca="1">IFERROR(VLOOKUP(B42,項目!DATA_AREA,3,FALSE),"")</f>
        <v/>
      </c>
      <c r="E42" s="52"/>
      <c r="F42" s="46"/>
      <c r="G42" s="39" t="str">
        <f ca="1">IFERROR(VLOOKUP(B42,項目!DATA_AREA,4,FALSE),"")</f>
        <v/>
      </c>
      <c r="H42" s="12" t="str">
        <f ca="1">IFERROR(VLOOKUP(B42,項目!DATA_AREA,5,FALSE),"")</f>
        <v/>
      </c>
      <c r="I42" s="12" t="str">
        <f ca="1">IFERROR(VLOOKUP(B42,項目!DATA_AREA,6,FALSE),"")</f>
        <v/>
      </c>
      <c r="T42" s="19" t="b">
        <f t="shared" ca="1" si="0"/>
        <v>0</v>
      </c>
      <c r="U42" s="19" t="b">
        <f t="shared" si="16"/>
        <v>0</v>
      </c>
      <c r="V42" s="19" t="b">
        <f t="shared" ca="1" si="3"/>
        <v>0</v>
      </c>
      <c r="AI42" s="60"/>
      <c r="AJ42" s="71"/>
    </row>
    <row r="43" spans="1:36">
      <c r="A43" s="49">
        <v>38</v>
      </c>
      <c r="B43" s="43"/>
      <c r="C43" s="36" t="str">
        <f ca="1">IFERROR(VLOOKUP(B43,項目!DATA_AREA,2,FALSE),"")</f>
        <v/>
      </c>
      <c r="D43" s="36" t="str">
        <f ca="1">IFERROR(VLOOKUP(B43,項目!DATA_AREA,3,FALSE),"")</f>
        <v/>
      </c>
      <c r="E43" s="52"/>
      <c r="F43" s="46"/>
      <c r="G43" s="39" t="str">
        <f ca="1">IFERROR(VLOOKUP(B43,項目!DATA_AREA,4,FALSE),"")</f>
        <v/>
      </c>
      <c r="H43" s="12" t="str">
        <f ca="1">IFERROR(VLOOKUP(B43,項目!DATA_AREA,5,FALSE),"")</f>
        <v/>
      </c>
      <c r="I43" s="12" t="str">
        <f ca="1">IFERROR(VLOOKUP(B43,項目!DATA_AREA,6,FALSE),"")</f>
        <v/>
      </c>
      <c r="T43" s="19" t="b">
        <f t="shared" ca="1" si="0"/>
        <v>0</v>
      </c>
      <c r="U43" s="19" t="b">
        <f t="shared" si="16"/>
        <v>0</v>
      </c>
      <c r="V43" s="19" t="b">
        <f t="shared" ca="1" si="3"/>
        <v>0</v>
      </c>
      <c r="AI43" s="60"/>
      <c r="AJ43" s="71"/>
    </row>
    <row r="44" spans="1:36">
      <c r="A44" s="49">
        <v>39</v>
      </c>
      <c r="B44" s="43"/>
      <c r="C44" s="36" t="str">
        <f ca="1">IFERROR(VLOOKUP(B44,項目!DATA_AREA,2,FALSE),"")</f>
        <v/>
      </c>
      <c r="D44" s="36" t="str">
        <f ca="1">IFERROR(VLOOKUP(B44,項目!DATA_AREA,3,FALSE),"")</f>
        <v/>
      </c>
      <c r="E44" s="52"/>
      <c r="F44" s="46"/>
      <c r="G44" s="39" t="str">
        <f ca="1">IFERROR(VLOOKUP(B44,項目!DATA_AREA,4,FALSE),"")</f>
        <v/>
      </c>
      <c r="H44" s="12" t="str">
        <f ca="1">IFERROR(VLOOKUP(B44,項目!DATA_AREA,5,FALSE),"")</f>
        <v/>
      </c>
      <c r="I44" s="12" t="str">
        <f ca="1">IFERROR(VLOOKUP(B44,項目!DATA_AREA,6,FALSE),"")</f>
        <v/>
      </c>
      <c r="T44" s="19" t="b">
        <f t="shared" ca="1" si="0"/>
        <v>0</v>
      </c>
      <c r="U44" s="19" t="b">
        <f t="shared" si="16"/>
        <v>0</v>
      </c>
      <c r="V44" s="19" t="b">
        <f t="shared" ca="1" si="3"/>
        <v>0</v>
      </c>
      <c r="AI44" s="60"/>
      <c r="AJ44" s="71"/>
    </row>
    <row r="45" spans="1:36">
      <c r="A45" s="49">
        <v>40</v>
      </c>
      <c r="B45" s="43"/>
      <c r="C45" s="36" t="str">
        <f ca="1">IFERROR(VLOOKUP(B45,項目!DATA_AREA,2,FALSE),"")</f>
        <v/>
      </c>
      <c r="D45" s="36" t="str">
        <f ca="1">IFERROR(VLOOKUP(B45,項目!DATA_AREA,3,FALSE),"")</f>
        <v/>
      </c>
      <c r="E45" s="52"/>
      <c r="F45" s="46"/>
      <c r="G45" s="39" t="str">
        <f ca="1">IFERROR(VLOOKUP(B45,項目!DATA_AREA,4,FALSE),"")</f>
        <v/>
      </c>
      <c r="H45" s="12" t="str">
        <f ca="1">IFERROR(VLOOKUP(B45,項目!DATA_AREA,5,FALSE),"")</f>
        <v/>
      </c>
      <c r="I45" s="12" t="str">
        <f ca="1">IFERROR(VLOOKUP(B45,項目!DATA_AREA,6,FALSE),"")</f>
        <v/>
      </c>
      <c r="T45" s="19" t="b">
        <f t="shared" ca="1" si="0"/>
        <v>0</v>
      </c>
      <c r="U45" s="19" t="b">
        <f t="shared" si="16"/>
        <v>0</v>
      </c>
      <c r="V45" s="19" t="b">
        <f t="shared" ca="1" si="3"/>
        <v>0</v>
      </c>
      <c r="AI45" s="60"/>
      <c r="AJ45" s="71"/>
    </row>
    <row r="46" spans="1:36">
      <c r="A46" s="49">
        <v>41</v>
      </c>
      <c r="B46" s="43"/>
      <c r="C46" s="36" t="str">
        <f ca="1">IFERROR(VLOOKUP(B46,項目!DATA_AREA,2,FALSE),"")</f>
        <v/>
      </c>
      <c r="D46" s="36" t="str">
        <f ca="1">IFERROR(VLOOKUP(B46,項目!DATA_AREA,3,FALSE),"")</f>
        <v/>
      </c>
      <c r="E46" s="52"/>
      <c r="F46" s="46"/>
      <c r="G46" s="39" t="str">
        <f ca="1">IFERROR(VLOOKUP(B46,項目!DATA_AREA,4,FALSE),"")</f>
        <v/>
      </c>
      <c r="H46" s="12" t="str">
        <f ca="1">IFERROR(VLOOKUP(B46,項目!DATA_AREA,5,FALSE),"")</f>
        <v/>
      </c>
      <c r="I46" s="12" t="str">
        <f ca="1">IFERROR(VLOOKUP(B46,項目!DATA_AREA,6,FALSE),"")</f>
        <v/>
      </c>
      <c r="T46" s="19" t="b">
        <f t="shared" ca="1" si="0"/>
        <v>0</v>
      </c>
      <c r="U46" s="19" t="b">
        <f t="shared" si="16"/>
        <v>0</v>
      </c>
      <c r="V46" s="19" t="b">
        <f t="shared" ca="1" si="3"/>
        <v>0</v>
      </c>
      <c r="AI46" s="60"/>
      <c r="AJ46" s="71"/>
    </row>
    <row r="47" spans="1:36">
      <c r="A47" s="49">
        <v>42</v>
      </c>
      <c r="B47" s="43"/>
      <c r="C47" s="36" t="str">
        <f ca="1">IFERROR(VLOOKUP(B47,項目!DATA_AREA,2,FALSE),"")</f>
        <v/>
      </c>
      <c r="D47" s="36" t="str">
        <f ca="1">IFERROR(VLOOKUP(B47,項目!DATA_AREA,3,FALSE),"")</f>
        <v/>
      </c>
      <c r="E47" s="52"/>
      <c r="F47" s="46"/>
      <c r="G47" s="39" t="str">
        <f ca="1">IFERROR(VLOOKUP(B47,項目!DATA_AREA,4,FALSE),"")</f>
        <v/>
      </c>
      <c r="H47" s="12" t="str">
        <f ca="1">IFERROR(VLOOKUP(B47,項目!DATA_AREA,5,FALSE),"")</f>
        <v/>
      </c>
      <c r="I47" s="12" t="str">
        <f ca="1">IFERROR(VLOOKUP(B47,項目!DATA_AREA,6,FALSE),"")</f>
        <v/>
      </c>
      <c r="T47" s="19" t="b">
        <f t="shared" ca="1" si="0"/>
        <v>0</v>
      </c>
      <c r="U47" s="19" t="b">
        <f t="shared" si="16"/>
        <v>0</v>
      </c>
      <c r="V47" s="19" t="b">
        <f t="shared" ca="1" si="3"/>
        <v>0</v>
      </c>
      <c r="AI47" s="60"/>
      <c r="AJ47" s="71"/>
    </row>
    <row r="48" spans="1:36">
      <c r="A48" s="49">
        <v>43</v>
      </c>
      <c r="B48" s="43"/>
      <c r="C48" s="36" t="str">
        <f ca="1">IFERROR(VLOOKUP(B48,項目!DATA_AREA,2,FALSE),"")</f>
        <v/>
      </c>
      <c r="D48" s="36" t="str">
        <f ca="1">IFERROR(VLOOKUP(B48,項目!DATA_AREA,3,FALSE),"")</f>
        <v/>
      </c>
      <c r="E48" s="52"/>
      <c r="F48" s="46"/>
      <c r="G48" s="39" t="str">
        <f ca="1">IFERROR(VLOOKUP(B48,項目!DATA_AREA,4,FALSE),"")</f>
        <v/>
      </c>
      <c r="H48" s="12" t="str">
        <f ca="1">IFERROR(VLOOKUP(B48,項目!DATA_AREA,5,FALSE),"")</f>
        <v/>
      </c>
      <c r="I48" s="12" t="str">
        <f ca="1">IFERROR(VLOOKUP(B48,項目!DATA_AREA,6,FALSE),"")</f>
        <v/>
      </c>
      <c r="T48" s="19" t="b">
        <f t="shared" ca="1" si="0"/>
        <v>0</v>
      </c>
      <c r="U48" s="19" t="b">
        <f t="shared" si="16"/>
        <v>0</v>
      </c>
      <c r="V48" s="19" t="b">
        <f t="shared" ca="1" si="3"/>
        <v>0</v>
      </c>
      <c r="AI48" s="60"/>
      <c r="AJ48" s="71"/>
    </row>
    <row r="49" spans="1:36">
      <c r="A49" s="49">
        <v>44</v>
      </c>
      <c r="B49" s="43"/>
      <c r="C49" s="36" t="str">
        <f ca="1">IFERROR(VLOOKUP(B49,項目!DATA_AREA,2,FALSE),"")</f>
        <v/>
      </c>
      <c r="D49" s="36" t="str">
        <f ca="1">IFERROR(VLOOKUP(B49,項目!DATA_AREA,3,FALSE),"")</f>
        <v/>
      </c>
      <c r="E49" s="52"/>
      <c r="F49" s="46"/>
      <c r="G49" s="39" t="str">
        <f ca="1">IFERROR(VLOOKUP(B49,項目!DATA_AREA,4,FALSE),"")</f>
        <v/>
      </c>
      <c r="H49" s="12" t="str">
        <f ca="1">IFERROR(VLOOKUP(B49,項目!DATA_AREA,5,FALSE),"")</f>
        <v/>
      </c>
      <c r="I49" s="12" t="str">
        <f ca="1">IFERROR(VLOOKUP(B49,項目!DATA_AREA,6,FALSE),"")</f>
        <v/>
      </c>
      <c r="T49" s="19" t="b">
        <f t="shared" ca="1" si="0"/>
        <v>0</v>
      </c>
      <c r="U49" s="19" t="b">
        <f t="shared" si="16"/>
        <v>0</v>
      </c>
      <c r="V49" s="19" t="b">
        <f t="shared" ca="1" si="3"/>
        <v>0</v>
      </c>
      <c r="AI49" s="60"/>
      <c r="AJ49" s="71"/>
    </row>
    <row r="50" spans="1:36">
      <c r="A50" s="49">
        <v>45</v>
      </c>
      <c r="B50" s="43"/>
      <c r="C50" s="36" t="str">
        <f ca="1">IFERROR(VLOOKUP(B50,項目!DATA_AREA,2,FALSE),"")</f>
        <v/>
      </c>
      <c r="D50" s="36" t="str">
        <f ca="1">IFERROR(VLOOKUP(B50,項目!DATA_AREA,3,FALSE),"")</f>
        <v/>
      </c>
      <c r="E50" s="52"/>
      <c r="F50" s="46"/>
      <c r="G50" s="39" t="str">
        <f ca="1">IFERROR(VLOOKUP(B50,項目!DATA_AREA,4,FALSE),"")</f>
        <v/>
      </c>
      <c r="H50" s="12" t="str">
        <f ca="1">IFERROR(VLOOKUP(B50,項目!DATA_AREA,5,FALSE),"")</f>
        <v/>
      </c>
      <c r="I50" s="12" t="str">
        <f ca="1">IFERROR(VLOOKUP(B50,項目!DATA_AREA,6,FALSE),"")</f>
        <v/>
      </c>
      <c r="T50" s="19" t="b">
        <f t="shared" ca="1" si="0"/>
        <v>0</v>
      </c>
      <c r="U50" s="19" t="b">
        <f t="shared" si="16"/>
        <v>0</v>
      </c>
      <c r="V50" s="19" t="b">
        <f t="shared" ca="1" si="3"/>
        <v>0</v>
      </c>
      <c r="X50" s="7" t="s">
        <v>13</v>
      </c>
      <c r="AI50" s="60"/>
      <c r="AJ50" s="71"/>
    </row>
    <row r="51" spans="1:36">
      <c r="A51" s="49">
        <v>46</v>
      </c>
      <c r="B51" s="43"/>
      <c r="C51" s="36" t="str">
        <f ca="1">IFERROR(VLOOKUP(B51,項目!DATA_AREA,2,FALSE),"")</f>
        <v/>
      </c>
      <c r="D51" s="36" t="str">
        <f ca="1">IFERROR(VLOOKUP(B51,項目!DATA_AREA,3,FALSE),"")</f>
        <v/>
      </c>
      <c r="E51" s="52"/>
      <c r="F51" s="46"/>
      <c r="G51" s="39" t="str">
        <f ca="1">IFERROR(VLOOKUP(B51,項目!DATA_AREA,4,FALSE),"")</f>
        <v/>
      </c>
      <c r="H51" s="12" t="str">
        <f ca="1">IFERROR(VLOOKUP(B51,項目!DATA_AREA,5,FALSE),"")</f>
        <v/>
      </c>
      <c r="I51" s="12" t="str">
        <f ca="1">IFERROR(VLOOKUP(B51,項目!DATA_AREA,6,FALSE),"")</f>
        <v/>
      </c>
      <c r="T51" s="19" t="b">
        <f t="shared" ca="1" si="0"/>
        <v>0</v>
      </c>
      <c r="U51" s="19" t="b">
        <f t="shared" si="16"/>
        <v>0</v>
      </c>
      <c r="V51" s="19" t="b">
        <f t="shared" ca="1" si="3"/>
        <v>0</v>
      </c>
      <c r="X51" s="7" t="s">
        <v>19</v>
      </c>
      <c r="AI51" s="60"/>
      <c r="AJ51" s="71"/>
    </row>
    <row r="52" spans="1:36">
      <c r="A52" s="49">
        <v>47</v>
      </c>
      <c r="B52" s="43"/>
      <c r="C52" s="36" t="str">
        <f ca="1">IFERROR(VLOOKUP(B52,項目!DATA_AREA,2,FALSE),"")</f>
        <v/>
      </c>
      <c r="D52" s="36" t="str">
        <f ca="1">IFERROR(VLOOKUP(B52,項目!DATA_AREA,3,FALSE),"")</f>
        <v/>
      </c>
      <c r="E52" s="52"/>
      <c r="F52" s="46"/>
      <c r="G52" s="39" t="str">
        <f ca="1">IFERROR(VLOOKUP(B52,項目!DATA_AREA,4,FALSE),"")</f>
        <v/>
      </c>
      <c r="H52" s="12" t="str">
        <f ca="1">IFERROR(VLOOKUP(B52,項目!DATA_AREA,5,FALSE),"")</f>
        <v/>
      </c>
      <c r="I52" s="12" t="str">
        <f ca="1">IFERROR(VLOOKUP(B52,項目!DATA_AREA,6,FALSE),"")</f>
        <v/>
      </c>
      <c r="T52" s="19" t="b">
        <f t="shared" ca="1" si="0"/>
        <v>0</v>
      </c>
      <c r="U52" s="19" t="b">
        <f t="shared" si="16"/>
        <v>0</v>
      </c>
      <c r="V52" s="19" t="b">
        <f t="shared" ca="1" si="3"/>
        <v>0</v>
      </c>
      <c r="X52" s="19" t="b">
        <f t="shared" ref="X52:AB61" si="17">AND(N41&lt;&gt;"",ISNA(MATCH(N41,テーブル項目KEY,0)))</f>
        <v>0</v>
      </c>
      <c r="Y52" s="19" t="b">
        <f t="shared" si="17"/>
        <v>0</v>
      </c>
      <c r="Z52" s="19" t="b">
        <f t="shared" si="17"/>
        <v>0</v>
      </c>
      <c r="AA52" s="19" t="b">
        <f t="shared" si="17"/>
        <v>0</v>
      </c>
      <c r="AB52" s="19" t="b">
        <f t="shared" si="17"/>
        <v>0</v>
      </c>
      <c r="AI52" s="60"/>
      <c r="AJ52" s="71"/>
    </row>
    <row r="53" spans="1:36">
      <c r="A53" s="49">
        <v>48</v>
      </c>
      <c r="B53" s="43"/>
      <c r="C53" s="36" t="str">
        <f ca="1">IFERROR(VLOOKUP(B53,項目!DATA_AREA,2,FALSE),"")</f>
        <v/>
      </c>
      <c r="D53" s="36" t="str">
        <f ca="1">IFERROR(VLOOKUP(B53,項目!DATA_AREA,3,FALSE),"")</f>
        <v/>
      </c>
      <c r="E53" s="52"/>
      <c r="F53" s="46"/>
      <c r="G53" s="39" t="str">
        <f ca="1">IFERROR(VLOOKUP(B53,項目!DATA_AREA,4,FALSE),"")</f>
        <v/>
      </c>
      <c r="H53" s="12" t="str">
        <f ca="1">IFERROR(VLOOKUP(B53,項目!DATA_AREA,5,FALSE),"")</f>
        <v/>
      </c>
      <c r="I53" s="12" t="str">
        <f ca="1">IFERROR(VLOOKUP(B53,項目!DATA_AREA,6,FALSE),"")</f>
        <v/>
      </c>
      <c r="T53" s="19" t="b">
        <f t="shared" ca="1" si="0"/>
        <v>0</v>
      </c>
      <c r="U53" s="19" t="b">
        <f t="shared" si="16"/>
        <v>0</v>
      </c>
      <c r="V53" s="19" t="b">
        <f t="shared" ca="1" si="3"/>
        <v>0</v>
      </c>
      <c r="X53" s="19" t="b">
        <f t="shared" si="17"/>
        <v>0</v>
      </c>
      <c r="Y53" s="19" t="b">
        <f t="shared" si="17"/>
        <v>0</v>
      </c>
      <c r="Z53" s="19" t="b">
        <f t="shared" si="17"/>
        <v>0</v>
      </c>
      <c r="AA53" s="19" t="b">
        <f t="shared" si="17"/>
        <v>0</v>
      </c>
      <c r="AB53" s="19" t="b">
        <f t="shared" si="17"/>
        <v>0</v>
      </c>
      <c r="AI53" s="60"/>
      <c r="AJ53" s="71"/>
    </row>
    <row r="54" spans="1:36">
      <c r="A54" s="49">
        <v>49</v>
      </c>
      <c r="B54" s="43"/>
      <c r="C54" s="36" t="str">
        <f ca="1">IFERROR(VLOOKUP(B54,項目!DATA_AREA,2,FALSE),"")</f>
        <v/>
      </c>
      <c r="D54" s="36" t="str">
        <f ca="1">IFERROR(VLOOKUP(B54,項目!DATA_AREA,3,FALSE),"")</f>
        <v/>
      </c>
      <c r="E54" s="52"/>
      <c r="F54" s="46"/>
      <c r="G54" s="39" t="str">
        <f ca="1">IFERROR(VLOOKUP(B54,項目!DATA_AREA,4,FALSE),"")</f>
        <v/>
      </c>
      <c r="H54" s="12" t="str">
        <f ca="1">IFERROR(VLOOKUP(B54,項目!DATA_AREA,5,FALSE),"")</f>
        <v/>
      </c>
      <c r="I54" s="12" t="str">
        <f ca="1">IFERROR(VLOOKUP(B54,項目!DATA_AREA,6,FALSE),"")</f>
        <v/>
      </c>
      <c r="T54" s="19" t="b">
        <f t="shared" ca="1" si="0"/>
        <v>0</v>
      </c>
      <c r="U54" s="19" t="b">
        <f t="shared" si="16"/>
        <v>0</v>
      </c>
      <c r="V54" s="19" t="b">
        <f t="shared" ca="1" si="3"/>
        <v>0</v>
      </c>
      <c r="X54" s="19" t="b">
        <f t="shared" si="17"/>
        <v>0</v>
      </c>
      <c r="Y54" s="19" t="b">
        <f t="shared" si="17"/>
        <v>0</v>
      </c>
      <c r="Z54" s="19" t="b">
        <f t="shared" si="17"/>
        <v>0</v>
      </c>
      <c r="AA54" s="19" t="b">
        <f t="shared" si="17"/>
        <v>0</v>
      </c>
      <c r="AB54" s="19" t="b">
        <f t="shared" si="17"/>
        <v>0</v>
      </c>
      <c r="AI54" s="60"/>
      <c r="AJ54" s="71"/>
    </row>
    <row r="55" spans="1:36">
      <c r="A55" s="49">
        <v>50</v>
      </c>
      <c r="B55" s="43"/>
      <c r="C55" s="36" t="str">
        <f ca="1">IFERROR(VLOOKUP(B55,項目!DATA_AREA,2,FALSE),"")</f>
        <v/>
      </c>
      <c r="D55" s="36" t="str">
        <f ca="1">IFERROR(VLOOKUP(B55,項目!DATA_AREA,3,FALSE),"")</f>
        <v/>
      </c>
      <c r="E55" s="52"/>
      <c r="F55" s="46"/>
      <c r="G55" s="39" t="str">
        <f ca="1">IFERROR(VLOOKUP(B55,項目!DATA_AREA,4,FALSE),"")</f>
        <v/>
      </c>
      <c r="H55" s="12" t="str">
        <f ca="1">IFERROR(VLOOKUP(B55,項目!DATA_AREA,5,FALSE),"")</f>
        <v/>
      </c>
      <c r="I55" s="12" t="str">
        <f ca="1">IFERROR(VLOOKUP(B55,項目!DATA_AREA,6,FALSE),"")</f>
        <v/>
      </c>
      <c r="T55" s="19" t="b">
        <f t="shared" ca="1" si="0"/>
        <v>0</v>
      </c>
      <c r="U55" s="19" t="b">
        <f t="shared" si="16"/>
        <v>0</v>
      </c>
      <c r="V55" s="19" t="b">
        <f t="shared" ca="1" si="3"/>
        <v>0</v>
      </c>
      <c r="X55" s="19" t="b">
        <f t="shared" si="17"/>
        <v>0</v>
      </c>
      <c r="Y55" s="19" t="b">
        <f t="shared" si="17"/>
        <v>0</v>
      </c>
      <c r="Z55" s="19" t="b">
        <f t="shared" si="17"/>
        <v>0</v>
      </c>
      <c r="AA55" s="19" t="b">
        <f t="shared" si="17"/>
        <v>0</v>
      </c>
      <c r="AB55" s="19" t="b">
        <f t="shared" si="17"/>
        <v>0</v>
      </c>
      <c r="AI55" s="60"/>
      <c r="AJ55" s="71"/>
    </row>
    <row r="56" spans="1:36">
      <c r="A56" s="49">
        <v>51</v>
      </c>
      <c r="B56" s="43"/>
      <c r="C56" s="36" t="str">
        <f ca="1">IFERROR(VLOOKUP(B56,項目!DATA_AREA,2,FALSE),"")</f>
        <v/>
      </c>
      <c r="D56" s="36" t="str">
        <f ca="1">IFERROR(VLOOKUP(B56,項目!DATA_AREA,3,FALSE),"")</f>
        <v/>
      </c>
      <c r="E56" s="52"/>
      <c r="F56" s="46"/>
      <c r="G56" s="39" t="str">
        <f ca="1">IFERROR(VLOOKUP(B56,項目!DATA_AREA,4,FALSE),"")</f>
        <v/>
      </c>
      <c r="H56" s="12" t="str">
        <f ca="1">IFERROR(VLOOKUP(B56,項目!DATA_AREA,5,FALSE),"")</f>
        <v/>
      </c>
      <c r="I56" s="12" t="str">
        <f ca="1">IFERROR(VLOOKUP(B56,項目!DATA_AREA,6,FALSE),"")</f>
        <v/>
      </c>
      <c r="T56" s="19" t="b">
        <f t="shared" ca="1" si="0"/>
        <v>0</v>
      </c>
      <c r="U56" s="19" t="b">
        <f t="shared" si="16"/>
        <v>0</v>
      </c>
      <c r="V56" s="19" t="b">
        <f t="shared" ca="1" si="3"/>
        <v>0</v>
      </c>
      <c r="X56" s="19" t="b">
        <f t="shared" si="17"/>
        <v>0</v>
      </c>
      <c r="Y56" s="19" t="b">
        <f t="shared" si="17"/>
        <v>0</v>
      </c>
      <c r="Z56" s="19" t="b">
        <f t="shared" si="17"/>
        <v>0</v>
      </c>
      <c r="AA56" s="19" t="b">
        <f t="shared" si="17"/>
        <v>0</v>
      </c>
      <c r="AB56" s="19" t="b">
        <f t="shared" si="17"/>
        <v>0</v>
      </c>
      <c r="AI56" s="60"/>
      <c r="AJ56" s="71"/>
    </row>
    <row r="57" spans="1:36">
      <c r="A57" s="49">
        <v>52</v>
      </c>
      <c r="B57" s="43"/>
      <c r="C57" s="36" t="str">
        <f ca="1">IFERROR(VLOOKUP(B57,項目!DATA_AREA,2,FALSE),"")</f>
        <v/>
      </c>
      <c r="D57" s="36" t="str">
        <f ca="1">IFERROR(VLOOKUP(B57,項目!DATA_AREA,3,FALSE),"")</f>
        <v/>
      </c>
      <c r="E57" s="52"/>
      <c r="F57" s="46"/>
      <c r="G57" s="39" t="str">
        <f ca="1">IFERROR(VLOOKUP(B57,項目!DATA_AREA,4,FALSE),"")</f>
        <v/>
      </c>
      <c r="H57" s="12" t="str">
        <f ca="1">IFERROR(VLOOKUP(B57,項目!DATA_AREA,5,FALSE),"")</f>
        <v/>
      </c>
      <c r="I57" s="12" t="str">
        <f ca="1">IFERROR(VLOOKUP(B57,項目!DATA_AREA,6,FALSE),"")</f>
        <v/>
      </c>
      <c r="T57" s="19" t="b">
        <f t="shared" ca="1" si="0"/>
        <v>0</v>
      </c>
      <c r="U57" s="19" t="b">
        <f t="shared" si="16"/>
        <v>0</v>
      </c>
      <c r="V57" s="19" t="b">
        <f t="shared" ca="1" si="3"/>
        <v>0</v>
      </c>
      <c r="X57" s="19" t="b">
        <f t="shared" si="17"/>
        <v>0</v>
      </c>
      <c r="Y57" s="19" t="b">
        <f t="shared" si="17"/>
        <v>0</v>
      </c>
      <c r="Z57" s="19" t="b">
        <f t="shared" si="17"/>
        <v>0</v>
      </c>
      <c r="AA57" s="19" t="b">
        <f t="shared" si="17"/>
        <v>0</v>
      </c>
      <c r="AB57" s="19" t="b">
        <f t="shared" si="17"/>
        <v>0</v>
      </c>
      <c r="AI57" s="60"/>
      <c r="AJ57" s="71"/>
    </row>
    <row r="58" spans="1:36">
      <c r="A58" s="49">
        <v>53</v>
      </c>
      <c r="B58" s="43"/>
      <c r="C58" s="36" t="str">
        <f ca="1">IFERROR(VLOOKUP(B58,項目!DATA_AREA,2,FALSE),"")</f>
        <v/>
      </c>
      <c r="D58" s="36" t="str">
        <f ca="1">IFERROR(VLOOKUP(B58,項目!DATA_AREA,3,FALSE),"")</f>
        <v/>
      </c>
      <c r="E58" s="52"/>
      <c r="F58" s="46"/>
      <c r="G58" s="39" t="str">
        <f ca="1">IFERROR(VLOOKUP(B58,項目!DATA_AREA,4,FALSE),"")</f>
        <v/>
      </c>
      <c r="H58" s="12" t="str">
        <f ca="1">IFERROR(VLOOKUP(B58,項目!DATA_AREA,5,FALSE),"")</f>
        <v/>
      </c>
      <c r="I58" s="12" t="str">
        <f ca="1">IFERROR(VLOOKUP(B58,項目!DATA_AREA,6,FALSE),"")</f>
        <v/>
      </c>
      <c r="T58" s="19" t="b">
        <f t="shared" ca="1" si="0"/>
        <v>0</v>
      </c>
      <c r="U58" s="19" t="b">
        <f t="shared" si="16"/>
        <v>0</v>
      </c>
      <c r="V58" s="19" t="b">
        <f t="shared" ca="1" si="3"/>
        <v>0</v>
      </c>
      <c r="X58" s="19" t="b">
        <f t="shared" si="17"/>
        <v>0</v>
      </c>
      <c r="Y58" s="19" t="b">
        <f t="shared" si="17"/>
        <v>0</v>
      </c>
      <c r="Z58" s="19" t="b">
        <f t="shared" si="17"/>
        <v>0</v>
      </c>
      <c r="AA58" s="19" t="b">
        <f t="shared" si="17"/>
        <v>0</v>
      </c>
      <c r="AB58" s="19" t="b">
        <f t="shared" si="17"/>
        <v>0</v>
      </c>
      <c r="AI58" s="60"/>
      <c r="AJ58" s="71"/>
    </row>
    <row r="59" spans="1:36">
      <c r="A59" s="49">
        <v>54</v>
      </c>
      <c r="B59" s="43"/>
      <c r="C59" s="36" t="str">
        <f ca="1">IFERROR(VLOOKUP(B59,項目!DATA_AREA,2,FALSE),"")</f>
        <v/>
      </c>
      <c r="D59" s="36" t="str">
        <f ca="1">IFERROR(VLOOKUP(B59,項目!DATA_AREA,3,FALSE),"")</f>
        <v/>
      </c>
      <c r="E59" s="52"/>
      <c r="F59" s="46"/>
      <c r="G59" s="39" t="str">
        <f ca="1">IFERROR(VLOOKUP(B59,項目!DATA_AREA,4,FALSE),"")</f>
        <v/>
      </c>
      <c r="H59" s="12" t="str">
        <f ca="1">IFERROR(VLOOKUP(B59,項目!DATA_AREA,5,FALSE),"")</f>
        <v/>
      </c>
      <c r="I59" s="12" t="str">
        <f ca="1">IFERROR(VLOOKUP(B59,項目!DATA_AREA,6,FALSE),"")</f>
        <v/>
      </c>
      <c r="T59" s="19" t="b">
        <f t="shared" ca="1" si="0"/>
        <v>0</v>
      </c>
      <c r="U59" s="19" t="b">
        <f t="shared" si="16"/>
        <v>0</v>
      </c>
      <c r="V59" s="19" t="b">
        <f t="shared" ca="1" si="3"/>
        <v>0</v>
      </c>
      <c r="X59" s="19" t="b">
        <f t="shared" si="17"/>
        <v>0</v>
      </c>
      <c r="Y59" s="19" t="b">
        <f t="shared" si="17"/>
        <v>0</v>
      </c>
      <c r="Z59" s="19" t="b">
        <f t="shared" si="17"/>
        <v>0</v>
      </c>
      <c r="AA59" s="19" t="b">
        <f t="shared" si="17"/>
        <v>0</v>
      </c>
      <c r="AB59" s="19" t="b">
        <f t="shared" si="17"/>
        <v>0</v>
      </c>
      <c r="AI59" s="60"/>
      <c r="AJ59" s="71"/>
    </row>
    <row r="60" spans="1:36">
      <c r="A60" s="49">
        <v>55</v>
      </c>
      <c r="B60" s="43"/>
      <c r="C60" s="36" t="str">
        <f ca="1">IFERROR(VLOOKUP(B60,項目!DATA_AREA,2,FALSE),"")</f>
        <v/>
      </c>
      <c r="D60" s="36" t="str">
        <f ca="1">IFERROR(VLOOKUP(B60,項目!DATA_AREA,3,FALSE),"")</f>
        <v/>
      </c>
      <c r="E60" s="52"/>
      <c r="F60" s="46"/>
      <c r="G60" s="39" t="str">
        <f ca="1">IFERROR(VLOOKUP(B60,項目!DATA_AREA,4,FALSE),"")</f>
        <v/>
      </c>
      <c r="H60" s="12" t="str">
        <f ca="1">IFERROR(VLOOKUP(B60,項目!DATA_AREA,5,FALSE),"")</f>
        <v/>
      </c>
      <c r="I60" s="12" t="str">
        <f ca="1">IFERROR(VLOOKUP(B60,項目!DATA_AREA,6,FALSE),"")</f>
        <v/>
      </c>
      <c r="T60" s="19" t="b">
        <f t="shared" ca="1" si="0"/>
        <v>0</v>
      </c>
      <c r="U60" s="19" t="b">
        <f t="shared" si="16"/>
        <v>0</v>
      </c>
      <c r="V60" s="19" t="b">
        <f t="shared" ca="1" si="3"/>
        <v>0</v>
      </c>
      <c r="X60" s="19" t="b">
        <f t="shared" si="17"/>
        <v>0</v>
      </c>
      <c r="Y60" s="19" t="b">
        <f t="shared" si="17"/>
        <v>0</v>
      </c>
      <c r="Z60" s="19" t="b">
        <f t="shared" si="17"/>
        <v>0</v>
      </c>
      <c r="AA60" s="19" t="b">
        <f t="shared" si="17"/>
        <v>0</v>
      </c>
      <c r="AB60" s="19" t="b">
        <f t="shared" si="17"/>
        <v>0</v>
      </c>
      <c r="AI60" s="60"/>
      <c r="AJ60" s="71"/>
    </row>
    <row r="61" spans="1:36">
      <c r="A61" s="49">
        <v>56</v>
      </c>
      <c r="B61" s="43"/>
      <c r="C61" s="36" t="str">
        <f ca="1">IFERROR(VLOOKUP(B61,項目!DATA_AREA,2,FALSE),"")</f>
        <v/>
      </c>
      <c r="D61" s="36" t="str">
        <f ca="1">IFERROR(VLOOKUP(B61,項目!DATA_AREA,3,FALSE),"")</f>
        <v/>
      </c>
      <c r="E61" s="52"/>
      <c r="F61" s="46"/>
      <c r="G61" s="39" t="str">
        <f ca="1">IFERROR(VLOOKUP(B61,項目!DATA_AREA,4,FALSE),"")</f>
        <v/>
      </c>
      <c r="H61" s="12" t="str">
        <f ca="1">IFERROR(VLOOKUP(B61,項目!DATA_AREA,5,FALSE),"")</f>
        <v/>
      </c>
      <c r="I61" s="12" t="str">
        <f ca="1">IFERROR(VLOOKUP(B61,項目!DATA_AREA,6,FALSE),"")</f>
        <v/>
      </c>
      <c r="T61" s="19" t="b">
        <f t="shared" ca="1" si="0"/>
        <v>0</v>
      </c>
      <c r="U61" s="19" t="b">
        <f t="shared" si="16"/>
        <v>0</v>
      </c>
      <c r="V61" s="19" t="b">
        <f t="shared" ca="1" si="3"/>
        <v>0</v>
      </c>
      <c r="X61" s="19" t="b">
        <f t="shared" si="17"/>
        <v>0</v>
      </c>
      <c r="Y61" s="19" t="b">
        <f t="shared" si="17"/>
        <v>0</v>
      </c>
      <c r="Z61" s="19" t="b">
        <f t="shared" si="17"/>
        <v>0</v>
      </c>
      <c r="AA61" s="19" t="b">
        <f t="shared" si="17"/>
        <v>0</v>
      </c>
      <c r="AB61" s="19" t="b">
        <f t="shared" si="17"/>
        <v>0</v>
      </c>
      <c r="AI61" s="60"/>
      <c r="AJ61" s="71"/>
    </row>
    <row r="62" spans="1:36">
      <c r="A62" s="49">
        <v>57</v>
      </c>
      <c r="B62" s="43"/>
      <c r="C62" s="36" t="str">
        <f ca="1">IFERROR(VLOOKUP(B62,項目!DATA_AREA,2,FALSE),"")</f>
        <v/>
      </c>
      <c r="D62" s="36" t="str">
        <f ca="1">IFERROR(VLOOKUP(B62,項目!DATA_AREA,3,FALSE),"")</f>
        <v/>
      </c>
      <c r="E62" s="52"/>
      <c r="F62" s="46"/>
      <c r="G62" s="39" t="str">
        <f ca="1">IFERROR(VLOOKUP(B62,項目!DATA_AREA,4,FALSE),"")</f>
        <v/>
      </c>
      <c r="H62" s="12" t="str">
        <f ca="1">IFERROR(VLOOKUP(B62,項目!DATA_AREA,5,FALSE),"")</f>
        <v/>
      </c>
      <c r="I62" s="12" t="str">
        <f ca="1">IFERROR(VLOOKUP(B62,項目!DATA_AREA,6,FALSE),"")</f>
        <v/>
      </c>
      <c r="T62" s="19" t="b">
        <f t="shared" ca="1" si="0"/>
        <v>0</v>
      </c>
      <c r="U62" s="19" t="b">
        <f t="shared" si="16"/>
        <v>0</v>
      </c>
      <c r="V62" s="19" t="b">
        <f t="shared" ca="1" si="3"/>
        <v>0</v>
      </c>
      <c r="AI62" s="60"/>
      <c r="AJ62" s="71"/>
    </row>
    <row r="63" spans="1:36">
      <c r="A63" s="49">
        <v>58</v>
      </c>
      <c r="B63" s="43"/>
      <c r="C63" s="36" t="str">
        <f ca="1">IFERROR(VLOOKUP(B63,項目!DATA_AREA,2,FALSE),"")</f>
        <v/>
      </c>
      <c r="D63" s="36" t="str">
        <f ca="1">IFERROR(VLOOKUP(B63,項目!DATA_AREA,3,FALSE),"")</f>
        <v/>
      </c>
      <c r="E63" s="52"/>
      <c r="F63" s="46"/>
      <c r="G63" s="39" t="str">
        <f ca="1">IFERROR(VLOOKUP(B63,項目!DATA_AREA,4,FALSE),"")</f>
        <v/>
      </c>
      <c r="H63" s="12" t="str">
        <f ca="1">IFERROR(VLOOKUP(B63,項目!DATA_AREA,5,FALSE),"")</f>
        <v/>
      </c>
      <c r="I63" s="12" t="str">
        <f ca="1">IFERROR(VLOOKUP(B63,項目!DATA_AREA,6,FALSE),"")</f>
        <v/>
      </c>
      <c r="T63" s="19" t="b">
        <f t="shared" ca="1" si="0"/>
        <v>0</v>
      </c>
      <c r="U63" s="19" t="b">
        <f t="shared" si="16"/>
        <v>0</v>
      </c>
      <c r="V63" s="19" t="b">
        <f t="shared" ca="1" si="3"/>
        <v>0</v>
      </c>
      <c r="AI63" s="60"/>
      <c r="AJ63" s="71"/>
    </row>
    <row r="64" spans="1:36">
      <c r="A64" s="49">
        <v>59</v>
      </c>
      <c r="B64" s="43"/>
      <c r="C64" s="36" t="str">
        <f ca="1">IFERROR(VLOOKUP(B64,項目!DATA_AREA,2,FALSE),"")</f>
        <v/>
      </c>
      <c r="D64" s="36" t="str">
        <f ca="1">IFERROR(VLOOKUP(B64,項目!DATA_AREA,3,FALSE),"")</f>
        <v/>
      </c>
      <c r="E64" s="52"/>
      <c r="F64" s="46"/>
      <c r="G64" s="39" t="str">
        <f ca="1">IFERROR(VLOOKUP(B64,項目!DATA_AREA,4,FALSE),"")</f>
        <v/>
      </c>
      <c r="H64" s="12" t="str">
        <f ca="1">IFERROR(VLOOKUP(B64,項目!DATA_AREA,5,FALSE),"")</f>
        <v/>
      </c>
      <c r="I64" s="12" t="str">
        <f ca="1">IFERROR(VLOOKUP(B64,項目!DATA_AREA,6,FALSE),"")</f>
        <v/>
      </c>
      <c r="T64" s="19" t="b">
        <f t="shared" ca="1" si="0"/>
        <v>0</v>
      </c>
      <c r="U64" s="19" t="b">
        <f t="shared" si="16"/>
        <v>0</v>
      </c>
      <c r="V64" s="19" t="b">
        <f t="shared" ca="1" si="3"/>
        <v>0</v>
      </c>
      <c r="X64" s="7" t="s">
        <v>23</v>
      </c>
      <c r="AI64" s="60"/>
      <c r="AJ64" s="71"/>
    </row>
    <row r="65" spans="1:36">
      <c r="A65" s="49">
        <v>60</v>
      </c>
      <c r="B65" s="43"/>
      <c r="C65" s="36" t="str">
        <f ca="1">IFERROR(VLOOKUP(B65,項目!DATA_AREA,2,FALSE),"")</f>
        <v/>
      </c>
      <c r="D65" s="36" t="str">
        <f ca="1">IFERROR(VLOOKUP(B65,項目!DATA_AREA,3,FALSE),"")</f>
        <v/>
      </c>
      <c r="E65" s="52"/>
      <c r="F65" s="46"/>
      <c r="G65" s="39" t="str">
        <f ca="1">IFERROR(VLOOKUP(B65,項目!DATA_AREA,4,FALSE),"")</f>
        <v/>
      </c>
      <c r="H65" s="12" t="str">
        <f ca="1">IFERROR(VLOOKUP(B65,項目!DATA_AREA,5,FALSE),"")</f>
        <v/>
      </c>
      <c r="I65" s="12" t="str">
        <f ca="1">IFERROR(VLOOKUP(B65,項目!DATA_AREA,6,FALSE),"")</f>
        <v/>
      </c>
      <c r="T65" s="19" t="b">
        <f t="shared" ca="1" si="0"/>
        <v>0</v>
      </c>
      <c r="U65" s="19" t="b">
        <f t="shared" si="16"/>
        <v>0</v>
      </c>
      <c r="V65" s="19" t="b">
        <f t="shared" ca="1" si="3"/>
        <v>0</v>
      </c>
      <c r="X65" s="19" t="b">
        <f t="shared" ref="X65:AB74" si="18">COUNTIF($N41:$R41,N41)&gt;1</f>
        <v>0</v>
      </c>
      <c r="Y65" s="19" t="b">
        <f t="shared" si="18"/>
        <v>0</v>
      </c>
      <c r="Z65" s="19" t="b">
        <f t="shared" si="18"/>
        <v>0</v>
      </c>
      <c r="AA65" s="19" t="b">
        <f t="shared" si="18"/>
        <v>0</v>
      </c>
      <c r="AB65" s="19" t="b">
        <f t="shared" si="18"/>
        <v>0</v>
      </c>
      <c r="AI65" s="60"/>
      <c r="AJ65" s="71"/>
    </row>
    <row r="66" spans="1:36">
      <c r="A66" s="49">
        <v>61</v>
      </c>
      <c r="B66" s="43"/>
      <c r="C66" s="36" t="str">
        <f ca="1">IFERROR(VLOOKUP(B66,項目!DATA_AREA,2,FALSE),"")</f>
        <v/>
      </c>
      <c r="D66" s="36" t="str">
        <f ca="1">IFERROR(VLOOKUP(B66,項目!DATA_AREA,3,FALSE),"")</f>
        <v/>
      </c>
      <c r="E66" s="52"/>
      <c r="F66" s="46"/>
      <c r="G66" s="39" t="str">
        <f ca="1">IFERROR(VLOOKUP(B66,項目!DATA_AREA,4,FALSE),"")</f>
        <v/>
      </c>
      <c r="H66" s="12" t="str">
        <f ca="1">IFERROR(VLOOKUP(B66,項目!DATA_AREA,5,FALSE),"")</f>
        <v/>
      </c>
      <c r="I66" s="12" t="str">
        <f ca="1">IFERROR(VLOOKUP(B66,項目!DATA_AREA,6,FALSE),"")</f>
        <v/>
      </c>
      <c r="T66" s="19" t="b">
        <f t="shared" ca="1" si="0"/>
        <v>0</v>
      </c>
      <c r="U66" s="19" t="b">
        <f t="shared" si="16"/>
        <v>0</v>
      </c>
      <c r="V66" s="19" t="b">
        <f t="shared" ca="1" si="3"/>
        <v>0</v>
      </c>
      <c r="X66" s="19" t="b">
        <f t="shared" si="18"/>
        <v>0</v>
      </c>
      <c r="Y66" s="19" t="b">
        <f t="shared" si="18"/>
        <v>0</v>
      </c>
      <c r="Z66" s="19" t="b">
        <f t="shared" si="18"/>
        <v>0</v>
      </c>
      <c r="AA66" s="19" t="b">
        <f t="shared" si="18"/>
        <v>0</v>
      </c>
      <c r="AB66" s="19" t="b">
        <f t="shared" si="18"/>
        <v>0</v>
      </c>
      <c r="AI66" s="60"/>
      <c r="AJ66" s="71"/>
    </row>
    <row r="67" spans="1:36">
      <c r="A67" s="49">
        <v>62</v>
      </c>
      <c r="B67" s="43"/>
      <c r="C67" s="36" t="str">
        <f ca="1">IFERROR(VLOOKUP(B67,項目!DATA_AREA,2,FALSE),"")</f>
        <v/>
      </c>
      <c r="D67" s="36" t="str">
        <f ca="1">IFERROR(VLOOKUP(B67,項目!DATA_AREA,3,FALSE),"")</f>
        <v/>
      </c>
      <c r="E67" s="52"/>
      <c r="F67" s="46"/>
      <c r="G67" s="39" t="str">
        <f ca="1">IFERROR(VLOOKUP(B67,項目!DATA_AREA,4,FALSE),"")</f>
        <v/>
      </c>
      <c r="H67" s="12" t="str">
        <f ca="1">IFERROR(VLOOKUP(B67,項目!DATA_AREA,5,FALSE),"")</f>
        <v/>
      </c>
      <c r="I67" s="12" t="str">
        <f ca="1">IFERROR(VLOOKUP(B67,項目!DATA_AREA,6,FALSE),"")</f>
        <v/>
      </c>
      <c r="T67" s="19" t="b">
        <f t="shared" ca="1" si="0"/>
        <v>0</v>
      </c>
      <c r="U67" s="19" t="b">
        <f t="shared" si="16"/>
        <v>0</v>
      </c>
      <c r="V67" s="19" t="b">
        <f t="shared" ca="1" si="3"/>
        <v>0</v>
      </c>
      <c r="X67" s="19" t="b">
        <f t="shared" si="18"/>
        <v>0</v>
      </c>
      <c r="Y67" s="19" t="b">
        <f t="shared" si="18"/>
        <v>0</v>
      </c>
      <c r="Z67" s="19" t="b">
        <f t="shared" si="18"/>
        <v>0</v>
      </c>
      <c r="AA67" s="19" t="b">
        <f t="shared" si="18"/>
        <v>0</v>
      </c>
      <c r="AB67" s="19" t="b">
        <f t="shared" si="18"/>
        <v>0</v>
      </c>
      <c r="AI67" s="60"/>
      <c r="AJ67" s="71"/>
    </row>
    <row r="68" spans="1:36">
      <c r="A68" s="49">
        <v>63</v>
      </c>
      <c r="B68" s="43"/>
      <c r="C68" s="36" t="str">
        <f ca="1">IFERROR(VLOOKUP(B68,項目!DATA_AREA,2,FALSE),"")</f>
        <v/>
      </c>
      <c r="D68" s="36" t="str">
        <f ca="1">IFERROR(VLOOKUP(B68,項目!DATA_AREA,3,FALSE),"")</f>
        <v/>
      </c>
      <c r="E68" s="52"/>
      <c r="F68" s="46"/>
      <c r="G68" s="39" t="str">
        <f ca="1">IFERROR(VLOOKUP(B68,項目!DATA_AREA,4,FALSE),"")</f>
        <v/>
      </c>
      <c r="H68" s="12" t="str">
        <f ca="1">IFERROR(VLOOKUP(B68,項目!DATA_AREA,5,FALSE),"")</f>
        <v/>
      </c>
      <c r="I68" s="12" t="str">
        <f ca="1">IFERROR(VLOOKUP(B68,項目!DATA_AREA,6,FALSE),"")</f>
        <v/>
      </c>
      <c r="T68" s="19" t="b">
        <f t="shared" ca="1" si="0"/>
        <v>0</v>
      </c>
      <c r="U68" s="19" t="b">
        <f t="shared" si="16"/>
        <v>0</v>
      </c>
      <c r="V68" s="19" t="b">
        <f t="shared" ca="1" si="3"/>
        <v>0</v>
      </c>
      <c r="X68" s="19" t="b">
        <f t="shared" si="18"/>
        <v>0</v>
      </c>
      <c r="Y68" s="19" t="b">
        <f t="shared" si="18"/>
        <v>0</v>
      </c>
      <c r="Z68" s="19" t="b">
        <f t="shared" si="18"/>
        <v>0</v>
      </c>
      <c r="AA68" s="19" t="b">
        <f t="shared" si="18"/>
        <v>0</v>
      </c>
      <c r="AB68" s="19" t="b">
        <f t="shared" si="18"/>
        <v>0</v>
      </c>
      <c r="AI68" s="60"/>
      <c r="AJ68" s="71"/>
    </row>
    <row r="69" spans="1:36">
      <c r="A69" s="49">
        <v>64</v>
      </c>
      <c r="B69" s="43"/>
      <c r="C69" s="36" t="str">
        <f ca="1">IFERROR(VLOOKUP(B69,項目!DATA_AREA,2,FALSE),"")</f>
        <v/>
      </c>
      <c r="D69" s="36" t="str">
        <f ca="1">IFERROR(VLOOKUP(B69,項目!DATA_AREA,3,FALSE),"")</f>
        <v/>
      </c>
      <c r="E69" s="52"/>
      <c r="F69" s="46"/>
      <c r="G69" s="39" t="str">
        <f ca="1">IFERROR(VLOOKUP(B69,項目!DATA_AREA,4,FALSE),"")</f>
        <v/>
      </c>
      <c r="H69" s="12" t="str">
        <f ca="1">IFERROR(VLOOKUP(B69,項目!DATA_AREA,5,FALSE),"")</f>
        <v/>
      </c>
      <c r="I69" s="12" t="str">
        <f ca="1">IFERROR(VLOOKUP(B69,項目!DATA_AREA,6,FALSE),"")</f>
        <v/>
      </c>
      <c r="T69" s="19" t="b">
        <f t="shared" ca="1" si="0"/>
        <v>0</v>
      </c>
      <c r="U69" s="19" t="b">
        <f t="shared" si="16"/>
        <v>0</v>
      </c>
      <c r="V69" s="19" t="b">
        <f t="shared" ca="1" si="3"/>
        <v>0</v>
      </c>
      <c r="X69" s="19" t="b">
        <f t="shared" si="18"/>
        <v>0</v>
      </c>
      <c r="Y69" s="19" t="b">
        <f t="shared" si="18"/>
        <v>0</v>
      </c>
      <c r="Z69" s="19" t="b">
        <f t="shared" si="18"/>
        <v>0</v>
      </c>
      <c r="AA69" s="19" t="b">
        <f t="shared" si="18"/>
        <v>0</v>
      </c>
      <c r="AB69" s="19" t="b">
        <f t="shared" si="18"/>
        <v>0</v>
      </c>
      <c r="AI69" s="60"/>
      <c r="AJ69" s="71"/>
    </row>
    <row r="70" spans="1:36">
      <c r="A70" s="49">
        <v>65</v>
      </c>
      <c r="B70" s="43"/>
      <c r="C70" s="36" t="str">
        <f ca="1">IFERROR(VLOOKUP(B70,項目!DATA_AREA,2,FALSE),"")</f>
        <v/>
      </c>
      <c r="D70" s="36" t="str">
        <f ca="1">IFERROR(VLOOKUP(B70,項目!DATA_AREA,3,FALSE),"")</f>
        <v/>
      </c>
      <c r="E70" s="52"/>
      <c r="F70" s="46"/>
      <c r="G70" s="39" t="str">
        <f ca="1">IFERROR(VLOOKUP(B70,項目!DATA_AREA,4,FALSE),"")</f>
        <v/>
      </c>
      <c r="H70" s="12" t="str">
        <f ca="1">IFERROR(VLOOKUP(B70,項目!DATA_AREA,5,FALSE),"")</f>
        <v/>
      </c>
      <c r="I70" s="12" t="str">
        <f ca="1">IFERROR(VLOOKUP(B70,項目!DATA_AREA,6,FALSE),"")</f>
        <v/>
      </c>
      <c r="T70" s="19" t="b">
        <f t="shared" ref="T70:T105" ca="1" si="19">AND(B70&lt;&gt;"",ISNA(MATCH(B70,項目リスト,0)))</f>
        <v>0</v>
      </c>
      <c r="U70" s="19" t="b">
        <f t="shared" ref="U70:U105" si="20">COUNTIF(FIELD_NAME,B70)&gt;1</f>
        <v>0</v>
      </c>
      <c r="V70" s="19" t="b">
        <f t="shared" ca="1" si="3"/>
        <v>0</v>
      </c>
      <c r="X70" s="19" t="b">
        <f t="shared" si="18"/>
        <v>0</v>
      </c>
      <c r="Y70" s="19" t="b">
        <f t="shared" si="18"/>
        <v>0</v>
      </c>
      <c r="Z70" s="19" t="b">
        <f t="shared" si="18"/>
        <v>0</v>
      </c>
      <c r="AA70" s="19" t="b">
        <f t="shared" si="18"/>
        <v>0</v>
      </c>
      <c r="AB70" s="19" t="b">
        <f t="shared" si="18"/>
        <v>0</v>
      </c>
      <c r="AI70" s="60"/>
      <c r="AJ70" s="71"/>
    </row>
    <row r="71" spans="1:36">
      <c r="A71" s="49">
        <v>66</v>
      </c>
      <c r="B71" s="43"/>
      <c r="C71" s="36" t="str">
        <f ca="1">IFERROR(VLOOKUP(B71,項目!DATA_AREA,2,FALSE),"")</f>
        <v/>
      </c>
      <c r="D71" s="36" t="str">
        <f ca="1">IFERROR(VLOOKUP(B71,項目!DATA_AREA,3,FALSE),"")</f>
        <v/>
      </c>
      <c r="E71" s="52"/>
      <c r="F71" s="46"/>
      <c r="G71" s="39" t="str">
        <f ca="1">IFERROR(VLOOKUP(B71,項目!DATA_AREA,4,FALSE),"")</f>
        <v/>
      </c>
      <c r="H71" s="12" t="str">
        <f ca="1">IFERROR(VLOOKUP(B71,項目!DATA_AREA,5,FALSE),"")</f>
        <v/>
      </c>
      <c r="I71" s="12" t="str">
        <f ca="1">IFERROR(VLOOKUP(B71,項目!DATA_AREA,6,FALSE),"")</f>
        <v/>
      </c>
      <c r="T71" s="19" t="b">
        <f t="shared" ca="1" si="19"/>
        <v>0</v>
      </c>
      <c r="U71" s="19" t="b">
        <f t="shared" si="20"/>
        <v>0</v>
      </c>
      <c r="V71" s="19" t="b">
        <f t="shared" ca="1" si="3"/>
        <v>0</v>
      </c>
      <c r="X71" s="19" t="b">
        <f t="shared" si="18"/>
        <v>0</v>
      </c>
      <c r="Y71" s="19" t="b">
        <f t="shared" si="18"/>
        <v>0</v>
      </c>
      <c r="Z71" s="19" t="b">
        <f t="shared" si="18"/>
        <v>0</v>
      </c>
      <c r="AA71" s="19" t="b">
        <f t="shared" si="18"/>
        <v>0</v>
      </c>
      <c r="AB71" s="19" t="b">
        <f t="shared" si="18"/>
        <v>0</v>
      </c>
      <c r="AI71" s="60"/>
      <c r="AJ71" s="71"/>
    </row>
    <row r="72" spans="1:36">
      <c r="A72" s="49">
        <v>67</v>
      </c>
      <c r="B72" s="43"/>
      <c r="C72" s="36" t="str">
        <f ca="1">IFERROR(VLOOKUP(B72,項目!DATA_AREA,2,FALSE),"")</f>
        <v/>
      </c>
      <c r="D72" s="36" t="str">
        <f ca="1">IFERROR(VLOOKUP(B72,項目!DATA_AREA,3,FALSE),"")</f>
        <v/>
      </c>
      <c r="E72" s="52"/>
      <c r="F72" s="46"/>
      <c r="G72" s="39" t="str">
        <f ca="1">IFERROR(VLOOKUP(B72,項目!DATA_AREA,4,FALSE),"")</f>
        <v/>
      </c>
      <c r="H72" s="12" t="str">
        <f ca="1">IFERROR(VLOOKUP(B72,項目!DATA_AREA,5,FALSE),"")</f>
        <v/>
      </c>
      <c r="I72" s="12" t="str">
        <f ca="1">IFERROR(VLOOKUP(B72,項目!DATA_AREA,6,FALSE),"")</f>
        <v/>
      </c>
      <c r="T72" s="19" t="b">
        <f t="shared" ca="1" si="19"/>
        <v>0</v>
      </c>
      <c r="U72" s="19" t="b">
        <f t="shared" si="20"/>
        <v>0</v>
      </c>
      <c r="V72" s="19" t="b">
        <f t="shared" ca="1" si="3"/>
        <v>0</v>
      </c>
      <c r="X72" s="19" t="b">
        <f t="shared" si="18"/>
        <v>0</v>
      </c>
      <c r="Y72" s="19" t="b">
        <f t="shared" si="18"/>
        <v>0</v>
      </c>
      <c r="Z72" s="19" t="b">
        <f t="shared" si="18"/>
        <v>0</v>
      </c>
      <c r="AA72" s="19" t="b">
        <f t="shared" si="18"/>
        <v>0</v>
      </c>
      <c r="AB72" s="19" t="b">
        <f t="shared" si="18"/>
        <v>0</v>
      </c>
      <c r="AI72" s="60"/>
      <c r="AJ72" s="71"/>
    </row>
    <row r="73" spans="1:36">
      <c r="A73" s="49">
        <v>68</v>
      </c>
      <c r="B73" s="43"/>
      <c r="C73" s="36" t="str">
        <f ca="1">IFERROR(VLOOKUP(B73,項目!DATA_AREA,2,FALSE),"")</f>
        <v/>
      </c>
      <c r="D73" s="36" t="str">
        <f ca="1">IFERROR(VLOOKUP(B73,項目!DATA_AREA,3,FALSE),"")</f>
        <v/>
      </c>
      <c r="E73" s="52"/>
      <c r="F73" s="46"/>
      <c r="G73" s="39" t="str">
        <f ca="1">IFERROR(VLOOKUP(B73,項目!DATA_AREA,4,FALSE),"")</f>
        <v/>
      </c>
      <c r="H73" s="12" t="str">
        <f ca="1">IFERROR(VLOOKUP(B73,項目!DATA_AREA,5,FALSE),"")</f>
        <v/>
      </c>
      <c r="I73" s="12" t="str">
        <f ca="1">IFERROR(VLOOKUP(B73,項目!DATA_AREA,6,FALSE),"")</f>
        <v/>
      </c>
      <c r="T73" s="19" t="b">
        <f t="shared" ca="1" si="19"/>
        <v>0</v>
      </c>
      <c r="U73" s="19" t="b">
        <f t="shared" si="20"/>
        <v>0</v>
      </c>
      <c r="V73" s="19" t="b">
        <f t="shared" ref="V73:V105" ca="1" si="21">AND(E73="",H73&lt;&gt;"",H73)</f>
        <v>0</v>
      </c>
      <c r="X73" s="19" t="b">
        <f t="shared" si="18"/>
        <v>0</v>
      </c>
      <c r="Y73" s="19" t="b">
        <f t="shared" si="18"/>
        <v>0</v>
      </c>
      <c r="Z73" s="19" t="b">
        <f t="shared" si="18"/>
        <v>0</v>
      </c>
      <c r="AA73" s="19" t="b">
        <f t="shared" si="18"/>
        <v>0</v>
      </c>
      <c r="AB73" s="19" t="b">
        <f t="shared" si="18"/>
        <v>0</v>
      </c>
      <c r="AI73" s="60"/>
      <c r="AJ73" s="71"/>
    </row>
    <row r="74" spans="1:36">
      <c r="A74" s="49">
        <v>69</v>
      </c>
      <c r="B74" s="43"/>
      <c r="C74" s="36" t="str">
        <f ca="1">IFERROR(VLOOKUP(B74,項目!DATA_AREA,2,FALSE),"")</f>
        <v/>
      </c>
      <c r="D74" s="36" t="str">
        <f ca="1">IFERROR(VLOOKUP(B74,項目!DATA_AREA,3,FALSE),"")</f>
        <v/>
      </c>
      <c r="E74" s="52"/>
      <c r="F74" s="46"/>
      <c r="G74" s="39" t="str">
        <f ca="1">IFERROR(VLOOKUP(B74,項目!DATA_AREA,4,FALSE),"")</f>
        <v/>
      </c>
      <c r="H74" s="12" t="str">
        <f ca="1">IFERROR(VLOOKUP(B74,項目!DATA_AREA,5,FALSE),"")</f>
        <v/>
      </c>
      <c r="I74" s="12" t="str">
        <f ca="1">IFERROR(VLOOKUP(B74,項目!DATA_AREA,6,FALSE),"")</f>
        <v/>
      </c>
      <c r="T74" s="19" t="b">
        <f t="shared" ca="1" si="19"/>
        <v>0</v>
      </c>
      <c r="U74" s="19" t="b">
        <f t="shared" si="20"/>
        <v>0</v>
      </c>
      <c r="V74" s="19" t="b">
        <f t="shared" ca="1" si="21"/>
        <v>0</v>
      </c>
      <c r="X74" s="19" t="b">
        <f t="shared" si="18"/>
        <v>0</v>
      </c>
      <c r="Y74" s="19" t="b">
        <f t="shared" si="18"/>
        <v>0</v>
      </c>
      <c r="Z74" s="19" t="b">
        <f t="shared" si="18"/>
        <v>0</v>
      </c>
      <c r="AA74" s="19" t="b">
        <f t="shared" si="18"/>
        <v>0</v>
      </c>
      <c r="AB74" s="19" t="b">
        <f t="shared" si="18"/>
        <v>0</v>
      </c>
      <c r="AI74" s="60"/>
      <c r="AJ74" s="71"/>
    </row>
    <row r="75" spans="1:36">
      <c r="A75" s="49">
        <v>70</v>
      </c>
      <c r="B75" s="43"/>
      <c r="C75" s="36" t="str">
        <f ca="1">IFERROR(VLOOKUP(B75,項目!DATA_AREA,2,FALSE),"")</f>
        <v/>
      </c>
      <c r="D75" s="36" t="str">
        <f ca="1">IFERROR(VLOOKUP(B75,項目!DATA_AREA,3,FALSE),"")</f>
        <v/>
      </c>
      <c r="E75" s="52"/>
      <c r="F75" s="46"/>
      <c r="G75" s="39" t="str">
        <f ca="1">IFERROR(VLOOKUP(B75,項目!DATA_AREA,4,FALSE),"")</f>
        <v/>
      </c>
      <c r="H75" s="12" t="str">
        <f ca="1">IFERROR(VLOOKUP(B75,項目!DATA_AREA,5,FALSE),"")</f>
        <v/>
      </c>
      <c r="I75" s="12" t="str">
        <f ca="1">IFERROR(VLOOKUP(B75,項目!DATA_AREA,6,FALSE),"")</f>
        <v/>
      </c>
      <c r="T75" s="19" t="b">
        <f t="shared" ca="1" si="19"/>
        <v>0</v>
      </c>
      <c r="U75" s="19" t="b">
        <f t="shared" si="20"/>
        <v>0</v>
      </c>
      <c r="V75" s="19" t="b">
        <f t="shared" ca="1" si="21"/>
        <v>0</v>
      </c>
      <c r="AI75" s="60"/>
      <c r="AJ75" s="71"/>
    </row>
    <row r="76" spans="1:36">
      <c r="A76" s="49">
        <v>71</v>
      </c>
      <c r="B76" s="43"/>
      <c r="C76" s="36" t="str">
        <f ca="1">IFERROR(VLOOKUP(B76,項目!DATA_AREA,2,FALSE),"")</f>
        <v/>
      </c>
      <c r="D76" s="36" t="str">
        <f ca="1">IFERROR(VLOOKUP(B76,項目!DATA_AREA,3,FALSE),"")</f>
        <v/>
      </c>
      <c r="E76" s="52"/>
      <c r="F76" s="46"/>
      <c r="G76" s="39" t="str">
        <f ca="1">IFERROR(VLOOKUP(B76,項目!DATA_AREA,4,FALSE),"")</f>
        <v/>
      </c>
      <c r="H76" s="12" t="str">
        <f ca="1">IFERROR(VLOOKUP(B76,項目!DATA_AREA,5,FALSE),"")</f>
        <v/>
      </c>
      <c r="I76" s="12" t="str">
        <f ca="1">IFERROR(VLOOKUP(B76,項目!DATA_AREA,6,FALSE),"")</f>
        <v/>
      </c>
      <c r="T76" s="19" t="b">
        <f t="shared" ca="1" si="19"/>
        <v>0</v>
      </c>
      <c r="U76" s="19" t="b">
        <f t="shared" si="20"/>
        <v>0</v>
      </c>
      <c r="V76" s="19" t="b">
        <f t="shared" ca="1" si="21"/>
        <v>0</v>
      </c>
      <c r="AI76" s="60"/>
      <c r="AJ76" s="71"/>
    </row>
    <row r="77" spans="1:36">
      <c r="A77" s="49">
        <v>72</v>
      </c>
      <c r="B77" s="43"/>
      <c r="C77" s="36" t="str">
        <f ca="1">IFERROR(VLOOKUP(B77,項目!DATA_AREA,2,FALSE),"")</f>
        <v/>
      </c>
      <c r="D77" s="36" t="str">
        <f ca="1">IFERROR(VLOOKUP(B77,項目!DATA_AREA,3,FALSE),"")</f>
        <v/>
      </c>
      <c r="E77" s="52"/>
      <c r="F77" s="46"/>
      <c r="G77" s="39" t="str">
        <f ca="1">IFERROR(VLOOKUP(B77,項目!DATA_AREA,4,FALSE),"")</f>
        <v/>
      </c>
      <c r="H77" s="12" t="str">
        <f ca="1">IFERROR(VLOOKUP(B77,項目!DATA_AREA,5,FALSE),"")</f>
        <v/>
      </c>
      <c r="I77" s="12" t="str">
        <f ca="1">IFERROR(VLOOKUP(B77,項目!DATA_AREA,6,FALSE),"")</f>
        <v/>
      </c>
      <c r="T77" s="19" t="b">
        <f t="shared" ca="1" si="19"/>
        <v>0</v>
      </c>
      <c r="U77" s="19" t="b">
        <f t="shared" si="20"/>
        <v>0</v>
      </c>
      <c r="V77" s="19" t="b">
        <f t="shared" ca="1" si="21"/>
        <v>0</v>
      </c>
      <c r="X77" s="7" t="s">
        <v>25</v>
      </c>
      <c r="AI77" s="60"/>
      <c r="AJ77" s="71"/>
    </row>
    <row r="78" spans="1:36">
      <c r="A78" s="49">
        <v>73</v>
      </c>
      <c r="B78" s="43"/>
      <c r="C78" s="36" t="str">
        <f ca="1">IFERROR(VLOOKUP(B78,項目!DATA_AREA,2,FALSE),"")</f>
        <v/>
      </c>
      <c r="D78" s="36" t="str">
        <f ca="1">IFERROR(VLOOKUP(B78,項目!DATA_AREA,3,FALSE),"")</f>
        <v/>
      </c>
      <c r="E78" s="52"/>
      <c r="F78" s="46"/>
      <c r="G78" s="39" t="str">
        <f ca="1">IFERROR(VLOOKUP(B78,項目!DATA_AREA,4,FALSE),"")</f>
        <v/>
      </c>
      <c r="H78" s="12" t="str">
        <f ca="1">IFERROR(VLOOKUP(B78,項目!DATA_AREA,5,FALSE),"")</f>
        <v/>
      </c>
      <c r="I78" s="12" t="str">
        <f ca="1">IFERROR(VLOOKUP(B78,項目!DATA_AREA,6,FALSE),"")</f>
        <v/>
      </c>
      <c r="T78" s="19" t="b">
        <f t="shared" ca="1" si="19"/>
        <v>0</v>
      </c>
      <c r="U78" s="19" t="b">
        <f t="shared" si="20"/>
        <v>0</v>
      </c>
      <c r="V78" s="19" t="b">
        <f t="shared" ca="1" si="21"/>
        <v>0</v>
      </c>
      <c r="X78" s="19" t="b">
        <f t="shared" ref="X78:X87" ca="1" si="22">AND($AK6&lt;&gt;"",COUNTIF($AK$6:$AK$15,$AK6)&gt;1)</f>
        <v>0</v>
      </c>
      <c r="AI78" s="60"/>
      <c r="AJ78" s="71"/>
    </row>
    <row r="79" spans="1:36">
      <c r="A79" s="49">
        <v>74</v>
      </c>
      <c r="B79" s="43"/>
      <c r="C79" s="36" t="str">
        <f ca="1">IFERROR(VLOOKUP(B79,項目!DATA_AREA,2,FALSE),"")</f>
        <v/>
      </c>
      <c r="D79" s="36" t="str">
        <f ca="1">IFERROR(VLOOKUP(B79,項目!DATA_AREA,3,FALSE),"")</f>
        <v/>
      </c>
      <c r="E79" s="52"/>
      <c r="F79" s="46"/>
      <c r="G79" s="39" t="str">
        <f ca="1">IFERROR(VLOOKUP(B79,項目!DATA_AREA,4,FALSE),"")</f>
        <v/>
      </c>
      <c r="H79" s="12" t="str">
        <f ca="1">IFERROR(VLOOKUP(B79,項目!DATA_AREA,5,FALSE),"")</f>
        <v/>
      </c>
      <c r="I79" s="12" t="str">
        <f ca="1">IFERROR(VLOOKUP(B79,項目!DATA_AREA,6,FALSE),"")</f>
        <v/>
      </c>
      <c r="T79" s="19" t="b">
        <f t="shared" ca="1" si="19"/>
        <v>0</v>
      </c>
      <c r="U79" s="19" t="b">
        <f t="shared" si="20"/>
        <v>0</v>
      </c>
      <c r="V79" s="19" t="b">
        <f t="shared" ca="1" si="21"/>
        <v>0</v>
      </c>
      <c r="X79" s="19" t="b">
        <f t="shared" ca="1" si="22"/>
        <v>0</v>
      </c>
      <c r="AI79" s="60"/>
      <c r="AJ79" s="71"/>
    </row>
    <row r="80" spans="1:36">
      <c r="A80" s="49">
        <v>75</v>
      </c>
      <c r="B80" s="43"/>
      <c r="C80" s="36" t="str">
        <f ca="1">IFERROR(VLOOKUP(B80,項目!DATA_AREA,2,FALSE),"")</f>
        <v/>
      </c>
      <c r="D80" s="36" t="str">
        <f ca="1">IFERROR(VLOOKUP(B80,項目!DATA_AREA,3,FALSE),"")</f>
        <v/>
      </c>
      <c r="E80" s="52"/>
      <c r="F80" s="46"/>
      <c r="G80" s="39" t="str">
        <f ca="1">IFERROR(VLOOKUP(B80,項目!DATA_AREA,4,FALSE),"")</f>
        <v/>
      </c>
      <c r="H80" s="12" t="str">
        <f ca="1">IFERROR(VLOOKUP(B80,項目!DATA_AREA,5,FALSE),"")</f>
        <v/>
      </c>
      <c r="I80" s="12" t="str">
        <f ca="1">IFERROR(VLOOKUP(B80,項目!DATA_AREA,6,FALSE),"")</f>
        <v/>
      </c>
      <c r="T80" s="19" t="b">
        <f t="shared" ca="1" si="19"/>
        <v>0</v>
      </c>
      <c r="U80" s="19" t="b">
        <f t="shared" si="20"/>
        <v>0</v>
      </c>
      <c r="V80" s="19" t="b">
        <f t="shared" ca="1" si="21"/>
        <v>0</v>
      </c>
      <c r="X80" s="19" t="b">
        <f t="shared" ca="1" si="22"/>
        <v>0</v>
      </c>
      <c r="AI80" s="60"/>
      <c r="AJ80" s="71"/>
    </row>
    <row r="81" spans="1:36">
      <c r="A81" s="49">
        <v>76</v>
      </c>
      <c r="B81" s="43"/>
      <c r="C81" s="36" t="str">
        <f ca="1">IFERROR(VLOOKUP(B81,項目!DATA_AREA,2,FALSE),"")</f>
        <v/>
      </c>
      <c r="D81" s="36" t="str">
        <f ca="1">IFERROR(VLOOKUP(B81,項目!DATA_AREA,3,FALSE),"")</f>
        <v/>
      </c>
      <c r="E81" s="52"/>
      <c r="F81" s="46"/>
      <c r="G81" s="39" t="str">
        <f ca="1">IFERROR(VLOOKUP(B81,項目!DATA_AREA,4,FALSE),"")</f>
        <v/>
      </c>
      <c r="H81" s="12" t="str">
        <f ca="1">IFERROR(VLOOKUP(B81,項目!DATA_AREA,5,FALSE),"")</f>
        <v/>
      </c>
      <c r="I81" s="12" t="str">
        <f ca="1">IFERROR(VLOOKUP(B81,項目!DATA_AREA,6,FALSE),"")</f>
        <v/>
      </c>
      <c r="T81" s="19" t="b">
        <f t="shared" ca="1" si="19"/>
        <v>0</v>
      </c>
      <c r="U81" s="19" t="b">
        <f t="shared" si="20"/>
        <v>0</v>
      </c>
      <c r="V81" s="19" t="b">
        <f t="shared" ca="1" si="21"/>
        <v>0</v>
      </c>
      <c r="X81" s="19" t="b">
        <f t="shared" ca="1" si="22"/>
        <v>0</v>
      </c>
      <c r="AI81" s="60"/>
      <c r="AJ81" s="71"/>
    </row>
    <row r="82" spans="1:36">
      <c r="A82" s="49">
        <v>77</v>
      </c>
      <c r="B82" s="43"/>
      <c r="C82" s="36" t="str">
        <f ca="1">IFERROR(VLOOKUP(B82,項目!DATA_AREA,2,FALSE),"")</f>
        <v/>
      </c>
      <c r="D82" s="36" t="str">
        <f ca="1">IFERROR(VLOOKUP(B82,項目!DATA_AREA,3,FALSE),"")</f>
        <v/>
      </c>
      <c r="E82" s="52"/>
      <c r="F82" s="46"/>
      <c r="G82" s="39" t="str">
        <f ca="1">IFERROR(VLOOKUP(B82,項目!DATA_AREA,4,FALSE),"")</f>
        <v/>
      </c>
      <c r="H82" s="12" t="str">
        <f ca="1">IFERROR(VLOOKUP(B82,項目!DATA_AREA,5,FALSE),"")</f>
        <v/>
      </c>
      <c r="I82" s="12" t="str">
        <f ca="1">IFERROR(VLOOKUP(B82,項目!DATA_AREA,6,FALSE),"")</f>
        <v/>
      </c>
      <c r="T82" s="19" t="b">
        <f t="shared" ca="1" si="19"/>
        <v>0</v>
      </c>
      <c r="U82" s="19" t="b">
        <f t="shared" si="20"/>
        <v>0</v>
      </c>
      <c r="V82" s="19" t="b">
        <f t="shared" ca="1" si="21"/>
        <v>0</v>
      </c>
      <c r="X82" s="19" t="b">
        <f t="shared" ca="1" si="22"/>
        <v>0</v>
      </c>
      <c r="AI82" s="60"/>
      <c r="AJ82" s="71"/>
    </row>
    <row r="83" spans="1:36">
      <c r="A83" s="49">
        <v>78</v>
      </c>
      <c r="B83" s="43"/>
      <c r="C83" s="36" t="str">
        <f ca="1">IFERROR(VLOOKUP(B83,項目!DATA_AREA,2,FALSE),"")</f>
        <v/>
      </c>
      <c r="D83" s="36" t="str">
        <f ca="1">IFERROR(VLOOKUP(B83,項目!DATA_AREA,3,FALSE),"")</f>
        <v/>
      </c>
      <c r="E83" s="52"/>
      <c r="F83" s="46"/>
      <c r="G83" s="39" t="str">
        <f ca="1">IFERROR(VLOOKUP(B83,項目!DATA_AREA,4,FALSE),"")</f>
        <v/>
      </c>
      <c r="H83" s="12" t="str">
        <f ca="1">IFERROR(VLOOKUP(B83,項目!DATA_AREA,5,FALSE),"")</f>
        <v/>
      </c>
      <c r="I83" s="12" t="str">
        <f ca="1">IFERROR(VLOOKUP(B83,項目!DATA_AREA,6,FALSE),"")</f>
        <v/>
      </c>
      <c r="T83" s="19" t="b">
        <f t="shared" ca="1" si="19"/>
        <v>0</v>
      </c>
      <c r="U83" s="19" t="b">
        <f t="shared" si="20"/>
        <v>0</v>
      </c>
      <c r="V83" s="19" t="b">
        <f t="shared" ca="1" si="21"/>
        <v>0</v>
      </c>
      <c r="X83" s="19" t="b">
        <f t="shared" ca="1" si="22"/>
        <v>0</v>
      </c>
      <c r="AI83" s="60"/>
      <c r="AJ83" s="71"/>
    </row>
    <row r="84" spans="1:36">
      <c r="A84" s="49">
        <v>79</v>
      </c>
      <c r="B84" s="43"/>
      <c r="C84" s="36" t="str">
        <f ca="1">IFERROR(VLOOKUP(B84,項目!DATA_AREA,2,FALSE),"")</f>
        <v/>
      </c>
      <c r="D84" s="36" t="str">
        <f ca="1">IFERROR(VLOOKUP(B84,項目!DATA_AREA,3,FALSE),"")</f>
        <v/>
      </c>
      <c r="E84" s="52"/>
      <c r="F84" s="46"/>
      <c r="G84" s="39" t="str">
        <f ca="1">IFERROR(VLOOKUP(B84,項目!DATA_AREA,4,FALSE),"")</f>
        <v/>
      </c>
      <c r="H84" s="12" t="str">
        <f ca="1">IFERROR(VLOOKUP(B84,項目!DATA_AREA,5,FALSE),"")</f>
        <v/>
      </c>
      <c r="I84" s="12" t="str">
        <f ca="1">IFERROR(VLOOKUP(B84,項目!DATA_AREA,6,FALSE),"")</f>
        <v/>
      </c>
      <c r="T84" s="19" t="b">
        <f t="shared" ca="1" si="19"/>
        <v>0</v>
      </c>
      <c r="U84" s="19" t="b">
        <f t="shared" si="20"/>
        <v>0</v>
      </c>
      <c r="V84" s="19" t="b">
        <f t="shared" ca="1" si="21"/>
        <v>0</v>
      </c>
      <c r="X84" s="19" t="b">
        <f t="shared" ca="1" si="22"/>
        <v>0</v>
      </c>
      <c r="AI84" s="60"/>
      <c r="AJ84" s="71"/>
    </row>
    <row r="85" spans="1:36">
      <c r="A85" s="49">
        <v>80</v>
      </c>
      <c r="B85" s="43"/>
      <c r="C85" s="36" t="str">
        <f ca="1">IFERROR(VLOOKUP(B85,項目!DATA_AREA,2,FALSE),"")</f>
        <v/>
      </c>
      <c r="D85" s="36" t="str">
        <f ca="1">IFERROR(VLOOKUP(B85,項目!DATA_AREA,3,FALSE),"")</f>
        <v/>
      </c>
      <c r="E85" s="52"/>
      <c r="F85" s="46"/>
      <c r="G85" s="39" t="str">
        <f ca="1">IFERROR(VLOOKUP(B85,項目!DATA_AREA,4,FALSE),"")</f>
        <v/>
      </c>
      <c r="H85" s="12" t="str">
        <f ca="1">IFERROR(VLOOKUP(B85,項目!DATA_AREA,5,FALSE),"")</f>
        <v/>
      </c>
      <c r="I85" s="12" t="str">
        <f ca="1">IFERROR(VLOOKUP(B85,項目!DATA_AREA,6,FALSE),"")</f>
        <v/>
      </c>
      <c r="T85" s="19" t="b">
        <f t="shared" ca="1" si="19"/>
        <v>0</v>
      </c>
      <c r="U85" s="19" t="b">
        <f t="shared" si="20"/>
        <v>0</v>
      </c>
      <c r="V85" s="19" t="b">
        <f t="shared" ca="1" si="21"/>
        <v>0</v>
      </c>
      <c r="X85" s="19" t="e">
        <f t="shared" ca="1" si="22"/>
        <v>#N/A</v>
      </c>
      <c r="AI85" s="60"/>
      <c r="AJ85" s="71"/>
    </row>
    <row r="86" spans="1:36">
      <c r="A86" s="49">
        <v>81</v>
      </c>
      <c r="B86" s="43"/>
      <c r="C86" s="36" t="str">
        <f ca="1">IFERROR(VLOOKUP(B86,項目!DATA_AREA,2,FALSE),"")</f>
        <v/>
      </c>
      <c r="D86" s="36" t="str">
        <f ca="1">IFERROR(VLOOKUP(B86,項目!DATA_AREA,3,FALSE),"")</f>
        <v/>
      </c>
      <c r="E86" s="52"/>
      <c r="F86" s="46"/>
      <c r="G86" s="39" t="str">
        <f ca="1">IFERROR(VLOOKUP(B86,項目!DATA_AREA,4,FALSE),"")</f>
        <v/>
      </c>
      <c r="H86" s="12" t="str">
        <f ca="1">IFERROR(VLOOKUP(B86,項目!DATA_AREA,5,FALSE),"")</f>
        <v/>
      </c>
      <c r="I86" s="12" t="str">
        <f ca="1">IFERROR(VLOOKUP(B86,項目!DATA_AREA,6,FALSE),"")</f>
        <v/>
      </c>
      <c r="T86" s="19" t="b">
        <f t="shared" ca="1" si="19"/>
        <v>0</v>
      </c>
      <c r="U86" s="19" t="b">
        <f t="shared" si="20"/>
        <v>0</v>
      </c>
      <c r="V86" s="19" t="b">
        <f t="shared" ca="1" si="21"/>
        <v>0</v>
      </c>
      <c r="X86" s="19" t="e">
        <f t="shared" ca="1" si="22"/>
        <v>#N/A</v>
      </c>
      <c r="AI86" s="60"/>
      <c r="AJ86" s="71"/>
    </row>
    <row r="87" spans="1:36">
      <c r="A87" s="49">
        <v>82</v>
      </c>
      <c r="B87" s="43"/>
      <c r="C87" s="36" t="str">
        <f ca="1">IFERROR(VLOOKUP(B87,項目!DATA_AREA,2,FALSE),"")</f>
        <v/>
      </c>
      <c r="D87" s="36" t="str">
        <f ca="1">IFERROR(VLOOKUP(B87,項目!DATA_AREA,3,FALSE),"")</f>
        <v/>
      </c>
      <c r="E87" s="52"/>
      <c r="F87" s="46"/>
      <c r="G87" s="39" t="str">
        <f ca="1">IFERROR(VLOOKUP(B87,項目!DATA_AREA,4,FALSE),"")</f>
        <v/>
      </c>
      <c r="H87" s="12" t="str">
        <f ca="1">IFERROR(VLOOKUP(B87,項目!DATA_AREA,5,FALSE),"")</f>
        <v/>
      </c>
      <c r="I87" s="12" t="str">
        <f ca="1">IFERROR(VLOOKUP(B87,項目!DATA_AREA,6,FALSE),"")</f>
        <v/>
      </c>
      <c r="T87" s="19" t="b">
        <f t="shared" ca="1" si="19"/>
        <v>0</v>
      </c>
      <c r="U87" s="19" t="b">
        <f t="shared" si="20"/>
        <v>0</v>
      </c>
      <c r="V87" s="19" t="b">
        <f t="shared" ca="1" si="21"/>
        <v>0</v>
      </c>
      <c r="X87" s="19" t="e">
        <f t="shared" ca="1" si="22"/>
        <v>#N/A</v>
      </c>
      <c r="AI87" s="60"/>
      <c r="AJ87" s="71"/>
    </row>
    <row r="88" spans="1:36">
      <c r="A88" s="49">
        <v>83</v>
      </c>
      <c r="B88" s="43"/>
      <c r="C88" s="36" t="str">
        <f ca="1">IFERROR(VLOOKUP(B88,項目!DATA_AREA,2,FALSE),"")</f>
        <v/>
      </c>
      <c r="D88" s="36" t="str">
        <f ca="1">IFERROR(VLOOKUP(B88,項目!DATA_AREA,3,FALSE),"")</f>
        <v/>
      </c>
      <c r="E88" s="52"/>
      <c r="F88" s="46"/>
      <c r="G88" s="39" t="str">
        <f ca="1">IFERROR(VLOOKUP(B88,項目!DATA_AREA,4,FALSE),"")</f>
        <v/>
      </c>
      <c r="H88" s="12" t="str">
        <f ca="1">IFERROR(VLOOKUP(B88,項目!DATA_AREA,5,FALSE),"")</f>
        <v/>
      </c>
      <c r="I88" s="12" t="str">
        <f ca="1">IFERROR(VLOOKUP(B88,項目!DATA_AREA,6,FALSE),"")</f>
        <v/>
      </c>
      <c r="T88" s="19" t="b">
        <f t="shared" ca="1" si="19"/>
        <v>0</v>
      </c>
      <c r="U88" s="19" t="b">
        <f t="shared" si="20"/>
        <v>0</v>
      </c>
      <c r="V88" s="19" t="b">
        <f t="shared" ca="1" si="21"/>
        <v>0</v>
      </c>
      <c r="AI88" s="60"/>
      <c r="AJ88" s="71"/>
    </row>
    <row r="89" spans="1:36">
      <c r="A89" s="49">
        <v>84</v>
      </c>
      <c r="B89" s="43"/>
      <c r="C89" s="36" t="str">
        <f ca="1">IFERROR(VLOOKUP(B89,項目!DATA_AREA,2,FALSE),"")</f>
        <v/>
      </c>
      <c r="D89" s="36" t="str">
        <f ca="1">IFERROR(VLOOKUP(B89,項目!DATA_AREA,3,FALSE),"")</f>
        <v/>
      </c>
      <c r="E89" s="52"/>
      <c r="F89" s="46"/>
      <c r="G89" s="39" t="str">
        <f ca="1">IFERROR(VLOOKUP(B89,項目!DATA_AREA,4,FALSE),"")</f>
        <v/>
      </c>
      <c r="H89" s="12" t="str">
        <f ca="1">IFERROR(VLOOKUP(B89,項目!DATA_AREA,5,FALSE),"")</f>
        <v/>
      </c>
      <c r="I89" s="12" t="str">
        <f ca="1">IFERROR(VLOOKUP(B89,項目!DATA_AREA,6,FALSE),"")</f>
        <v/>
      </c>
      <c r="T89" s="19" t="b">
        <f t="shared" ca="1" si="19"/>
        <v>0</v>
      </c>
      <c r="U89" s="19" t="b">
        <f t="shared" si="20"/>
        <v>0</v>
      </c>
      <c r="V89" s="19" t="b">
        <f t="shared" ca="1" si="21"/>
        <v>0</v>
      </c>
      <c r="AI89" s="60"/>
      <c r="AJ89" s="71"/>
    </row>
    <row r="90" spans="1:36">
      <c r="A90" s="49">
        <v>85</v>
      </c>
      <c r="B90" s="43"/>
      <c r="C90" s="36" t="str">
        <f ca="1">IFERROR(VLOOKUP(B90,項目!DATA_AREA,2,FALSE),"")</f>
        <v/>
      </c>
      <c r="D90" s="36" t="str">
        <f ca="1">IFERROR(VLOOKUP(B90,項目!DATA_AREA,3,FALSE),"")</f>
        <v/>
      </c>
      <c r="E90" s="52"/>
      <c r="F90" s="46"/>
      <c r="G90" s="39" t="str">
        <f ca="1">IFERROR(VLOOKUP(B90,項目!DATA_AREA,4,FALSE),"")</f>
        <v/>
      </c>
      <c r="H90" s="12" t="str">
        <f ca="1">IFERROR(VLOOKUP(B90,項目!DATA_AREA,5,FALSE),"")</f>
        <v/>
      </c>
      <c r="I90" s="12" t="str">
        <f ca="1">IFERROR(VLOOKUP(B90,項目!DATA_AREA,6,FALSE),"")</f>
        <v/>
      </c>
      <c r="T90" s="19" t="b">
        <f t="shared" ca="1" si="19"/>
        <v>0</v>
      </c>
      <c r="U90" s="19" t="b">
        <f t="shared" si="20"/>
        <v>0</v>
      </c>
      <c r="V90" s="19" t="b">
        <f t="shared" ca="1" si="21"/>
        <v>0</v>
      </c>
      <c r="AI90" s="60"/>
      <c r="AJ90" s="71"/>
    </row>
    <row r="91" spans="1:36">
      <c r="A91" s="49">
        <v>86</v>
      </c>
      <c r="B91" s="43"/>
      <c r="C91" s="36" t="str">
        <f ca="1">IFERROR(VLOOKUP(B91,項目!DATA_AREA,2,FALSE),"")</f>
        <v/>
      </c>
      <c r="D91" s="36" t="str">
        <f ca="1">IFERROR(VLOOKUP(B91,項目!DATA_AREA,3,FALSE),"")</f>
        <v/>
      </c>
      <c r="E91" s="52"/>
      <c r="F91" s="46"/>
      <c r="G91" s="39" t="str">
        <f ca="1">IFERROR(VLOOKUP(B91,項目!DATA_AREA,4,FALSE),"")</f>
        <v/>
      </c>
      <c r="H91" s="12" t="str">
        <f ca="1">IFERROR(VLOOKUP(B91,項目!DATA_AREA,5,FALSE),"")</f>
        <v/>
      </c>
      <c r="I91" s="12" t="str">
        <f ca="1">IFERROR(VLOOKUP(B91,項目!DATA_AREA,6,FALSE),"")</f>
        <v/>
      </c>
      <c r="T91" s="19" t="b">
        <f t="shared" ca="1" si="19"/>
        <v>0</v>
      </c>
      <c r="U91" s="19" t="b">
        <f t="shared" si="20"/>
        <v>0</v>
      </c>
      <c r="V91" s="19" t="b">
        <f t="shared" ca="1" si="21"/>
        <v>0</v>
      </c>
      <c r="AI91" s="60"/>
      <c r="AJ91" s="71"/>
    </row>
    <row r="92" spans="1:36">
      <c r="A92" s="49">
        <v>87</v>
      </c>
      <c r="B92" s="43"/>
      <c r="C92" s="36" t="str">
        <f ca="1">IFERROR(VLOOKUP(B92,項目!DATA_AREA,2,FALSE),"")</f>
        <v/>
      </c>
      <c r="D92" s="36" t="str">
        <f ca="1">IFERROR(VLOOKUP(B92,項目!DATA_AREA,3,FALSE),"")</f>
        <v/>
      </c>
      <c r="E92" s="52"/>
      <c r="F92" s="46"/>
      <c r="G92" s="39" t="str">
        <f ca="1">IFERROR(VLOOKUP(B92,項目!DATA_AREA,4,FALSE),"")</f>
        <v/>
      </c>
      <c r="H92" s="12" t="str">
        <f ca="1">IFERROR(VLOOKUP(B92,項目!DATA_AREA,5,FALSE),"")</f>
        <v/>
      </c>
      <c r="I92" s="12" t="str">
        <f ca="1">IFERROR(VLOOKUP(B92,項目!DATA_AREA,6,FALSE),"")</f>
        <v/>
      </c>
      <c r="T92" s="19" t="b">
        <f t="shared" ca="1" si="19"/>
        <v>0</v>
      </c>
      <c r="U92" s="19" t="b">
        <f t="shared" si="20"/>
        <v>0</v>
      </c>
      <c r="V92" s="19" t="b">
        <f t="shared" ca="1" si="21"/>
        <v>0</v>
      </c>
      <c r="AI92" s="60"/>
      <c r="AJ92" s="71"/>
    </row>
    <row r="93" spans="1:36">
      <c r="A93" s="49">
        <v>88</v>
      </c>
      <c r="B93" s="43"/>
      <c r="C93" s="36" t="str">
        <f ca="1">IFERROR(VLOOKUP(B93,項目!DATA_AREA,2,FALSE),"")</f>
        <v/>
      </c>
      <c r="D93" s="36" t="str">
        <f ca="1">IFERROR(VLOOKUP(B93,項目!DATA_AREA,3,FALSE),"")</f>
        <v/>
      </c>
      <c r="E93" s="52"/>
      <c r="F93" s="46"/>
      <c r="G93" s="39" t="str">
        <f ca="1">IFERROR(VLOOKUP(B93,項目!DATA_AREA,4,FALSE),"")</f>
        <v/>
      </c>
      <c r="H93" s="12" t="str">
        <f ca="1">IFERROR(VLOOKUP(B93,項目!DATA_AREA,5,FALSE),"")</f>
        <v/>
      </c>
      <c r="I93" s="12" t="str">
        <f ca="1">IFERROR(VLOOKUP(B93,項目!DATA_AREA,6,FALSE),"")</f>
        <v/>
      </c>
      <c r="T93" s="19" t="b">
        <f t="shared" ca="1" si="19"/>
        <v>0</v>
      </c>
      <c r="U93" s="19" t="b">
        <f t="shared" si="20"/>
        <v>0</v>
      </c>
      <c r="V93" s="19" t="b">
        <f t="shared" ca="1" si="21"/>
        <v>0</v>
      </c>
      <c r="AI93" s="60"/>
      <c r="AJ93" s="71"/>
    </row>
    <row r="94" spans="1:36">
      <c r="A94" s="49">
        <v>89</v>
      </c>
      <c r="B94" s="43"/>
      <c r="C94" s="36" t="str">
        <f ca="1">IFERROR(VLOOKUP(B94,項目!DATA_AREA,2,FALSE),"")</f>
        <v/>
      </c>
      <c r="D94" s="36" t="str">
        <f ca="1">IFERROR(VLOOKUP(B94,項目!DATA_AREA,3,FALSE),"")</f>
        <v/>
      </c>
      <c r="E94" s="52"/>
      <c r="F94" s="46"/>
      <c r="G94" s="39" t="str">
        <f ca="1">IFERROR(VLOOKUP(B94,項目!DATA_AREA,4,FALSE),"")</f>
        <v/>
      </c>
      <c r="H94" s="12" t="str">
        <f ca="1">IFERROR(VLOOKUP(B94,項目!DATA_AREA,5,FALSE),"")</f>
        <v/>
      </c>
      <c r="I94" s="12" t="str">
        <f ca="1">IFERROR(VLOOKUP(B94,項目!DATA_AREA,6,FALSE),"")</f>
        <v/>
      </c>
      <c r="T94" s="19" t="b">
        <f t="shared" ca="1" si="19"/>
        <v>0</v>
      </c>
      <c r="U94" s="19" t="b">
        <f t="shared" si="20"/>
        <v>0</v>
      </c>
      <c r="V94" s="19" t="b">
        <f t="shared" ca="1" si="21"/>
        <v>0</v>
      </c>
      <c r="AI94" s="60"/>
      <c r="AJ94" s="71"/>
    </row>
    <row r="95" spans="1:36">
      <c r="A95" s="49">
        <v>90</v>
      </c>
      <c r="B95" s="43"/>
      <c r="C95" s="36" t="str">
        <f ca="1">IFERROR(VLOOKUP(B95,項目!DATA_AREA,2,FALSE),"")</f>
        <v/>
      </c>
      <c r="D95" s="36" t="str">
        <f ca="1">IFERROR(VLOOKUP(B95,項目!DATA_AREA,3,FALSE),"")</f>
        <v/>
      </c>
      <c r="E95" s="52"/>
      <c r="F95" s="46"/>
      <c r="G95" s="39" t="str">
        <f ca="1">IFERROR(VLOOKUP(B95,項目!DATA_AREA,4,FALSE),"")</f>
        <v/>
      </c>
      <c r="H95" s="12" t="str">
        <f ca="1">IFERROR(VLOOKUP(B95,項目!DATA_AREA,5,FALSE),"")</f>
        <v/>
      </c>
      <c r="I95" s="12" t="str">
        <f ca="1">IFERROR(VLOOKUP(B95,項目!DATA_AREA,6,FALSE),"")</f>
        <v/>
      </c>
      <c r="T95" s="19" t="b">
        <f t="shared" ca="1" si="19"/>
        <v>0</v>
      </c>
      <c r="U95" s="19" t="b">
        <f t="shared" si="20"/>
        <v>0</v>
      </c>
      <c r="V95" s="19" t="b">
        <f t="shared" ca="1" si="21"/>
        <v>0</v>
      </c>
      <c r="AI95" s="60"/>
      <c r="AJ95" s="71"/>
    </row>
    <row r="96" spans="1:36">
      <c r="A96" s="49">
        <v>91</v>
      </c>
      <c r="B96" s="43"/>
      <c r="C96" s="36" t="str">
        <f ca="1">IFERROR(VLOOKUP(B96,項目!DATA_AREA,2,FALSE),"")</f>
        <v/>
      </c>
      <c r="D96" s="36" t="str">
        <f ca="1">IFERROR(VLOOKUP(B96,項目!DATA_AREA,3,FALSE),"")</f>
        <v/>
      </c>
      <c r="E96" s="52"/>
      <c r="F96" s="46"/>
      <c r="G96" s="39" t="str">
        <f ca="1">IFERROR(VLOOKUP(B96,項目!DATA_AREA,4,FALSE),"")</f>
        <v/>
      </c>
      <c r="H96" s="12" t="str">
        <f ca="1">IFERROR(VLOOKUP(B96,項目!DATA_AREA,5,FALSE),"")</f>
        <v/>
      </c>
      <c r="I96" s="12" t="str">
        <f ca="1">IFERROR(VLOOKUP(B96,項目!DATA_AREA,6,FALSE),"")</f>
        <v/>
      </c>
      <c r="T96" s="19" t="b">
        <f t="shared" ca="1" si="19"/>
        <v>0</v>
      </c>
      <c r="U96" s="19" t="b">
        <f t="shared" si="20"/>
        <v>0</v>
      </c>
      <c r="V96" s="19" t="b">
        <f t="shared" ca="1" si="21"/>
        <v>0</v>
      </c>
      <c r="AI96" s="60"/>
      <c r="AJ96" s="71"/>
    </row>
    <row r="97" spans="1:36">
      <c r="A97" s="49">
        <v>92</v>
      </c>
      <c r="B97" s="43"/>
      <c r="C97" s="36" t="str">
        <f ca="1">IFERROR(VLOOKUP(B97,項目!DATA_AREA,2,FALSE),"")</f>
        <v/>
      </c>
      <c r="D97" s="36" t="str">
        <f ca="1">IFERROR(VLOOKUP(B97,項目!DATA_AREA,3,FALSE),"")</f>
        <v/>
      </c>
      <c r="E97" s="52"/>
      <c r="F97" s="46"/>
      <c r="G97" s="39" t="str">
        <f ca="1">IFERROR(VLOOKUP(B97,項目!DATA_AREA,4,FALSE),"")</f>
        <v/>
      </c>
      <c r="H97" s="12" t="str">
        <f ca="1">IFERROR(VLOOKUP(B97,項目!DATA_AREA,5,FALSE),"")</f>
        <v/>
      </c>
      <c r="I97" s="12" t="str">
        <f ca="1">IFERROR(VLOOKUP(B97,項目!DATA_AREA,6,FALSE),"")</f>
        <v/>
      </c>
      <c r="T97" s="19" t="b">
        <f t="shared" ca="1" si="19"/>
        <v>0</v>
      </c>
      <c r="U97" s="19" t="b">
        <f t="shared" si="20"/>
        <v>0</v>
      </c>
      <c r="V97" s="19" t="b">
        <f t="shared" ca="1" si="21"/>
        <v>0</v>
      </c>
      <c r="AI97" s="60"/>
      <c r="AJ97" s="71"/>
    </row>
    <row r="98" spans="1:36">
      <c r="A98" s="49">
        <v>93</v>
      </c>
      <c r="B98" s="43"/>
      <c r="C98" s="36" t="str">
        <f ca="1">IFERROR(VLOOKUP(B98,項目!DATA_AREA,2,FALSE),"")</f>
        <v/>
      </c>
      <c r="D98" s="36" t="str">
        <f ca="1">IFERROR(VLOOKUP(B98,項目!DATA_AREA,3,FALSE),"")</f>
        <v/>
      </c>
      <c r="E98" s="52"/>
      <c r="F98" s="46"/>
      <c r="G98" s="39" t="str">
        <f ca="1">IFERROR(VLOOKUP(B98,項目!DATA_AREA,4,FALSE),"")</f>
        <v/>
      </c>
      <c r="H98" s="12" t="str">
        <f ca="1">IFERROR(VLOOKUP(B98,項目!DATA_AREA,5,FALSE),"")</f>
        <v/>
      </c>
      <c r="I98" s="12" t="str">
        <f ca="1">IFERROR(VLOOKUP(B98,項目!DATA_AREA,6,FALSE),"")</f>
        <v/>
      </c>
      <c r="T98" s="19" t="b">
        <f t="shared" ca="1" si="19"/>
        <v>0</v>
      </c>
      <c r="U98" s="19" t="b">
        <f t="shared" si="20"/>
        <v>0</v>
      </c>
      <c r="V98" s="19" t="b">
        <f t="shared" ca="1" si="21"/>
        <v>0</v>
      </c>
      <c r="AI98" s="60"/>
      <c r="AJ98" s="71"/>
    </row>
    <row r="99" spans="1:36">
      <c r="A99" s="49">
        <v>94</v>
      </c>
      <c r="B99" s="43"/>
      <c r="C99" s="36" t="str">
        <f ca="1">IFERROR(VLOOKUP(B99,項目!DATA_AREA,2,FALSE),"")</f>
        <v/>
      </c>
      <c r="D99" s="36" t="str">
        <f ca="1">IFERROR(VLOOKUP(B99,項目!DATA_AREA,3,FALSE),"")</f>
        <v/>
      </c>
      <c r="E99" s="52"/>
      <c r="F99" s="46"/>
      <c r="G99" s="39" t="str">
        <f ca="1">IFERROR(VLOOKUP(B99,項目!DATA_AREA,4,FALSE),"")</f>
        <v/>
      </c>
      <c r="H99" s="12" t="str">
        <f ca="1">IFERROR(VLOOKUP(B99,項目!DATA_AREA,5,FALSE),"")</f>
        <v/>
      </c>
      <c r="I99" s="12" t="str">
        <f ca="1">IFERROR(VLOOKUP(B99,項目!DATA_AREA,6,FALSE),"")</f>
        <v/>
      </c>
      <c r="T99" s="19" t="b">
        <f t="shared" ca="1" si="19"/>
        <v>0</v>
      </c>
      <c r="U99" s="19" t="b">
        <f t="shared" si="20"/>
        <v>0</v>
      </c>
      <c r="V99" s="19" t="b">
        <f t="shared" ca="1" si="21"/>
        <v>0</v>
      </c>
      <c r="AI99" s="60"/>
      <c r="AJ99" s="71"/>
    </row>
    <row r="100" spans="1:36">
      <c r="A100" s="49">
        <v>95</v>
      </c>
      <c r="B100" s="43"/>
      <c r="C100" s="36" t="str">
        <f ca="1">IFERROR(VLOOKUP(B100,項目!DATA_AREA,2,FALSE),"")</f>
        <v/>
      </c>
      <c r="D100" s="36" t="str">
        <f ca="1">IFERROR(VLOOKUP(B100,項目!DATA_AREA,3,FALSE),"")</f>
        <v/>
      </c>
      <c r="E100" s="52"/>
      <c r="F100" s="46"/>
      <c r="G100" s="39" t="str">
        <f ca="1">IFERROR(VLOOKUP(B100,項目!DATA_AREA,4,FALSE),"")</f>
        <v/>
      </c>
      <c r="H100" s="12" t="str">
        <f ca="1">IFERROR(VLOOKUP(B100,項目!DATA_AREA,5,FALSE),"")</f>
        <v/>
      </c>
      <c r="I100" s="12" t="str">
        <f ca="1">IFERROR(VLOOKUP(B100,項目!DATA_AREA,6,FALSE),"")</f>
        <v/>
      </c>
      <c r="T100" s="19" t="b">
        <f t="shared" ca="1" si="19"/>
        <v>0</v>
      </c>
      <c r="U100" s="19" t="b">
        <f t="shared" si="20"/>
        <v>0</v>
      </c>
      <c r="V100" s="19" t="b">
        <f t="shared" ca="1" si="21"/>
        <v>0</v>
      </c>
      <c r="AI100" s="60"/>
      <c r="AJ100" s="71"/>
    </row>
    <row r="101" spans="1:36">
      <c r="A101" s="49">
        <v>96</v>
      </c>
      <c r="B101" s="43"/>
      <c r="C101" s="36" t="str">
        <f ca="1">IFERROR(VLOOKUP(B101,項目!DATA_AREA,2,FALSE),"")</f>
        <v/>
      </c>
      <c r="D101" s="36" t="str">
        <f ca="1">IFERROR(VLOOKUP(B101,項目!DATA_AREA,3,FALSE),"")</f>
        <v/>
      </c>
      <c r="E101" s="52"/>
      <c r="F101" s="46"/>
      <c r="G101" s="39" t="str">
        <f ca="1">IFERROR(VLOOKUP(B101,項目!DATA_AREA,4,FALSE),"")</f>
        <v/>
      </c>
      <c r="H101" s="12" t="str">
        <f ca="1">IFERROR(VLOOKUP(B101,項目!DATA_AREA,5,FALSE),"")</f>
        <v/>
      </c>
      <c r="I101" s="12" t="str">
        <f ca="1">IFERROR(VLOOKUP(B101,項目!DATA_AREA,6,FALSE),"")</f>
        <v/>
      </c>
      <c r="T101" s="19" t="b">
        <f t="shared" ca="1" si="19"/>
        <v>0</v>
      </c>
      <c r="U101" s="19" t="b">
        <f t="shared" si="20"/>
        <v>0</v>
      </c>
      <c r="V101" s="19" t="b">
        <f t="shared" ca="1" si="21"/>
        <v>0</v>
      </c>
      <c r="AI101" s="60"/>
      <c r="AJ101" s="71"/>
    </row>
    <row r="102" spans="1:36">
      <c r="A102" s="49">
        <v>97</v>
      </c>
      <c r="B102" s="43"/>
      <c r="C102" s="36" t="str">
        <f ca="1">IFERROR(VLOOKUP(B102,項目!DATA_AREA,2,FALSE),"")</f>
        <v/>
      </c>
      <c r="D102" s="36" t="str">
        <f ca="1">IFERROR(VLOOKUP(B102,項目!DATA_AREA,3,FALSE),"")</f>
        <v/>
      </c>
      <c r="E102" s="52"/>
      <c r="F102" s="46"/>
      <c r="G102" s="39" t="str">
        <f ca="1">IFERROR(VLOOKUP(B102,項目!DATA_AREA,4,FALSE),"")</f>
        <v/>
      </c>
      <c r="H102" s="12" t="str">
        <f ca="1">IFERROR(VLOOKUP(B102,項目!DATA_AREA,5,FALSE),"")</f>
        <v/>
      </c>
      <c r="I102" s="12" t="str">
        <f ca="1">IFERROR(VLOOKUP(B102,項目!DATA_AREA,6,FALSE),"")</f>
        <v/>
      </c>
      <c r="T102" s="19" t="b">
        <f t="shared" ca="1" si="19"/>
        <v>0</v>
      </c>
      <c r="U102" s="19" t="b">
        <f t="shared" si="20"/>
        <v>0</v>
      </c>
      <c r="V102" s="19" t="b">
        <f t="shared" ca="1" si="21"/>
        <v>0</v>
      </c>
      <c r="AI102" s="60"/>
      <c r="AJ102" s="71"/>
    </row>
    <row r="103" spans="1:36">
      <c r="A103" s="49">
        <v>98</v>
      </c>
      <c r="B103" s="43"/>
      <c r="C103" s="36" t="str">
        <f ca="1">IFERROR(VLOOKUP(B103,項目!DATA_AREA,2,FALSE),"")</f>
        <v/>
      </c>
      <c r="D103" s="36" t="str">
        <f ca="1">IFERROR(VLOOKUP(B103,項目!DATA_AREA,3,FALSE),"")</f>
        <v/>
      </c>
      <c r="E103" s="52"/>
      <c r="F103" s="46"/>
      <c r="G103" s="39" t="str">
        <f ca="1">IFERROR(VLOOKUP(B103,項目!DATA_AREA,4,FALSE),"")</f>
        <v/>
      </c>
      <c r="H103" s="12" t="str">
        <f ca="1">IFERROR(VLOOKUP(B103,項目!DATA_AREA,5,FALSE),"")</f>
        <v/>
      </c>
      <c r="I103" s="12" t="str">
        <f ca="1">IFERROR(VLOOKUP(B103,項目!DATA_AREA,6,FALSE),"")</f>
        <v/>
      </c>
      <c r="T103" s="19" t="b">
        <f t="shared" ca="1" si="19"/>
        <v>0</v>
      </c>
      <c r="U103" s="19" t="b">
        <f t="shared" si="20"/>
        <v>0</v>
      </c>
      <c r="V103" s="19" t="b">
        <f t="shared" ca="1" si="21"/>
        <v>0</v>
      </c>
      <c r="AI103" s="60"/>
      <c r="AJ103" s="71"/>
    </row>
    <row r="104" spans="1:36">
      <c r="A104" s="49">
        <v>99</v>
      </c>
      <c r="B104" s="43"/>
      <c r="C104" s="36" t="str">
        <f ca="1">IFERROR(VLOOKUP(B104,項目!DATA_AREA,2,FALSE),"")</f>
        <v/>
      </c>
      <c r="D104" s="36" t="str">
        <f ca="1">IFERROR(VLOOKUP(B104,項目!DATA_AREA,3,FALSE),"")</f>
        <v/>
      </c>
      <c r="E104" s="52"/>
      <c r="F104" s="46"/>
      <c r="G104" s="39" t="str">
        <f ca="1">IFERROR(VLOOKUP(B104,項目!DATA_AREA,4,FALSE),"")</f>
        <v/>
      </c>
      <c r="H104" s="12" t="str">
        <f ca="1">IFERROR(VLOOKUP(B104,項目!DATA_AREA,5,FALSE),"")</f>
        <v/>
      </c>
      <c r="I104" s="12" t="str">
        <f ca="1">IFERROR(VLOOKUP(B104,項目!DATA_AREA,6,FALSE),"")</f>
        <v/>
      </c>
      <c r="T104" s="19" t="b">
        <f t="shared" ca="1" si="19"/>
        <v>0</v>
      </c>
      <c r="U104" s="19" t="b">
        <f t="shared" si="20"/>
        <v>0</v>
      </c>
      <c r="V104" s="19" t="b">
        <f t="shared" ca="1" si="21"/>
        <v>0</v>
      </c>
      <c r="AI104" s="60"/>
      <c r="AJ104" s="71"/>
    </row>
    <row r="105" spans="1:36">
      <c r="A105" s="50">
        <v>100</v>
      </c>
      <c r="B105" s="44"/>
      <c r="C105" s="37" t="str">
        <f ca="1">IFERROR(VLOOKUP(B105,項目!DATA_AREA,2,FALSE),"")</f>
        <v/>
      </c>
      <c r="D105" s="37" t="str">
        <f ca="1">IFERROR(VLOOKUP(B105,項目!DATA_AREA,3,FALSE),"")</f>
        <v/>
      </c>
      <c r="E105" s="53"/>
      <c r="F105" s="47"/>
      <c r="G105" s="40" t="str">
        <f ca="1">IFERROR(VLOOKUP(B105,項目!DATA_AREA,4,FALSE),"")</f>
        <v/>
      </c>
      <c r="H105" s="13" t="str">
        <f ca="1">IFERROR(VLOOKUP(B105,項目!DATA_AREA,5,FALSE),"")</f>
        <v/>
      </c>
      <c r="I105" s="13" t="str">
        <f ca="1">IFERROR(VLOOKUP(B105,項目!DATA_AREA,6,FALSE),"")</f>
        <v/>
      </c>
      <c r="T105" s="19" t="b">
        <f t="shared" ca="1" si="19"/>
        <v>0</v>
      </c>
      <c r="U105" s="19" t="b">
        <f t="shared" si="20"/>
        <v>0</v>
      </c>
      <c r="V105" s="19" t="b">
        <f t="shared" ca="1" si="21"/>
        <v>0</v>
      </c>
      <c r="AI105" s="60"/>
      <c r="AJ105" s="71"/>
    </row>
  </sheetData>
  <phoneticPr fontId="2"/>
  <conditionalFormatting sqref="B2:C2">
    <cfRule type="expression" dxfId="13" priority="7">
      <formula>ISERROR(B2)</formula>
    </cfRule>
  </conditionalFormatting>
  <conditionalFormatting sqref="B6:B105">
    <cfRule type="expression" dxfId="12" priority="5">
      <formula>COUNTIF(FIELD_NAME,B6)&gt;1</formula>
    </cfRule>
    <cfRule type="expression" dxfId="11" priority="6">
      <formula>AND($B6&lt;&gt;"",ISNA(MATCH($B6,項目リスト,0)))</formula>
    </cfRule>
  </conditionalFormatting>
  <conditionalFormatting sqref="B6">
    <cfRule type="expression" dxfId="10" priority="4">
      <formula>$AI$6="N/A"</formula>
    </cfRule>
  </conditionalFormatting>
  <conditionalFormatting sqref="D1">
    <cfRule type="cellIs" dxfId="9" priority="3" operator="greaterThan">
      <formula>0</formula>
    </cfRule>
  </conditionalFormatting>
  <conditionalFormatting sqref="L8:P8">
    <cfRule type="expression" dxfId="8" priority="9">
      <formula>Y8</formula>
    </cfRule>
    <cfRule type="expression" dxfId="7" priority="10">
      <formula>Y7</formula>
    </cfRule>
  </conditionalFormatting>
  <conditionalFormatting sqref="L13:P22">
    <cfRule type="expression" dxfId="6" priority="1">
      <formula>Y13</formula>
    </cfRule>
    <cfRule type="expression" dxfId="5" priority="2">
      <formula>$AD13</formula>
    </cfRule>
  </conditionalFormatting>
  <conditionalFormatting sqref="L8">
    <cfRule type="expression" dxfId="4" priority="8">
      <formula>$AG$7</formula>
    </cfRule>
  </conditionalFormatting>
  <conditionalFormatting sqref="E6">
    <cfRule type="expression" dxfId="3" priority="11" stopIfTrue="1">
      <formula>$V6</formula>
    </cfRule>
  </conditionalFormatting>
  <conditionalFormatting sqref="E7">
    <cfRule type="expression" dxfId="2" priority="12" stopIfTrue="1">
      <formula>$V7</formula>
    </cfRule>
  </conditionalFormatting>
  <conditionalFormatting sqref="E8">
    <cfRule type="expression" dxfId="1" priority="13" stopIfTrue="1">
      <formula>$V8</formula>
    </cfRule>
  </conditionalFormatting>
  <conditionalFormatting sqref="E9">
    <cfRule type="expression" dxfId="0" priority="14" stopIfTrue="1">
      <formula>$V9</formula>
    </cfRule>
  </conditionalFormatting>
  <dataValidations count="7">
    <dataValidation imeMode="off" allowBlank="1" showInputMessage="1" showErrorMessage="1" sqref="D5:F5 C2" xr:uid="{51027F0D-89D3-4FCE-BE15-4F7D2B220148}"/>
    <dataValidation type="list" allowBlank="1" showInputMessage="1" showErrorMessage="1" sqref="F2" xr:uid="{B9E8FD2A-1CBA-49E7-92B3-EF7E96653506}">
      <formula1>"○,-"</formula1>
    </dataValidation>
    <dataValidation type="list" allowBlank="1" showInputMessage="1" showErrorMessage="1" sqref="L13:P22" xr:uid="{6E9CA498-DC40-4427-918A-1C0C1F88758A}">
      <formula1>FIELDリスト</formula1>
    </dataValidation>
    <dataValidation type="list" allowBlank="1" showInputMessage="1" showErrorMessage="1" sqref="L8:P8" xr:uid="{9D05448A-8049-4415-A520-6BC0DA4A9EC3}">
      <formula1>FIELDリストNN</formula1>
    </dataValidation>
    <dataValidation type="whole" imeMode="off" operator="equal" allowBlank="1" showInputMessage="1" showErrorMessage="1" error="NotNullの場合は[1]を入力する。" sqref="E6:E105" xr:uid="{0F47D026-A827-4EC2-9395-5A52367474D1}">
      <formula1>1</formula1>
    </dataValidation>
    <dataValidation type="list" allowBlank="1" showInputMessage="1" showErrorMessage="1" sqref="B6:B105" xr:uid="{8040D810-FB5B-4695-938C-AD0F438BABFC}">
      <formula1>項目リスト</formula1>
    </dataValidation>
    <dataValidation imeMode="on" allowBlank="1" showInputMessage="1" showErrorMessage="1" sqref="K12 A5 A1:A2 F6:I105 K7 E2" xr:uid="{23DDE14C-96B8-4EED-8BBB-EFD717D93DA9}"/>
  </dataValidations>
  <hyperlinks>
    <hyperlink ref="E1" location="一覧!R1C1" display="一覧へ" xr:uid="{93CD3AE6-64C7-44C2-9B74-FDE3112C893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/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165</v>
      </c>
      <c r="C5" t="s">
        <v>175</v>
      </c>
    </row>
    <row r="6" spans="1:8">
      <c r="A6" s="69" t="s">
        <v>160</v>
      </c>
      <c r="C6" s="89"/>
    </row>
    <row r="8" spans="1:8">
      <c r="A8" t="s">
        <v>166</v>
      </c>
    </row>
    <row r="9" spans="1:8">
      <c r="A9" s="69" t="s">
        <v>161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62</vt:i4>
      </vt:variant>
    </vt:vector>
  </HeadingPairs>
  <TitlesOfParts>
    <vt:vector size="69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2024-02-18T03:46:57Z</dcterms:modified>
</cp:coreProperties>
</file>