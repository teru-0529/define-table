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E37E430C-B5CE-40CD-8300-32C4953E85A2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346" r:id="rId4"/>
    <sheet name="受注" sheetId="347" r:id="rId5"/>
    <sheet name="受注明細" sheetId="348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AVE_OK">一覧!$K$1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テンプレート!$R$13:$R$22</definedName>
    <definedName name="UNIQUE_AREA" localSheetId="4">受注!$R$13:$R$22</definedName>
    <definedName name="UNIQUE_AREA" localSheetId="5">受注明細!$R$13:$R$22</definedName>
    <definedName name="UNIQUE_AREA" localSheetId="3">得意先!$R$13:$R$22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VALID">TRUE</definedName>
    <definedName name="VALIDATION_RESULT">TRUE</definedName>
    <definedName name="エラー">WORK!$C$6</definedName>
    <definedName name="テーブル一覧START">一覧!$D$2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348" l="1"/>
  <c r="T105" i="348"/>
  <c r="I105" i="348"/>
  <c r="H105" i="348"/>
  <c r="V105" i="348" s="1"/>
  <c r="G105" i="348"/>
  <c r="D105" i="348"/>
  <c r="C105" i="348"/>
  <c r="U104" i="348"/>
  <c r="T104" i="348"/>
  <c r="I104" i="348"/>
  <c r="H104" i="348"/>
  <c r="V104" i="348" s="1"/>
  <c r="G104" i="348"/>
  <c r="D104" i="348"/>
  <c r="C104" i="348"/>
  <c r="U103" i="348"/>
  <c r="T103" i="348"/>
  <c r="I103" i="348"/>
  <c r="H103" i="348"/>
  <c r="V103" i="348" s="1"/>
  <c r="G103" i="348"/>
  <c r="D103" i="348"/>
  <c r="C103" i="348"/>
  <c r="U102" i="348"/>
  <c r="T102" i="348"/>
  <c r="I102" i="348"/>
  <c r="H102" i="348"/>
  <c r="V102" i="348" s="1"/>
  <c r="G102" i="348"/>
  <c r="D102" i="348"/>
  <c r="C102" i="348"/>
  <c r="U101" i="348"/>
  <c r="T101" i="348"/>
  <c r="I101" i="348"/>
  <c r="H101" i="348"/>
  <c r="V101" i="348" s="1"/>
  <c r="G101" i="348"/>
  <c r="D101" i="348"/>
  <c r="C101" i="348"/>
  <c r="U100" i="348"/>
  <c r="T100" i="348"/>
  <c r="I100" i="348"/>
  <c r="H100" i="348"/>
  <c r="V100" i="348" s="1"/>
  <c r="G100" i="348"/>
  <c r="D100" i="348"/>
  <c r="C100" i="348"/>
  <c r="U99" i="348"/>
  <c r="T99" i="348"/>
  <c r="I99" i="348"/>
  <c r="H99" i="348"/>
  <c r="V99" i="348" s="1"/>
  <c r="G99" i="348"/>
  <c r="D99" i="348"/>
  <c r="C99" i="348"/>
  <c r="U98" i="348"/>
  <c r="T98" i="348"/>
  <c r="I98" i="348"/>
  <c r="H98" i="348"/>
  <c r="V98" i="348" s="1"/>
  <c r="G98" i="348"/>
  <c r="D98" i="348"/>
  <c r="C98" i="348"/>
  <c r="U97" i="348"/>
  <c r="T97" i="348"/>
  <c r="I97" i="348"/>
  <c r="H97" i="348"/>
  <c r="V97" i="348" s="1"/>
  <c r="G97" i="348"/>
  <c r="D97" i="348"/>
  <c r="C97" i="348"/>
  <c r="U96" i="348"/>
  <c r="T96" i="348"/>
  <c r="I96" i="348"/>
  <c r="H96" i="348"/>
  <c r="V96" i="348" s="1"/>
  <c r="G96" i="348"/>
  <c r="D96" i="348"/>
  <c r="C96" i="348"/>
  <c r="U95" i="348"/>
  <c r="T95" i="348"/>
  <c r="I95" i="348"/>
  <c r="H95" i="348"/>
  <c r="V95" i="348" s="1"/>
  <c r="G95" i="348"/>
  <c r="D95" i="348"/>
  <c r="C95" i="348"/>
  <c r="U94" i="348"/>
  <c r="T94" i="348"/>
  <c r="I94" i="348"/>
  <c r="H94" i="348"/>
  <c r="V94" i="348" s="1"/>
  <c r="G94" i="348"/>
  <c r="D94" i="348"/>
  <c r="C94" i="348"/>
  <c r="U93" i="348"/>
  <c r="T93" i="348"/>
  <c r="I93" i="348"/>
  <c r="H93" i="348"/>
  <c r="V93" i="348" s="1"/>
  <c r="G93" i="348"/>
  <c r="D93" i="348"/>
  <c r="C93" i="348"/>
  <c r="U92" i="348"/>
  <c r="T92" i="348"/>
  <c r="I92" i="348"/>
  <c r="H92" i="348"/>
  <c r="V92" i="348" s="1"/>
  <c r="G92" i="348"/>
  <c r="D92" i="348"/>
  <c r="C92" i="348"/>
  <c r="U91" i="348"/>
  <c r="T91" i="348"/>
  <c r="I91" i="348"/>
  <c r="H91" i="348"/>
  <c r="V91" i="348" s="1"/>
  <c r="G91" i="348"/>
  <c r="D91" i="348"/>
  <c r="C91" i="348"/>
  <c r="U90" i="348"/>
  <c r="T90" i="348"/>
  <c r="I90" i="348"/>
  <c r="H90" i="348"/>
  <c r="V90" i="348" s="1"/>
  <c r="G90" i="348"/>
  <c r="D90" i="348"/>
  <c r="C90" i="348"/>
  <c r="U89" i="348"/>
  <c r="T89" i="348"/>
  <c r="I89" i="348"/>
  <c r="H89" i="348"/>
  <c r="V89" i="348" s="1"/>
  <c r="G89" i="348"/>
  <c r="D89" i="348"/>
  <c r="C89" i="348"/>
  <c r="U88" i="348"/>
  <c r="T88" i="348"/>
  <c r="I88" i="348"/>
  <c r="H88" i="348"/>
  <c r="V88" i="348" s="1"/>
  <c r="G88" i="348"/>
  <c r="D88" i="348"/>
  <c r="C88" i="348"/>
  <c r="U87" i="348"/>
  <c r="T87" i="348"/>
  <c r="I87" i="348"/>
  <c r="H87" i="348"/>
  <c r="V87" i="348" s="1"/>
  <c r="G87" i="348"/>
  <c r="D87" i="348"/>
  <c r="C87" i="348"/>
  <c r="U86" i="348"/>
  <c r="T86" i="348"/>
  <c r="I86" i="348"/>
  <c r="H86" i="348"/>
  <c r="V86" i="348" s="1"/>
  <c r="G86" i="348"/>
  <c r="D86" i="348"/>
  <c r="C86" i="348"/>
  <c r="U85" i="348"/>
  <c r="T85" i="348"/>
  <c r="I85" i="348"/>
  <c r="H85" i="348"/>
  <c r="V85" i="348" s="1"/>
  <c r="G85" i="348"/>
  <c r="D85" i="348"/>
  <c r="C85" i="348"/>
  <c r="U84" i="348"/>
  <c r="T84" i="348"/>
  <c r="I84" i="348"/>
  <c r="H84" i="348"/>
  <c r="V84" i="348" s="1"/>
  <c r="G84" i="348"/>
  <c r="D84" i="348"/>
  <c r="C84" i="348"/>
  <c r="U83" i="348"/>
  <c r="T83" i="348"/>
  <c r="I83" i="348"/>
  <c r="H83" i="348"/>
  <c r="V83" i="348" s="1"/>
  <c r="G83" i="348"/>
  <c r="D83" i="348"/>
  <c r="C83" i="348"/>
  <c r="U82" i="348"/>
  <c r="T82" i="348"/>
  <c r="I82" i="348"/>
  <c r="H82" i="348"/>
  <c r="V82" i="348" s="1"/>
  <c r="G82" i="348"/>
  <c r="D82" i="348"/>
  <c r="C82" i="348"/>
  <c r="U81" i="348"/>
  <c r="T81" i="348"/>
  <c r="I81" i="348"/>
  <c r="H81" i="348"/>
  <c r="V81" i="348" s="1"/>
  <c r="G81" i="348"/>
  <c r="D81" i="348"/>
  <c r="C81" i="348"/>
  <c r="U80" i="348"/>
  <c r="T80" i="348"/>
  <c r="I80" i="348"/>
  <c r="H80" i="348"/>
  <c r="V80" i="348" s="1"/>
  <c r="G80" i="348"/>
  <c r="D80" i="348"/>
  <c r="C80" i="348"/>
  <c r="U79" i="348"/>
  <c r="T79" i="348"/>
  <c r="I79" i="348"/>
  <c r="H79" i="348"/>
  <c r="V79" i="348" s="1"/>
  <c r="G79" i="348"/>
  <c r="D79" i="348"/>
  <c r="C79" i="348"/>
  <c r="U78" i="348"/>
  <c r="T78" i="348"/>
  <c r="I78" i="348"/>
  <c r="H78" i="348"/>
  <c r="V78" i="348" s="1"/>
  <c r="G78" i="348"/>
  <c r="D78" i="348"/>
  <c r="C78" i="348"/>
  <c r="U77" i="348"/>
  <c r="T77" i="348"/>
  <c r="I77" i="348"/>
  <c r="H77" i="348"/>
  <c r="V77" i="348" s="1"/>
  <c r="G77" i="348"/>
  <c r="D77" i="348"/>
  <c r="C77" i="348"/>
  <c r="U76" i="348"/>
  <c r="T76" i="348"/>
  <c r="I76" i="348"/>
  <c r="H76" i="348"/>
  <c r="V76" i="348" s="1"/>
  <c r="G76" i="348"/>
  <c r="D76" i="348"/>
  <c r="C76" i="348"/>
  <c r="U75" i="348"/>
  <c r="T75" i="348"/>
  <c r="I75" i="348"/>
  <c r="H75" i="348"/>
  <c r="V75" i="348" s="1"/>
  <c r="G75" i="348"/>
  <c r="D75" i="348"/>
  <c r="C75" i="348"/>
  <c r="AB74" i="348"/>
  <c r="AA74" i="348"/>
  <c r="Z74" i="348"/>
  <c r="Y74" i="348"/>
  <c r="X74" i="348"/>
  <c r="U74" i="348"/>
  <c r="T74" i="348"/>
  <c r="I74" i="348"/>
  <c r="H74" i="348"/>
  <c r="V74" i="348" s="1"/>
  <c r="G74" i="348"/>
  <c r="D74" i="348"/>
  <c r="C74" i="348"/>
  <c r="AB73" i="348"/>
  <c r="AA73" i="348"/>
  <c r="Z73" i="348"/>
  <c r="Y73" i="348"/>
  <c r="X73" i="348"/>
  <c r="U73" i="348"/>
  <c r="T73" i="348"/>
  <c r="I73" i="348"/>
  <c r="H73" i="348"/>
  <c r="V73" i="348" s="1"/>
  <c r="G73" i="348"/>
  <c r="D73" i="348"/>
  <c r="C73" i="348"/>
  <c r="AB72" i="348"/>
  <c r="AA72" i="348"/>
  <c r="Z72" i="348"/>
  <c r="Y72" i="348"/>
  <c r="X72" i="348"/>
  <c r="U72" i="348"/>
  <c r="T72" i="348"/>
  <c r="I72" i="348"/>
  <c r="H72" i="348"/>
  <c r="V72" i="348" s="1"/>
  <c r="G72" i="348"/>
  <c r="D72" i="348"/>
  <c r="C72" i="348"/>
  <c r="AB71" i="348"/>
  <c r="AA71" i="348"/>
  <c r="Z71" i="348"/>
  <c r="Y71" i="348"/>
  <c r="X71" i="348"/>
  <c r="U71" i="348"/>
  <c r="T71" i="348"/>
  <c r="I71" i="348"/>
  <c r="H71" i="348"/>
  <c r="V71" i="348" s="1"/>
  <c r="G71" i="348"/>
  <c r="D71" i="348"/>
  <c r="C71" i="348"/>
  <c r="AB70" i="348"/>
  <c r="AA70" i="348"/>
  <c r="Z70" i="348"/>
  <c r="Y70" i="348"/>
  <c r="X70" i="348"/>
  <c r="U70" i="348"/>
  <c r="T70" i="348"/>
  <c r="I70" i="348"/>
  <c r="H70" i="348"/>
  <c r="V70" i="348" s="1"/>
  <c r="G70" i="348"/>
  <c r="D70" i="348"/>
  <c r="C70" i="348"/>
  <c r="AB69" i="348"/>
  <c r="AA69" i="348"/>
  <c r="Z69" i="348"/>
  <c r="Y69" i="348"/>
  <c r="X69" i="348"/>
  <c r="U69" i="348"/>
  <c r="T69" i="348"/>
  <c r="I69" i="348"/>
  <c r="H69" i="348"/>
  <c r="V69" i="348" s="1"/>
  <c r="G69" i="348"/>
  <c r="D69" i="348"/>
  <c r="C69" i="348"/>
  <c r="AB68" i="348"/>
  <c r="AA68" i="348"/>
  <c r="Z68" i="348"/>
  <c r="Y68" i="348"/>
  <c r="X68" i="348"/>
  <c r="U68" i="348"/>
  <c r="T68" i="348"/>
  <c r="I68" i="348"/>
  <c r="H68" i="348"/>
  <c r="V68" i="348" s="1"/>
  <c r="G68" i="348"/>
  <c r="D68" i="348"/>
  <c r="C68" i="348"/>
  <c r="AB67" i="348"/>
  <c r="AA67" i="348"/>
  <c r="Z67" i="348"/>
  <c r="Y67" i="348"/>
  <c r="X67" i="348"/>
  <c r="U67" i="348"/>
  <c r="T67" i="348"/>
  <c r="I67" i="348"/>
  <c r="H67" i="348"/>
  <c r="V67" i="348" s="1"/>
  <c r="G67" i="348"/>
  <c r="D67" i="348"/>
  <c r="C67" i="348"/>
  <c r="AB66" i="348"/>
  <c r="AA66" i="348"/>
  <c r="Z66" i="348"/>
  <c r="Y66" i="348"/>
  <c r="X66" i="348"/>
  <c r="U66" i="348"/>
  <c r="T66" i="348"/>
  <c r="I66" i="348"/>
  <c r="H66" i="348"/>
  <c r="V66" i="348" s="1"/>
  <c r="G66" i="348"/>
  <c r="D66" i="348"/>
  <c r="C66" i="348"/>
  <c r="AB65" i="348"/>
  <c r="AA65" i="348"/>
  <c r="Z65" i="348"/>
  <c r="Y65" i="348"/>
  <c r="X65" i="348"/>
  <c r="U65" i="348"/>
  <c r="T65" i="348"/>
  <c r="I65" i="348"/>
  <c r="H65" i="348"/>
  <c r="V65" i="348" s="1"/>
  <c r="G65" i="348"/>
  <c r="D65" i="348"/>
  <c r="C65" i="348"/>
  <c r="U64" i="348"/>
  <c r="T64" i="348"/>
  <c r="I64" i="348"/>
  <c r="H64" i="348"/>
  <c r="V64" i="348" s="1"/>
  <c r="G64" i="348"/>
  <c r="D64" i="348"/>
  <c r="C64" i="348"/>
  <c r="U63" i="348"/>
  <c r="T63" i="348"/>
  <c r="I63" i="348"/>
  <c r="H63" i="348"/>
  <c r="V63" i="348" s="1"/>
  <c r="G63" i="348"/>
  <c r="D63" i="348"/>
  <c r="C63" i="348"/>
  <c r="U62" i="348"/>
  <c r="T62" i="348"/>
  <c r="I62" i="348"/>
  <c r="H62" i="348"/>
  <c r="V62" i="348" s="1"/>
  <c r="G62" i="348"/>
  <c r="D62" i="348"/>
  <c r="C62" i="348"/>
  <c r="AB61" i="348"/>
  <c r="AA61" i="348"/>
  <c r="Z61" i="348"/>
  <c r="Y61" i="348"/>
  <c r="X61" i="348"/>
  <c r="U61" i="348"/>
  <c r="T61" i="348"/>
  <c r="I61" i="348"/>
  <c r="H61" i="348"/>
  <c r="V61" i="348" s="1"/>
  <c r="G61" i="348"/>
  <c r="D61" i="348"/>
  <c r="C61" i="348"/>
  <c r="AB60" i="348"/>
  <c r="AA60" i="348"/>
  <c r="Z60" i="348"/>
  <c r="Y60" i="348"/>
  <c r="X60" i="348"/>
  <c r="U60" i="348"/>
  <c r="T60" i="348"/>
  <c r="I60" i="348"/>
  <c r="H60" i="348"/>
  <c r="V60" i="348" s="1"/>
  <c r="G60" i="348"/>
  <c r="D60" i="348"/>
  <c r="C60" i="348"/>
  <c r="AB59" i="348"/>
  <c r="AA59" i="348"/>
  <c r="Z59" i="348"/>
  <c r="Y59" i="348"/>
  <c r="X59" i="348"/>
  <c r="U59" i="348"/>
  <c r="T59" i="348"/>
  <c r="I59" i="348"/>
  <c r="H59" i="348"/>
  <c r="V59" i="348" s="1"/>
  <c r="G59" i="348"/>
  <c r="D59" i="348"/>
  <c r="C59" i="348"/>
  <c r="AB58" i="348"/>
  <c r="AA58" i="348"/>
  <c r="Z58" i="348"/>
  <c r="Y58" i="348"/>
  <c r="X58" i="348"/>
  <c r="U58" i="348"/>
  <c r="T58" i="348"/>
  <c r="I58" i="348"/>
  <c r="H58" i="348"/>
  <c r="V58" i="348" s="1"/>
  <c r="G58" i="348"/>
  <c r="D58" i="348"/>
  <c r="C58" i="348"/>
  <c r="AB57" i="348"/>
  <c r="AA57" i="348"/>
  <c r="Z57" i="348"/>
  <c r="Y57" i="348"/>
  <c r="X57" i="348"/>
  <c r="U57" i="348"/>
  <c r="T57" i="348"/>
  <c r="I57" i="348"/>
  <c r="H57" i="348"/>
  <c r="V57" i="348" s="1"/>
  <c r="G57" i="348"/>
  <c r="D57" i="348"/>
  <c r="C57" i="348"/>
  <c r="AB56" i="348"/>
  <c r="AA56" i="348"/>
  <c r="Z56" i="348"/>
  <c r="Y56" i="348"/>
  <c r="X56" i="348"/>
  <c r="U56" i="348"/>
  <c r="T56" i="348"/>
  <c r="I56" i="348"/>
  <c r="H56" i="348"/>
  <c r="V56" i="348" s="1"/>
  <c r="G56" i="348"/>
  <c r="D56" i="348"/>
  <c r="C56" i="348"/>
  <c r="AB55" i="348"/>
  <c r="AA55" i="348"/>
  <c r="Z55" i="348"/>
  <c r="Y55" i="348"/>
  <c r="X55" i="348"/>
  <c r="U55" i="348"/>
  <c r="T55" i="348"/>
  <c r="I55" i="348"/>
  <c r="H55" i="348"/>
  <c r="V55" i="348" s="1"/>
  <c r="G55" i="348"/>
  <c r="D55" i="348"/>
  <c r="C55" i="348"/>
  <c r="AB54" i="348"/>
  <c r="AA54" i="348"/>
  <c r="Z54" i="348"/>
  <c r="Y54" i="348"/>
  <c r="X54" i="348"/>
  <c r="U54" i="348"/>
  <c r="T54" i="348"/>
  <c r="I54" i="348"/>
  <c r="H54" i="348"/>
  <c r="V54" i="348" s="1"/>
  <c r="G54" i="348"/>
  <c r="D54" i="348"/>
  <c r="C54" i="348"/>
  <c r="AB53" i="348"/>
  <c r="AA53" i="348"/>
  <c r="Z53" i="348"/>
  <c r="Y53" i="348"/>
  <c r="X53" i="348"/>
  <c r="U53" i="348"/>
  <c r="T53" i="348"/>
  <c r="I53" i="348"/>
  <c r="H53" i="348"/>
  <c r="V53" i="348" s="1"/>
  <c r="G53" i="348"/>
  <c r="D53" i="348"/>
  <c r="C53" i="348"/>
  <c r="AB52" i="348"/>
  <c r="AA52" i="348"/>
  <c r="Z52" i="348"/>
  <c r="Y52" i="348"/>
  <c r="X52" i="348"/>
  <c r="U52" i="348"/>
  <c r="T52" i="348"/>
  <c r="I52" i="348"/>
  <c r="H52" i="348"/>
  <c r="V52" i="348" s="1"/>
  <c r="G52" i="348"/>
  <c r="D52" i="348"/>
  <c r="C52" i="348"/>
  <c r="U51" i="348"/>
  <c r="T51" i="348"/>
  <c r="I51" i="348"/>
  <c r="H51" i="348"/>
  <c r="V51" i="348" s="1"/>
  <c r="G51" i="348"/>
  <c r="D51" i="348"/>
  <c r="C51" i="348"/>
  <c r="U50" i="348"/>
  <c r="T50" i="348"/>
  <c r="I50" i="348"/>
  <c r="H50" i="348"/>
  <c r="V50" i="348" s="1"/>
  <c r="G50" i="348"/>
  <c r="D50" i="348"/>
  <c r="C50" i="348"/>
  <c r="U49" i="348"/>
  <c r="T49" i="348"/>
  <c r="I49" i="348"/>
  <c r="H49" i="348"/>
  <c r="V49" i="348" s="1"/>
  <c r="G49" i="348"/>
  <c r="D49" i="348"/>
  <c r="C49" i="348"/>
  <c r="U48" i="348"/>
  <c r="T48" i="348"/>
  <c r="I48" i="348"/>
  <c r="H48" i="348"/>
  <c r="V48" i="348" s="1"/>
  <c r="G48" i="348"/>
  <c r="D48" i="348"/>
  <c r="C48" i="348"/>
  <c r="U47" i="348"/>
  <c r="T47" i="348"/>
  <c r="I47" i="348"/>
  <c r="H47" i="348"/>
  <c r="V47" i="348" s="1"/>
  <c r="G47" i="348"/>
  <c r="D47" i="348"/>
  <c r="C47" i="348"/>
  <c r="U46" i="348"/>
  <c r="T46" i="348"/>
  <c r="I46" i="348"/>
  <c r="H46" i="348"/>
  <c r="V46" i="348" s="1"/>
  <c r="G46" i="348"/>
  <c r="D46" i="348"/>
  <c r="C46" i="348"/>
  <c r="U45" i="348"/>
  <c r="T45" i="348"/>
  <c r="I45" i="348"/>
  <c r="H45" i="348"/>
  <c r="V45" i="348" s="1"/>
  <c r="G45" i="348"/>
  <c r="D45" i="348"/>
  <c r="C45" i="348"/>
  <c r="U44" i="348"/>
  <c r="T44" i="348"/>
  <c r="I44" i="348"/>
  <c r="H44" i="348"/>
  <c r="V44" i="348" s="1"/>
  <c r="G44" i="348"/>
  <c r="D44" i="348"/>
  <c r="C44" i="348"/>
  <c r="U43" i="348"/>
  <c r="T43" i="348"/>
  <c r="I43" i="348"/>
  <c r="H43" i="348"/>
  <c r="V43" i="348" s="1"/>
  <c r="G43" i="348"/>
  <c r="D43" i="348"/>
  <c r="C43" i="348"/>
  <c r="U42" i="348"/>
  <c r="T42" i="348"/>
  <c r="I42" i="348"/>
  <c r="H42" i="348"/>
  <c r="V42" i="348" s="1"/>
  <c r="G42" i="348"/>
  <c r="D42" i="348"/>
  <c r="C42" i="348"/>
  <c r="U41" i="348"/>
  <c r="T41" i="348"/>
  <c r="I41" i="348"/>
  <c r="H41" i="348"/>
  <c r="V41" i="348" s="1"/>
  <c r="G41" i="348"/>
  <c r="D41" i="348"/>
  <c r="C41" i="348"/>
  <c r="U40" i="348"/>
  <c r="T40" i="348"/>
  <c r="I40" i="348"/>
  <c r="H40" i="348"/>
  <c r="V40" i="348" s="1"/>
  <c r="G40" i="348"/>
  <c r="D40" i="348"/>
  <c r="C40" i="348"/>
  <c r="U39" i="348"/>
  <c r="T39" i="348"/>
  <c r="I39" i="348"/>
  <c r="H39" i="348"/>
  <c r="V39" i="348" s="1"/>
  <c r="G39" i="348"/>
  <c r="D39" i="348"/>
  <c r="C39" i="348"/>
  <c r="U38" i="348"/>
  <c r="T38" i="348"/>
  <c r="I38" i="348"/>
  <c r="H38" i="348"/>
  <c r="V38" i="348" s="1"/>
  <c r="G38" i="348"/>
  <c r="D38" i="348"/>
  <c r="C38" i="348"/>
  <c r="U37" i="348"/>
  <c r="T37" i="348"/>
  <c r="I37" i="348"/>
  <c r="H37" i="348"/>
  <c r="V37" i="348" s="1"/>
  <c r="G37" i="348"/>
  <c r="D37" i="348"/>
  <c r="C37" i="348"/>
  <c r="U36" i="348"/>
  <c r="T36" i="348"/>
  <c r="I36" i="348"/>
  <c r="H36" i="348"/>
  <c r="V36" i="348" s="1"/>
  <c r="G36" i="348"/>
  <c r="D36" i="348"/>
  <c r="C36" i="348"/>
  <c r="U35" i="348"/>
  <c r="T35" i="348"/>
  <c r="I35" i="348"/>
  <c r="H35" i="348"/>
  <c r="V35" i="348" s="1"/>
  <c r="G35" i="348"/>
  <c r="D35" i="348"/>
  <c r="C35" i="348"/>
  <c r="U34" i="348"/>
  <c r="T34" i="348"/>
  <c r="I34" i="348"/>
  <c r="H34" i="348"/>
  <c r="V34" i="348" s="1"/>
  <c r="G34" i="348"/>
  <c r="D34" i="348"/>
  <c r="C34" i="348"/>
  <c r="U33" i="348"/>
  <c r="T33" i="348"/>
  <c r="I33" i="348"/>
  <c r="H33" i="348"/>
  <c r="V33" i="348" s="1"/>
  <c r="G33" i="348"/>
  <c r="D33" i="348"/>
  <c r="C33" i="348"/>
  <c r="U32" i="348"/>
  <c r="T32" i="348"/>
  <c r="I32" i="348"/>
  <c r="H32" i="348"/>
  <c r="V32" i="348" s="1"/>
  <c r="G32" i="348"/>
  <c r="D32" i="348"/>
  <c r="C32" i="348"/>
  <c r="U31" i="348"/>
  <c r="T31" i="348"/>
  <c r="I31" i="348"/>
  <c r="H31" i="348"/>
  <c r="V31" i="348" s="1"/>
  <c r="G31" i="348"/>
  <c r="D31" i="348"/>
  <c r="C31" i="348"/>
  <c r="U30" i="348"/>
  <c r="T30" i="348"/>
  <c r="I30" i="348"/>
  <c r="H30" i="348"/>
  <c r="V30" i="348" s="1"/>
  <c r="G30" i="348"/>
  <c r="D30" i="348"/>
  <c r="C30" i="348"/>
  <c r="U29" i="348"/>
  <c r="T29" i="348"/>
  <c r="I29" i="348"/>
  <c r="H29" i="348"/>
  <c r="V29" i="348" s="1"/>
  <c r="G29" i="348"/>
  <c r="D29" i="348"/>
  <c r="C29" i="348"/>
  <c r="U28" i="348"/>
  <c r="T28" i="348"/>
  <c r="I28" i="348"/>
  <c r="H28" i="348"/>
  <c r="V28" i="348" s="1"/>
  <c r="G28" i="348"/>
  <c r="D28" i="348"/>
  <c r="C28" i="348"/>
  <c r="U27" i="348"/>
  <c r="T27" i="348"/>
  <c r="I27" i="348"/>
  <c r="H27" i="348"/>
  <c r="V27" i="348" s="1"/>
  <c r="G27" i="348"/>
  <c r="D27" i="348"/>
  <c r="C27" i="348"/>
  <c r="U26" i="348"/>
  <c r="T26" i="348"/>
  <c r="I26" i="348"/>
  <c r="H26" i="348"/>
  <c r="V26" i="348" s="1"/>
  <c r="G26" i="348"/>
  <c r="D26" i="348"/>
  <c r="C26" i="348"/>
  <c r="U25" i="348"/>
  <c r="T25" i="348"/>
  <c r="I25" i="348"/>
  <c r="H25" i="348"/>
  <c r="V25" i="348" s="1"/>
  <c r="G25" i="348"/>
  <c r="D25" i="348"/>
  <c r="C25" i="348"/>
  <c r="U24" i="348"/>
  <c r="T24" i="348"/>
  <c r="I24" i="348"/>
  <c r="H24" i="348"/>
  <c r="V24" i="348" s="1"/>
  <c r="G24" i="348"/>
  <c r="D24" i="348"/>
  <c r="C24" i="348"/>
  <c r="U23" i="348"/>
  <c r="T23" i="348"/>
  <c r="I23" i="348"/>
  <c r="H23" i="348"/>
  <c r="V23" i="348" s="1"/>
  <c r="G23" i="348"/>
  <c r="D23" i="348"/>
  <c r="C23" i="348"/>
  <c r="AO22" i="348"/>
  <c r="AN22" i="348"/>
  <c r="AM22" i="348"/>
  <c r="AL22" i="348"/>
  <c r="AK22" i="348"/>
  <c r="U22" i="348"/>
  <c r="T22" i="348"/>
  <c r="R22" i="348"/>
  <c r="AD22" i="348" s="1"/>
  <c r="I22" i="348"/>
  <c r="H22" i="348"/>
  <c r="V22" i="348" s="1"/>
  <c r="G22" i="348"/>
  <c r="D22" i="348"/>
  <c r="C22" i="348"/>
  <c r="AO21" i="348"/>
  <c r="AN21" i="348"/>
  <c r="AM21" i="348"/>
  <c r="AL21" i="348"/>
  <c r="AK21" i="348"/>
  <c r="U21" i="348"/>
  <c r="T21" i="348"/>
  <c r="R21" i="348"/>
  <c r="AD21" i="348" s="1"/>
  <c r="I21" i="348"/>
  <c r="H21" i="348"/>
  <c r="V21" i="348" s="1"/>
  <c r="G21" i="348"/>
  <c r="D21" i="348"/>
  <c r="C21" i="348"/>
  <c r="AO20" i="348"/>
  <c r="AN20" i="348"/>
  <c r="AM20" i="348"/>
  <c r="AL20" i="348"/>
  <c r="AK20" i="348"/>
  <c r="U20" i="348"/>
  <c r="T20" i="348"/>
  <c r="R20" i="348"/>
  <c r="I20" i="348"/>
  <c r="H20" i="348"/>
  <c r="V20" i="348" s="1"/>
  <c r="G20" i="348"/>
  <c r="D20" i="348"/>
  <c r="C20" i="348"/>
  <c r="AO19" i="348"/>
  <c r="AN19" i="348"/>
  <c r="AM19" i="348"/>
  <c r="AL19" i="348"/>
  <c r="AK19" i="348"/>
  <c r="U19" i="348"/>
  <c r="T19" i="348"/>
  <c r="R19" i="348"/>
  <c r="AD19" i="348" s="1"/>
  <c r="I19" i="348"/>
  <c r="H19" i="348"/>
  <c r="V19" i="348" s="1"/>
  <c r="G19" i="348"/>
  <c r="D19" i="348"/>
  <c r="C19" i="348"/>
  <c r="AO18" i="348"/>
  <c r="AN18" i="348"/>
  <c r="AM18" i="348"/>
  <c r="AL18" i="348"/>
  <c r="AK18" i="348"/>
  <c r="U18" i="348"/>
  <c r="T18" i="348"/>
  <c r="R18" i="348"/>
  <c r="I18" i="348"/>
  <c r="H18" i="348"/>
  <c r="V18" i="348" s="1"/>
  <c r="G18" i="348"/>
  <c r="D18" i="348"/>
  <c r="C18" i="348"/>
  <c r="AO17" i="348"/>
  <c r="AN17" i="348"/>
  <c r="AM17" i="348"/>
  <c r="AL17" i="348"/>
  <c r="AK17" i="348"/>
  <c r="U17" i="348"/>
  <c r="T17" i="348"/>
  <c r="R17" i="348"/>
  <c r="AD17" i="348" s="1"/>
  <c r="I17" i="348"/>
  <c r="H17" i="348"/>
  <c r="V17" i="348" s="1"/>
  <c r="G17" i="348"/>
  <c r="D17" i="348"/>
  <c r="C17" i="348"/>
  <c r="AO16" i="348"/>
  <c r="AN16" i="348"/>
  <c r="AM16" i="348"/>
  <c r="AL16" i="348"/>
  <c r="AK16" i="348"/>
  <c r="AD16" i="348"/>
  <c r="U16" i="348"/>
  <c r="T16" i="348"/>
  <c r="R16" i="348"/>
  <c r="I16" i="348"/>
  <c r="H16" i="348"/>
  <c r="V16" i="348" s="1"/>
  <c r="G16" i="348"/>
  <c r="D16" i="348"/>
  <c r="C16" i="348"/>
  <c r="AO15" i="348"/>
  <c r="AN15" i="348"/>
  <c r="AM15" i="348"/>
  <c r="AL15" i="348"/>
  <c r="AK15" i="348"/>
  <c r="U15" i="348"/>
  <c r="T15" i="348"/>
  <c r="R15" i="348"/>
  <c r="AD15" i="348" s="1"/>
  <c r="I15" i="348"/>
  <c r="H15" i="348"/>
  <c r="V15" i="348" s="1"/>
  <c r="G15" i="348"/>
  <c r="D15" i="348"/>
  <c r="C15" i="348"/>
  <c r="AO14" i="348"/>
  <c r="AN14" i="348"/>
  <c r="AM14" i="348"/>
  <c r="AL14" i="348"/>
  <c r="AK14" i="348"/>
  <c r="AD14" i="348"/>
  <c r="U14" i="348"/>
  <c r="T14" i="348"/>
  <c r="R14" i="348"/>
  <c r="AD20" i="348" s="1"/>
  <c r="I14" i="348"/>
  <c r="H14" i="348"/>
  <c r="V14" i="348" s="1"/>
  <c r="G14" i="348"/>
  <c r="D14" i="348"/>
  <c r="C14" i="348"/>
  <c r="AO13" i="348"/>
  <c r="AN13" i="348"/>
  <c r="AM13" i="348"/>
  <c r="AL13" i="348"/>
  <c r="AK13" i="348"/>
  <c r="U13" i="348"/>
  <c r="T13" i="348"/>
  <c r="R13" i="348"/>
  <c r="AD13" i="348" s="1"/>
  <c r="I13" i="348"/>
  <c r="H13" i="348"/>
  <c r="V13" i="348" s="1"/>
  <c r="G13" i="348"/>
  <c r="D13" i="348"/>
  <c r="C13" i="348"/>
  <c r="U12" i="348"/>
  <c r="T12" i="348"/>
  <c r="I12" i="348"/>
  <c r="H12" i="348"/>
  <c r="V12" i="348" s="1"/>
  <c r="G12" i="348"/>
  <c r="D12" i="348"/>
  <c r="C12" i="348"/>
  <c r="U11" i="348"/>
  <c r="T11" i="348"/>
  <c r="R11" i="348"/>
  <c r="I11" i="348"/>
  <c r="H11" i="348"/>
  <c r="V11" i="348" s="1"/>
  <c r="G11" i="348"/>
  <c r="D11" i="348"/>
  <c r="C11" i="348"/>
  <c r="U10" i="348"/>
  <c r="T10" i="348"/>
  <c r="I10" i="348"/>
  <c r="H10" i="348"/>
  <c r="V10" i="348" s="1"/>
  <c r="G10" i="348"/>
  <c r="D10" i="348"/>
  <c r="C10" i="348"/>
  <c r="U9" i="348"/>
  <c r="T9" i="348"/>
  <c r="I9" i="348"/>
  <c r="H9" i="348"/>
  <c r="V9" i="348" s="1"/>
  <c r="G9" i="348"/>
  <c r="D9" i="348"/>
  <c r="C9" i="348"/>
  <c r="AO8" i="348"/>
  <c r="AN8" i="348"/>
  <c r="AM8" i="348"/>
  <c r="AC8" i="348"/>
  <c r="AB8" i="348"/>
  <c r="AA8" i="348"/>
  <c r="Z8" i="348"/>
  <c r="Y8" i="348"/>
  <c r="U8" i="348"/>
  <c r="T8" i="348"/>
  <c r="I8" i="348"/>
  <c r="H8" i="348"/>
  <c r="V8" i="348" s="1"/>
  <c r="G8" i="348"/>
  <c r="D8" i="348"/>
  <c r="C8" i="348"/>
  <c r="AG7" i="348"/>
  <c r="U7" i="348"/>
  <c r="T7" i="348"/>
  <c r="I7" i="348"/>
  <c r="H7" i="348"/>
  <c r="V7" i="348" s="1"/>
  <c r="G7" i="348"/>
  <c r="D7" i="348"/>
  <c r="C7" i="348"/>
  <c r="AL8" i="348" s="1"/>
  <c r="U6" i="348"/>
  <c r="T6" i="348"/>
  <c r="I6" i="348"/>
  <c r="H6" i="348"/>
  <c r="V6" i="348" s="1"/>
  <c r="G6" i="348"/>
  <c r="D6" i="348"/>
  <c r="C6" i="348"/>
  <c r="AK8" i="348" s="1"/>
  <c r="AJ5" i="348"/>
  <c r="AA7" i="348" s="1"/>
  <c r="AI5" i="348"/>
  <c r="Y22" i="348" s="1"/>
  <c r="AG3" i="348"/>
  <c r="C2" i="348" a="1"/>
  <c r="C2" i="348" s="1"/>
  <c r="B2" i="348" a="1"/>
  <c r="B2" i="348" s="1"/>
  <c r="C1" i="348"/>
  <c r="B1" i="348"/>
  <c r="U105" i="347"/>
  <c r="T105" i="347"/>
  <c r="I105" i="347"/>
  <c r="H105" i="347"/>
  <c r="V105" i="347" s="1"/>
  <c r="G105" i="347"/>
  <c r="D105" i="347"/>
  <c r="C105" i="347"/>
  <c r="U104" i="347"/>
  <c r="T104" i="347"/>
  <c r="I104" i="347"/>
  <c r="H104" i="347"/>
  <c r="V104" i="347" s="1"/>
  <c r="G104" i="347"/>
  <c r="D104" i="347"/>
  <c r="C104" i="347"/>
  <c r="U103" i="347"/>
  <c r="T103" i="347"/>
  <c r="I103" i="347"/>
  <c r="H103" i="347"/>
  <c r="V103" i="347" s="1"/>
  <c r="G103" i="347"/>
  <c r="D103" i="347"/>
  <c r="C103" i="347"/>
  <c r="U102" i="347"/>
  <c r="T102" i="347"/>
  <c r="I102" i="347"/>
  <c r="H102" i="347"/>
  <c r="V102" i="347" s="1"/>
  <c r="G102" i="347"/>
  <c r="D102" i="347"/>
  <c r="C102" i="347"/>
  <c r="U101" i="347"/>
  <c r="T101" i="347"/>
  <c r="I101" i="347"/>
  <c r="H101" i="347"/>
  <c r="V101" i="347" s="1"/>
  <c r="G101" i="347"/>
  <c r="D101" i="347"/>
  <c r="C101" i="347"/>
  <c r="U100" i="347"/>
  <c r="T100" i="347"/>
  <c r="I100" i="347"/>
  <c r="H100" i="347"/>
  <c r="V100" i="347" s="1"/>
  <c r="G100" i="347"/>
  <c r="D100" i="347"/>
  <c r="C100" i="347"/>
  <c r="U99" i="347"/>
  <c r="T99" i="347"/>
  <c r="I99" i="347"/>
  <c r="H99" i="347"/>
  <c r="V99" i="347" s="1"/>
  <c r="G99" i="347"/>
  <c r="D99" i="347"/>
  <c r="C99" i="347"/>
  <c r="U98" i="347"/>
  <c r="T98" i="347"/>
  <c r="I98" i="347"/>
  <c r="H98" i="347"/>
  <c r="V98" i="347" s="1"/>
  <c r="G98" i="347"/>
  <c r="D98" i="347"/>
  <c r="C98" i="347"/>
  <c r="U97" i="347"/>
  <c r="T97" i="347"/>
  <c r="I97" i="347"/>
  <c r="H97" i="347"/>
  <c r="V97" i="347" s="1"/>
  <c r="G97" i="347"/>
  <c r="D97" i="347"/>
  <c r="C97" i="347"/>
  <c r="U96" i="347"/>
  <c r="T96" i="347"/>
  <c r="I96" i="347"/>
  <c r="H96" i="347"/>
  <c r="V96" i="347" s="1"/>
  <c r="G96" i="347"/>
  <c r="D96" i="347"/>
  <c r="C96" i="347"/>
  <c r="U95" i="347"/>
  <c r="T95" i="347"/>
  <c r="I95" i="347"/>
  <c r="H95" i="347"/>
  <c r="V95" i="347" s="1"/>
  <c r="G95" i="347"/>
  <c r="D95" i="347"/>
  <c r="C95" i="347"/>
  <c r="U94" i="347"/>
  <c r="T94" i="347"/>
  <c r="I94" i="347"/>
  <c r="H94" i="347"/>
  <c r="V94" i="347" s="1"/>
  <c r="G94" i="347"/>
  <c r="D94" i="347"/>
  <c r="C94" i="347"/>
  <c r="U93" i="347"/>
  <c r="T93" i="347"/>
  <c r="I93" i="347"/>
  <c r="H93" i="347"/>
  <c r="V93" i="347" s="1"/>
  <c r="G93" i="347"/>
  <c r="D93" i="347"/>
  <c r="C93" i="347"/>
  <c r="U92" i="347"/>
  <c r="T92" i="347"/>
  <c r="I92" i="347"/>
  <c r="H92" i="347"/>
  <c r="V92" i="347" s="1"/>
  <c r="G92" i="347"/>
  <c r="D92" i="347"/>
  <c r="C92" i="347"/>
  <c r="U91" i="347"/>
  <c r="T91" i="347"/>
  <c r="I91" i="347"/>
  <c r="H91" i="347"/>
  <c r="V91" i="347" s="1"/>
  <c r="G91" i="347"/>
  <c r="D91" i="347"/>
  <c r="C91" i="347"/>
  <c r="U90" i="347"/>
  <c r="T90" i="347"/>
  <c r="I90" i="347"/>
  <c r="H90" i="347"/>
  <c r="V90" i="347" s="1"/>
  <c r="G90" i="347"/>
  <c r="D90" i="347"/>
  <c r="C90" i="347"/>
  <c r="U89" i="347"/>
  <c r="T89" i="347"/>
  <c r="I89" i="347"/>
  <c r="H89" i="347"/>
  <c r="V89" i="347" s="1"/>
  <c r="G89" i="347"/>
  <c r="D89" i="347"/>
  <c r="C89" i="347"/>
  <c r="U88" i="347"/>
  <c r="T88" i="347"/>
  <c r="I88" i="347"/>
  <c r="H88" i="347"/>
  <c r="V88" i="347" s="1"/>
  <c r="G88" i="347"/>
  <c r="D88" i="347"/>
  <c r="C88" i="347"/>
  <c r="U87" i="347"/>
  <c r="T87" i="347"/>
  <c r="I87" i="347"/>
  <c r="H87" i="347"/>
  <c r="V87" i="347" s="1"/>
  <c r="G87" i="347"/>
  <c r="D87" i="347"/>
  <c r="C87" i="347"/>
  <c r="U86" i="347"/>
  <c r="T86" i="347"/>
  <c r="I86" i="347"/>
  <c r="H86" i="347"/>
  <c r="V86" i="347" s="1"/>
  <c r="G86" i="347"/>
  <c r="D86" i="347"/>
  <c r="C86" i="347"/>
  <c r="U85" i="347"/>
  <c r="T85" i="347"/>
  <c r="I85" i="347"/>
  <c r="H85" i="347"/>
  <c r="V85" i="347" s="1"/>
  <c r="G85" i="347"/>
  <c r="D85" i="347"/>
  <c r="C85" i="347"/>
  <c r="U84" i="347"/>
  <c r="T84" i="347"/>
  <c r="I84" i="347"/>
  <c r="H84" i="347"/>
  <c r="V84" i="347" s="1"/>
  <c r="G84" i="347"/>
  <c r="D84" i="347"/>
  <c r="C84" i="347"/>
  <c r="U83" i="347"/>
  <c r="T83" i="347"/>
  <c r="I83" i="347"/>
  <c r="H83" i="347"/>
  <c r="V83" i="347" s="1"/>
  <c r="G83" i="347"/>
  <c r="D83" i="347"/>
  <c r="C83" i="347"/>
  <c r="U82" i="347"/>
  <c r="T82" i="347"/>
  <c r="I82" i="347"/>
  <c r="H82" i="347"/>
  <c r="V82" i="347" s="1"/>
  <c r="G82" i="347"/>
  <c r="D82" i="347"/>
  <c r="C82" i="347"/>
  <c r="U81" i="347"/>
  <c r="T81" i="347"/>
  <c r="I81" i="347"/>
  <c r="H81" i="347"/>
  <c r="V81" i="347" s="1"/>
  <c r="G81" i="347"/>
  <c r="D81" i="347"/>
  <c r="C81" i="347"/>
  <c r="U80" i="347"/>
  <c r="T80" i="347"/>
  <c r="I80" i="347"/>
  <c r="H80" i="347"/>
  <c r="V80" i="347" s="1"/>
  <c r="G80" i="347"/>
  <c r="D80" i="347"/>
  <c r="C80" i="347"/>
  <c r="U79" i="347"/>
  <c r="T79" i="347"/>
  <c r="I79" i="347"/>
  <c r="H79" i="347"/>
  <c r="V79" i="347" s="1"/>
  <c r="G79" i="347"/>
  <c r="D79" i="347"/>
  <c r="C79" i="347"/>
  <c r="U78" i="347"/>
  <c r="T78" i="347"/>
  <c r="I78" i="347"/>
  <c r="H78" i="347"/>
  <c r="V78" i="347" s="1"/>
  <c r="G78" i="347"/>
  <c r="D78" i="347"/>
  <c r="C78" i="347"/>
  <c r="U77" i="347"/>
  <c r="T77" i="347"/>
  <c r="I77" i="347"/>
  <c r="H77" i="347"/>
  <c r="V77" i="347" s="1"/>
  <c r="G77" i="347"/>
  <c r="D77" i="347"/>
  <c r="C77" i="347"/>
  <c r="U76" i="347"/>
  <c r="T76" i="347"/>
  <c r="I76" i="347"/>
  <c r="H76" i="347"/>
  <c r="V76" i="347" s="1"/>
  <c r="G76" i="347"/>
  <c r="D76" i="347"/>
  <c r="C76" i="347"/>
  <c r="U75" i="347"/>
  <c r="T75" i="347"/>
  <c r="I75" i="347"/>
  <c r="H75" i="347"/>
  <c r="V75" i="347" s="1"/>
  <c r="G75" i="347"/>
  <c r="D75" i="347"/>
  <c r="C75" i="347"/>
  <c r="AB74" i="347"/>
  <c r="AA74" i="347"/>
  <c r="Z74" i="347"/>
  <c r="Y74" i="347"/>
  <c r="X74" i="347"/>
  <c r="U74" i="347"/>
  <c r="T74" i="347"/>
  <c r="I74" i="347"/>
  <c r="H74" i="347"/>
  <c r="V74" i="347" s="1"/>
  <c r="G74" i="347"/>
  <c r="D74" i="347"/>
  <c r="C74" i="347"/>
  <c r="AB73" i="347"/>
  <c r="AA73" i="347"/>
  <c r="Z73" i="347"/>
  <c r="Y73" i="347"/>
  <c r="X73" i="347"/>
  <c r="U73" i="347"/>
  <c r="T73" i="347"/>
  <c r="I73" i="347"/>
  <c r="H73" i="347"/>
  <c r="V73" i="347" s="1"/>
  <c r="G73" i="347"/>
  <c r="D73" i="347"/>
  <c r="C73" i="347"/>
  <c r="AB72" i="347"/>
  <c r="AA72" i="347"/>
  <c r="Z72" i="347"/>
  <c r="Y72" i="347"/>
  <c r="X72" i="347"/>
  <c r="U72" i="347"/>
  <c r="T72" i="347"/>
  <c r="I72" i="347"/>
  <c r="H72" i="347"/>
  <c r="V72" i="347" s="1"/>
  <c r="G72" i="347"/>
  <c r="D72" i="347"/>
  <c r="C72" i="347"/>
  <c r="AB71" i="347"/>
  <c r="AA71" i="347"/>
  <c r="Z71" i="347"/>
  <c r="Y71" i="347"/>
  <c r="X71" i="347"/>
  <c r="U71" i="347"/>
  <c r="T71" i="347"/>
  <c r="I71" i="347"/>
  <c r="H71" i="347"/>
  <c r="V71" i="347" s="1"/>
  <c r="G71" i="347"/>
  <c r="D71" i="347"/>
  <c r="C71" i="347"/>
  <c r="AB70" i="347"/>
  <c r="AA70" i="347"/>
  <c r="Z70" i="347"/>
  <c r="Y70" i="347"/>
  <c r="X70" i="347"/>
  <c r="U70" i="347"/>
  <c r="T70" i="347"/>
  <c r="I70" i="347"/>
  <c r="H70" i="347"/>
  <c r="V70" i="347" s="1"/>
  <c r="G70" i="347"/>
  <c r="D70" i="347"/>
  <c r="C70" i="347"/>
  <c r="AB69" i="347"/>
  <c r="AA69" i="347"/>
  <c r="Z69" i="347"/>
  <c r="Y69" i="347"/>
  <c r="X69" i="347"/>
  <c r="U69" i="347"/>
  <c r="T69" i="347"/>
  <c r="I69" i="347"/>
  <c r="H69" i="347"/>
  <c r="V69" i="347" s="1"/>
  <c r="G69" i="347"/>
  <c r="D69" i="347"/>
  <c r="C69" i="347"/>
  <c r="AB68" i="347"/>
  <c r="AA68" i="347"/>
  <c r="Z68" i="347"/>
  <c r="Y68" i="347"/>
  <c r="X68" i="347"/>
  <c r="U68" i="347"/>
  <c r="T68" i="347"/>
  <c r="I68" i="347"/>
  <c r="H68" i="347"/>
  <c r="V68" i="347" s="1"/>
  <c r="G68" i="347"/>
  <c r="D68" i="347"/>
  <c r="C68" i="347"/>
  <c r="AB67" i="347"/>
  <c r="AA67" i="347"/>
  <c r="Z67" i="347"/>
  <c r="Y67" i="347"/>
  <c r="X67" i="347"/>
  <c r="U67" i="347"/>
  <c r="T67" i="347"/>
  <c r="I67" i="347"/>
  <c r="H67" i="347"/>
  <c r="V67" i="347" s="1"/>
  <c r="G67" i="347"/>
  <c r="D67" i="347"/>
  <c r="C67" i="347"/>
  <c r="AB66" i="347"/>
  <c r="AA66" i="347"/>
  <c r="Z66" i="347"/>
  <c r="Y66" i="347"/>
  <c r="X66" i="347"/>
  <c r="U66" i="347"/>
  <c r="T66" i="347"/>
  <c r="I66" i="347"/>
  <c r="H66" i="347"/>
  <c r="V66" i="347" s="1"/>
  <c r="G66" i="347"/>
  <c r="D66" i="347"/>
  <c r="C66" i="347"/>
  <c r="AB65" i="347"/>
  <c r="AA65" i="347"/>
  <c r="Z65" i="347"/>
  <c r="Y65" i="347"/>
  <c r="X65" i="347"/>
  <c r="U65" i="347"/>
  <c r="T65" i="347"/>
  <c r="I65" i="347"/>
  <c r="H65" i="347"/>
  <c r="V65" i="347" s="1"/>
  <c r="G65" i="347"/>
  <c r="D65" i="347"/>
  <c r="C65" i="347"/>
  <c r="U64" i="347"/>
  <c r="T64" i="347"/>
  <c r="I64" i="347"/>
  <c r="H64" i="347"/>
  <c r="V64" i="347" s="1"/>
  <c r="G64" i="347"/>
  <c r="D64" i="347"/>
  <c r="C64" i="347"/>
  <c r="U63" i="347"/>
  <c r="T63" i="347"/>
  <c r="I63" i="347"/>
  <c r="H63" i="347"/>
  <c r="V63" i="347" s="1"/>
  <c r="G63" i="347"/>
  <c r="D63" i="347"/>
  <c r="C63" i="347"/>
  <c r="U62" i="347"/>
  <c r="T62" i="347"/>
  <c r="I62" i="347"/>
  <c r="H62" i="347"/>
  <c r="V62" i="347" s="1"/>
  <c r="G62" i="347"/>
  <c r="D62" i="347"/>
  <c r="C62" i="347"/>
  <c r="AB61" i="347"/>
  <c r="AA61" i="347"/>
  <c r="Z61" i="347"/>
  <c r="Y61" i="347"/>
  <c r="X61" i="347"/>
  <c r="U61" i="347"/>
  <c r="T61" i="347"/>
  <c r="I61" i="347"/>
  <c r="H61" i="347"/>
  <c r="V61" i="347" s="1"/>
  <c r="G61" i="347"/>
  <c r="D61" i="347"/>
  <c r="C61" i="347"/>
  <c r="AB60" i="347"/>
  <c r="AA60" i="347"/>
  <c r="Z60" i="347"/>
  <c r="Y60" i="347"/>
  <c r="X60" i="347"/>
  <c r="U60" i="347"/>
  <c r="T60" i="347"/>
  <c r="I60" i="347"/>
  <c r="H60" i="347"/>
  <c r="V60" i="347" s="1"/>
  <c r="G60" i="347"/>
  <c r="D60" i="347"/>
  <c r="C60" i="347"/>
  <c r="AB59" i="347"/>
  <c r="AA59" i="347"/>
  <c r="Z59" i="347"/>
  <c r="Y59" i="347"/>
  <c r="X59" i="347"/>
  <c r="U59" i="347"/>
  <c r="T59" i="347"/>
  <c r="I59" i="347"/>
  <c r="H59" i="347"/>
  <c r="V59" i="347" s="1"/>
  <c r="G59" i="347"/>
  <c r="D59" i="347"/>
  <c r="C59" i="347"/>
  <c r="AB58" i="347"/>
  <c r="AA58" i="347"/>
  <c r="Z58" i="347"/>
  <c r="Y58" i="347"/>
  <c r="X58" i="347"/>
  <c r="U58" i="347"/>
  <c r="T58" i="347"/>
  <c r="I58" i="347"/>
  <c r="H58" i="347"/>
  <c r="V58" i="347" s="1"/>
  <c r="G58" i="347"/>
  <c r="D58" i="347"/>
  <c r="C58" i="347"/>
  <c r="AB57" i="347"/>
  <c r="AA57" i="347"/>
  <c r="Z57" i="347"/>
  <c r="Y57" i="347"/>
  <c r="X57" i="347"/>
  <c r="U57" i="347"/>
  <c r="T57" i="347"/>
  <c r="I57" i="347"/>
  <c r="H57" i="347"/>
  <c r="V57" i="347" s="1"/>
  <c r="G57" i="347"/>
  <c r="D57" i="347"/>
  <c r="C57" i="347"/>
  <c r="AB56" i="347"/>
  <c r="AA56" i="347"/>
  <c r="Z56" i="347"/>
  <c r="Y56" i="347"/>
  <c r="X56" i="347"/>
  <c r="U56" i="347"/>
  <c r="T56" i="347"/>
  <c r="I56" i="347"/>
  <c r="H56" i="347"/>
  <c r="V56" i="347" s="1"/>
  <c r="G56" i="347"/>
  <c r="D56" i="347"/>
  <c r="C56" i="347"/>
  <c r="AB55" i="347"/>
  <c r="AA55" i="347"/>
  <c r="Z55" i="347"/>
  <c r="Y55" i="347"/>
  <c r="X55" i="347"/>
  <c r="U55" i="347"/>
  <c r="T55" i="347"/>
  <c r="I55" i="347"/>
  <c r="H55" i="347"/>
  <c r="V55" i="347" s="1"/>
  <c r="G55" i="347"/>
  <c r="D55" i="347"/>
  <c r="C55" i="347"/>
  <c r="AB54" i="347"/>
  <c r="AA54" i="347"/>
  <c r="Z54" i="347"/>
  <c r="Y54" i="347"/>
  <c r="X54" i="347"/>
  <c r="U54" i="347"/>
  <c r="T54" i="347"/>
  <c r="I54" i="347"/>
  <c r="H54" i="347"/>
  <c r="V54" i="347" s="1"/>
  <c r="G54" i="347"/>
  <c r="D54" i="347"/>
  <c r="C54" i="347"/>
  <c r="AB53" i="347"/>
  <c r="AA53" i="347"/>
  <c r="Z53" i="347"/>
  <c r="Y53" i="347"/>
  <c r="X53" i="347"/>
  <c r="U53" i="347"/>
  <c r="T53" i="347"/>
  <c r="I53" i="347"/>
  <c r="H53" i="347"/>
  <c r="V53" i="347" s="1"/>
  <c r="G53" i="347"/>
  <c r="D53" i="347"/>
  <c r="C53" i="347"/>
  <c r="AB52" i="347"/>
  <c r="AA52" i="347"/>
  <c r="Z52" i="347"/>
  <c r="Y52" i="347"/>
  <c r="X52" i="347"/>
  <c r="U52" i="347"/>
  <c r="T52" i="347"/>
  <c r="I52" i="347"/>
  <c r="H52" i="347"/>
  <c r="V52" i="347" s="1"/>
  <c r="G52" i="347"/>
  <c r="D52" i="347"/>
  <c r="C52" i="347"/>
  <c r="U51" i="347"/>
  <c r="T51" i="347"/>
  <c r="I51" i="347"/>
  <c r="H51" i="347"/>
  <c r="V51" i="347" s="1"/>
  <c r="G51" i="347"/>
  <c r="D51" i="347"/>
  <c r="C51" i="347"/>
  <c r="U50" i="347"/>
  <c r="T50" i="347"/>
  <c r="I50" i="347"/>
  <c r="H50" i="347"/>
  <c r="V50" i="347" s="1"/>
  <c r="G50" i="347"/>
  <c r="D50" i="347"/>
  <c r="C50" i="347"/>
  <c r="U49" i="347"/>
  <c r="T49" i="347"/>
  <c r="I49" i="347"/>
  <c r="H49" i="347"/>
  <c r="V49" i="347" s="1"/>
  <c r="G49" i="347"/>
  <c r="D49" i="347"/>
  <c r="C49" i="347"/>
  <c r="U48" i="347"/>
  <c r="T48" i="347"/>
  <c r="I48" i="347"/>
  <c r="H48" i="347"/>
  <c r="V48" i="347" s="1"/>
  <c r="G48" i="347"/>
  <c r="D48" i="347"/>
  <c r="C48" i="347"/>
  <c r="U47" i="347"/>
  <c r="T47" i="347"/>
  <c r="I47" i="347"/>
  <c r="H47" i="347"/>
  <c r="V47" i="347" s="1"/>
  <c r="G47" i="347"/>
  <c r="D47" i="347"/>
  <c r="C47" i="347"/>
  <c r="U46" i="347"/>
  <c r="T46" i="347"/>
  <c r="I46" i="347"/>
  <c r="H46" i="347"/>
  <c r="V46" i="347" s="1"/>
  <c r="G46" i="347"/>
  <c r="D46" i="347"/>
  <c r="C46" i="347"/>
  <c r="U45" i="347"/>
  <c r="T45" i="347"/>
  <c r="I45" i="347"/>
  <c r="H45" i="347"/>
  <c r="V45" i="347" s="1"/>
  <c r="G45" i="347"/>
  <c r="D45" i="347"/>
  <c r="C45" i="347"/>
  <c r="U44" i="347"/>
  <c r="T44" i="347"/>
  <c r="I44" i="347"/>
  <c r="H44" i="347"/>
  <c r="V44" i="347" s="1"/>
  <c r="G44" i="347"/>
  <c r="D44" i="347"/>
  <c r="C44" i="347"/>
  <c r="U43" i="347"/>
  <c r="T43" i="347"/>
  <c r="I43" i="347"/>
  <c r="H43" i="347"/>
  <c r="V43" i="347" s="1"/>
  <c r="G43" i="347"/>
  <c r="D43" i="347"/>
  <c r="C43" i="347"/>
  <c r="U42" i="347"/>
  <c r="T42" i="347"/>
  <c r="I42" i="347"/>
  <c r="H42" i="347"/>
  <c r="V42" i="347" s="1"/>
  <c r="G42" i="347"/>
  <c r="D42" i="347"/>
  <c r="C42" i="347"/>
  <c r="U41" i="347"/>
  <c r="T41" i="347"/>
  <c r="I41" i="347"/>
  <c r="H41" i="347"/>
  <c r="V41" i="347" s="1"/>
  <c r="G41" i="347"/>
  <c r="D41" i="347"/>
  <c r="C41" i="347"/>
  <c r="U40" i="347"/>
  <c r="T40" i="347"/>
  <c r="I40" i="347"/>
  <c r="H40" i="347"/>
  <c r="V40" i="347" s="1"/>
  <c r="G40" i="347"/>
  <c r="D40" i="347"/>
  <c r="C40" i="347"/>
  <c r="U39" i="347"/>
  <c r="T39" i="347"/>
  <c r="I39" i="347"/>
  <c r="H39" i="347"/>
  <c r="V39" i="347" s="1"/>
  <c r="G39" i="347"/>
  <c r="D39" i="347"/>
  <c r="C39" i="347"/>
  <c r="U38" i="347"/>
  <c r="T38" i="347"/>
  <c r="I38" i="347"/>
  <c r="H38" i="347"/>
  <c r="V38" i="347" s="1"/>
  <c r="G38" i="347"/>
  <c r="D38" i="347"/>
  <c r="C38" i="347"/>
  <c r="U37" i="347"/>
  <c r="T37" i="347"/>
  <c r="I37" i="347"/>
  <c r="H37" i="347"/>
  <c r="V37" i="347" s="1"/>
  <c r="G37" i="347"/>
  <c r="D37" i="347"/>
  <c r="C37" i="347"/>
  <c r="U36" i="347"/>
  <c r="T36" i="347"/>
  <c r="I36" i="347"/>
  <c r="H36" i="347"/>
  <c r="V36" i="347" s="1"/>
  <c r="G36" i="347"/>
  <c r="D36" i="347"/>
  <c r="C36" i="347"/>
  <c r="U35" i="347"/>
  <c r="T35" i="347"/>
  <c r="I35" i="347"/>
  <c r="H35" i="347"/>
  <c r="V35" i="347" s="1"/>
  <c r="G35" i="347"/>
  <c r="D35" i="347"/>
  <c r="C35" i="347"/>
  <c r="U34" i="347"/>
  <c r="T34" i="347"/>
  <c r="I34" i="347"/>
  <c r="H34" i="347"/>
  <c r="V34" i="347" s="1"/>
  <c r="G34" i="347"/>
  <c r="D34" i="347"/>
  <c r="C34" i="347"/>
  <c r="U33" i="347"/>
  <c r="T33" i="347"/>
  <c r="I33" i="347"/>
  <c r="H33" i="347"/>
  <c r="V33" i="347" s="1"/>
  <c r="G33" i="347"/>
  <c r="D33" i="347"/>
  <c r="C33" i="347"/>
  <c r="U32" i="347"/>
  <c r="T32" i="347"/>
  <c r="I32" i="347"/>
  <c r="H32" i="347"/>
  <c r="V32" i="347" s="1"/>
  <c r="G32" i="347"/>
  <c r="D32" i="347"/>
  <c r="C32" i="347"/>
  <c r="U31" i="347"/>
  <c r="T31" i="347"/>
  <c r="I31" i="347"/>
  <c r="H31" i="347"/>
  <c r="V31" i="347" s="1"/>
  <c r="G31" i="347"/>
  <c r="D31" i="347"/>
  <c r="C31" i="347"/>
  <c r="U30" i="347"/>
  <c r="T30" i="347"/>
  <c r="I30" i="347"/>
  <c r="H30" i="347"/>
  <c r="V30" i="347" s="1"/>
  <c r="G30" i="347"/>
  <c r="D30" i="347"/>
  <c r="C30" i="347"/>
  <c r="U29" i="347"/>
  <c r="T29" i="347"/>
  <c r="I29" i="347"/>
  <c r="H29" i="347"/>
  <c r="V29" i="347" s="1"/>
  <c r="G29" i="347"/>
  <c r="D29" i="347"/>
  <c r="C29" i="347"/>
  <c r="U28" i="347"/>
  <c r="T28" i="347"/>
  <c r="I28" i="347"/>
  <c r="H28" i="347"/>
  <c r="V28" i="347" s="1"/>
  <c r="G28" i="347"/>
  <c r="D28" i="347"/>
  <c r="C28" i="347"/>
  <c r="U27" i="347"/>
  <c r="T27" i="347"/>
  <c r="I27" i="347"/>
  <c r="H27" i="347"/>
  <c r="V27" i="347" s="1"/>
  <c r="G27" i="347"/>
  <c r="D27" i="347"/>
  <c r="C27" i="347"/>
  <c r="U26" i="347"/>
  <c r="T26" i="347"/>
  <c r="I26" i="347"/>
  <c r="H26" i="347"/>
  <c r="V26" i="347" s="1"/>
  <c r="G26" i="347"/>
  <c r="D26" i="347"/>
  <c r="C26" i="347"/>
  <c r="U25" i="347"/>
  <c r="T25" i="347"/>
  <c r="I25" i="347"/>
  <c r="H25" i="347"/>
  <c r="V25" i="347" s="1"/>
  <c r="G25" i="347"/>
  <c r="D25" i="347"/>
  <c r="C25" i="347"/>
  <c r="U24" i="347"/>
  <c r="T24" i="347"/>
  <c r="I24" i="347"/>
  <c r="H24" i="347"/>
  <c r="V24" i="347" s="1"/>
  <c r="G24" i="347"/>
  <c r="D24" i="347"/>
  <c r="C24" i="347"/>
  <c r="U23" i="347"/>
  <c r="T23" i="347"/>
  <c r="I23" i="347"/>
  <c r="H23" i="347"/>
  <c r="V23" i="347" s="1"/>
  <c r="G23" i="347"/>
  <c r="D23" i="347"/>
  <c r="C23" i="347"/>
  <c r="AO22" i="347"/>
  <c r="AN22" i="347"/>
  <c r="AM22" i="347"/>
  <c r="AL22" i="347"/>
  <c r="AK22" i="347"/>
  <c r="U22" i="347"/>
  <c r="T22" i="347"/>
  <c r="R22" i="347"/>
  <c r="AD22" i="347" s="1"/>
  <c r="I22" i="347"/>
  <c r="H22" i="347"/>
  <c r="V22" i="347" s="1"/>
  <c r="G22" i="347"/>
  <c r="D22" i="347"/>
  <c r="C22" i="347"/>
  <c r="AO21" i="347"/>
  <c r="AN21" i="347"/>
  <c r="AM21" i="347"/>
  <c r="AL21" i="347"/>
  <c r="AK21" i="347"/>
  <c r="U21" i="347"/>
  <c r="T21" i="347"/>
  <c r="R21" i="347"/>
  <c r="AD21" i="347" s="1"/>
  <c r="I21" i="347"/>
  <c r="H21" i="347"/>
  <c r="V21" i="347" s="1"/>
  <c r="G21" i="347"/>
  <c r="D21" i="347"/>
  <c r="C21" i="347"/>
  <c r="AO20" i="347"/>
  <c r="AN20" i="347"/>
  <c r="AM20" i="347"/>
  <c r="AL20" i="347"/>
  <c r="AK20" i="347"/>
  <c r="U20" i="347"/>
  <c r="T20" i="347"/>
  <c r="R20" i="347"/>
  <c r="I20" i="347"/>
  <c r="H20" i="347"/>
  <c r="V20" i="347" s="1"/>
  <c r="G20" i="347"/>
  <c r="D20" i="347"/>
  <c r="C20" i="347"/>
  <c r="AO19" i="347"/>
  <c r="AN19" i="347"/>
  <c r="AM19" i="347"/>
  <c r="AL19" i="347"/>
  <c r="AK19" i="347"/>
  <c r="U19" i="347"/>
  <c r="T19" i="347"/>
  <c r="R19" i="347"/>
  <c r="AD19" i="347" s="1"/>
  <c r="I19" i="347"/>
  <c r="H19" i="347"/>
  <c r="V19" i="347" s="1"/>
  <c r="G19" i="347"/>
  <c r="D19" i="347"/>
  <c r="C19" i="347"/>
  <c r="AO18" i="347"/>
  <c r="AN18" i="347"/>
  <c r="AM18" i="347"/>
  <c r="AL18" i="347"/>
  <c r="AK18" i="347"/>
  <c r="U18" i="347"/>
  <c r="T18" i="347"/>
  <c r="R18" i="347"/>
  <c r="I18" i="347"/>
  <c r="H18" i="347"/>
  <c r="V18" i="347" s="1"/>
  <c r="G18" i="347"/>
  <c r="D18" i="347"/>
  <c r="C18" i="347"/>
  <c r="AO17" i="347"/>
  <c r="AN17" i="347"/>
  <c r="AM17" i="347"/>
  <c r="AL17" i="347"/>
  <c r="AK17" i="347"/>
  <c r="U17" i="347"/>
  <c r="T17" i="347"/>
  <c r="R17" i="347"/>
  <c r="AD17" i="347" s="1"/>
  <c r="I17" i="347"/>
  <c r="H17" i="347"/>
  <c r="V17" i="347" s="1"/>
  <c r="G17" i="347"/>
  <c r="D17" i="347"/>
  <c r="C17" i="347"/>
  <c r="AO16" i="347"/>
  <c r="AN16" i="347"/>
  <c r="AM16" i="347"/>
  <c r="AL16" i="347"/>
  <c r="AK16" i="347"/>
  <c r="U16" i="347"/>
  <c r="T16" i="347"/>
  <c r="R16" i="347"/>
  <c r="I16" i="347"/>
  <c r="H16" i="347"/>
  <c r="V16" i="347" s="1"/>
  <c r="G16" i="347"/>
  <c r="D16" i="347"/>
  <c r="C16" i="347"/>
  <c r="AO15" i="347"/>
  <c r="AN15" i="347"/>
  <c r="AM15" i="347"/>
  <c r="AL15" i="347"/>
  <c r="AK15" i="347"/>
  <c r="U15" i="347"/>
  <c r="T15" i="347"/>
  <c r="R15" i="347"/>
  <c r="AD15" i="347" s="1"/>
  <c r="I15" i="347"/>
  <c r="H15" i="347"/>
  <c r="V15" i="347" s="1"/>
  <c r="G15" i="347"/>
  <c r="D15" i="347"/>
  <c r="C15" i="347"/>
  <c r="AO14" i="347"/>
  <c r="AN14" i="347"/>
  <c r="AM14" i="347"/>
  <c r="AL14" i="347"/>
  <c r="AK14" i="347"/>
  <c r="AD14" i="347"/>
  <c r="U14" i="347"/>
  <c r="T14" i="347"/>
  <c r="R14" i="347"/>
  <c r="I14" i="347"/>
  <c r="H14" i="347"/>
  <c r="V14" i="347" s="1"/>
  <c r="G14" i="347"/>
  <c r="D14" i="347"/>
  <c r="C14" i="347"/>
  <c r="AO13" i="347"/>
  <c r="AN13" i="347"/>
  <c r="AM13" i="347"/>
  <c r="AL13" i="347"/>
  <c r="AK13" i="347"/>
  <c r="U13" i="347"/>
  <c r="T13" i="347"/>
  <c r="R13" i="347"/>
  <c r="AD20" i="347" s="1"/>
  <c r="I13" i="347"/>
  <c r="H13" i="347"/>
  <c r="V13" i="347" s="1"/>
  <c r="G13" i="347"/>
  <c r="D13" i="347"/>
  <c r="C13" i="347"/>
  <c r="U12" i="347"/>
  <c r="T12" i="347"/>
  <c r="I12" i="347"/>
  <c r="H12" i="347"/>
  <c r="V12" i="347" s="1"/>
  <c r="G12" i="347"/>
  <c r="D12" i="347"/>
  <c r="C12" i="347"/>
  <c r="U11" i="347"/>
  <c r="T11" i="347"/>
  <c r="R11" i="347"/>
  <c r="I11" i="347"/>
  <c r="H11" i="347"/>
  <c r="V11" i="347" s="1"/>
  <c r="G11" i="347"/>
  <c r="D11" i="347"/>
  <c r="C11" i="347"/>
  <c r="U10" i="347"/>
  <c r="T10" i="347"/>
  <c r="I10" i="347"/>
  <c r="H10" i="347"/>
  <c r="V10" i="347" s="1"/>
  <c r="G10" i="347"/>
  <c r="D10" i="347"/>
  <c r="C10" i="347"/>
  <c r="U9" i="347"/>
  <c r="T9" i="347"/>
  <c r="I9" i="347"/>
  <c r="H9" i="347"/>
  <c r="V9" i="347" s="1"/>
  <c r="G9" i="347"/>
  <c r="D9" i="347"/>
  <c r="C9" i="347"/>
  <c r="AO8" i="347"/>
  <c r="AN8" i="347"/>
  <c r="AM8" i="347"/>
  <c r="AL8" i="347"/>
  <c r="AC8" i="347"/>
  <c r="AB8" i="347"/>
  <c r="AA8" i="347"/>
  <c r="Z8" i="347"/>
  <c r="Y8" i="347"/>
  <c r="U8" i="347"/>
  <c r="T8" i="347"/>
  <c r="I8" i="347"/>
  <c r="H8" i="347"/>
  <c r="V8" i="347" s="1"/>
  <c r="G8" i="347"/>
  <c r="D8" i="347"/>
  <c r="C8" i="347"/>
  <c r="AG7" i="347"/>
  <c r="U7" i="347"/>
  <c r="T7" i="347"/>
  <c r="I7" i="347"/>
  <c r="H7" i="347"/>
  <c r="V7" i="347" s="1"/>
  <c r="G7" i="347"/>
  <c r="D7" i="347"/>
  <c r="C7" i="347"/>
  <c r="U6" i="347"/>
  <c r="T6" i="347"/>
  <c r="I6" i="347"/>
  <c r="H6" i="347"/>
  <c r="V6" i="347" s="1"/>
  <c r="G6" i="347"/>
  <c r="D6" i="347"/>
  <c r="C6" i="347"/>
  <c r="AK8" i="347" s="1"/>
  <c r="AJ5" i="347"/>
  <c r="AA7" i="347" s="1"/>
  <c r="AI5" i="347"/>
  <c r="Y22" i="347" s="1"/>
  <c r="AG3" i="347"/>
  <c r="C2" i="347" a="1"/>
  <c r="C2" i="347" s="1"/>
  <c r="B2" i="347" a="1"/>
  <c r="B2" i="347" s="1"/>
  <c r="C1" i="347"/>
  <c r="B1" i="347"/>
  <c r="U105" i="346"/>
  <c r="T105" i="346"/>
  <c r="I105" i="346"/>
  <c r="H105" i="346"/>
  <c r="V105" i="346" s="1"/>
  <c r="G105" i="346"/>
  <c r="D105" i="346"/>
  <c r="C105" i="346"/>
  <c r="U104" i="346"/>
  <c r="T104" i="346"/>
  <c r="I104" i="346"/>
  <c r="H104" i="346"/>
  <c r="V104" i="346" s="1"/>
  <c r="G104" i="346"/>
  <c r="D104" i="346"/>
  <c r="C104" i="346"/>
  <c r="U103" i="346"/>
  <c r="T103" i="346"/>
  <c r="I103" i="346"/>
  <c r="H103" i="346"/>
  <c r="V103" i="346" s="1"/>
  <c r="G103" i="346"/>
  <c r="D103" i="346"/>
  <c r="C103" i="346"/>
  <c r="U102" i="346"/>
  <c r="T102" i="346"/>
  <c r="I102" i="346"/>
  <c r="H102" i="346"/>
  <c r="V102" i="346" s="1"/>
  <c r="G102" i="346"/>
  <c r="D102" i="346"/>
  <c r="C102" i="346"/>
  <c r="U101" i="346"/>
  <c r="T101" i="346"/>
  <c r="I101" i="346"/>
  <c r="H101" i="346"/>
  <c r="V101" i="346" s="1"/>
  <c r="G101" i="346"/>
  <c r="D101" i="346"/>
  <c r="C101" i="346"/>
  <c r="U100" i="346"/>
  <c r="T100" i="346"/>
  <c r="I100" i="346"/>
  <c r="H100" i="346"/>
  <c r="V100" i="346" s="1"/>
  <c r="G100" i="346"/>
  <c r="D100" i="346"/>
  <c r="C100" i="346"/>
  <c r="U99" i="346"/>
  <c r="T99" i="346"/>
  <c r="I99" i="346"/>
  <c r="H99" i="346"/>
  <c r="V99" i="346" s="1"/>
  <c r="G99" i="346"/>
  <c r="D99" i="346"/>
  <c r="C99" i="346"/>
  <c r="U98" i="346"/>
  <c r="T98" i="346"/>
  <c r="I98" i="346"/>
  <c r="H98" i="346"/>
  <c r="V98" i="346" s="1"/>
  <c r="G98" i="346"/>
  <c r="D98" i="346"/>
  <c r="C98" i="346"/>
  <c r="U97" i="346"/>
  <c r="T97" i="346"/>
  <c r="I97" i="346"/>
  <c r="H97" i="346"/>
  <c r="V97" i="346" s="1"/>
  <c r="G97" i="346"/>
  <c r="D97" i="346"/>
  <c r="C97" i="346"/>
  <c r="U96" i="346"/>
  <c r="T96" i="346"/>
  <c r="I96" i="346"/>
  <c r="H96" i="346"/>
  <c r="V96" i="346" s="1"/>
  <c r="G96" i="346"/>
  <c r="D96" i="346"/>
  <c r="C96" i="346"/>
  <c r="U95" i="346"/>
  <c r="T95" i="346"/>
  <c r="I95" i="346"/>
  <c r="H95" i="346"/>
  <c r="V95" i="346" s="1"/>
  <c r="G95" i="346"/>
  <c r="D95" i="346"/>
  <c r="C95" i="346"/>
  <c r="U94" i="346"/>
  <c r="T94" i="346"/>
  <c r="I94" i="346"/>
  <c r="H94" i="346"/>
  <c r="V94" i="346" s="1"/>
  <c r="G94" i="346"/>
  <c r="D94" i="346"/>
  <c r="C94" i="346"/>
  <c r="U93" i="346"/>
  <c r="T93" i="346"/>
  <c r="I93" i="346"/>
  <c r="H93" i="346"/>
  <c r="V93" i="346" s="1"/>
  <c r="G93" i="346"/>
  <c r="D93" i="346"/>
  <c r="C93" i="346"/>
  <c r="U92" i="346"/>
  <c r="T92" i="346"/>
  <c r="I92" i="346"/>
  <c r="H92" i="346"/>
  <c r="V92" i="346" s="1"/>
  <c r="G92" i="346"/>
  <c r="D92" i="346"/>
  <c r="C92" i="346"/>
  <c r="U91" i="346"/>
  <c r="T91" i="346"/>
  <c r="I91" i="346"/>
  <c r="H91" i="346"/>
  <c r="V91" i="346" s="1"/>
  <c r="G91" i="346"/>
  <c r="D91" i="346"/>
  <c r="C91" i="346"/>
  <c r="U90" i="346"/>
  <c r="T90" i="346"/>
  <c r="I90" i="346"/>
  <c r="H90" i="346"/>
  <c r="V90" i="346" s="1"/>
  <c r="G90" i="346"/>
  <c r="D90" i="346"/>
  <c r="C90" i="346"/>
  <c r="U89" i="346"/>
  <c r="T89" i="346"/>
  <c r="I89" i="346"/>
  <c r="H89" i="346"/>
  <c r="V89" i="346" s="1"/>
  <c r="G89" i="346"/>
  <c r="D89" i="346"/>
  <c r="C89" i="346"/>
  <c r="U88" i="346"/>
  <c r="T88" i="346"/>
  <c r="I88" i="346"/>
  <c r="H88" i="346"/>
  <c r="V88" i="346" s="1"/>
  <c r="G88" i="346"/>
  <c r="D88" i="346"/>
  <c r="C88" i="346"/>
  <c r="U87" i="346"/>
  <c r="T87" i="346"/>
  <c r="I87" i="346"/>
  <c r="H87" i="346"/>
  <c r="V87" i="346" s="1"/>
  <c r="G87" i="346"/>
  <c r="D87" i="346"/>
  <c r="C87" i="346"/>
  <c r="U86" i="346"/>
  <c r="T86" i="346"/>
  <c r="I86" i="346"/>
  <c r="H86" i="346"/>
  <c r="V86" i="346" s="1"/>
  <c r="G86" i="346"/>
  <c r="D86" i="346"/>
  <c r="C86" i="346"/>
  <c r="U85" i="346"/>
  <c r="T85" i="346"/>
  <c r="I85" i="346"/>
  <c r="H85" i="346"/>
  <c r="V85" i="346" s="1"/>
  <c r="G85" i="346"/>
  <c r="D85" i="346"/>
  <c r="C85" i="346"/>
  <c r="U84" i="346"/>
  <c r="T84" i="346"/>
  <c r="I84" i="346"/>
  <c r="H84" i="346"/>
  <c r="V84" i="346" s="1"/>
  <c r="G84" i="346"/>
  <c r="D84" i="346"/>
  <c r="C84" i="346"/>
  <c r="U83" i="346"/>
  <c r="T83" i="346"/>
  <c r="I83" i="346"/>
  <c r="H83" i="346"/>
  <c r="V83" i="346" s="1"/>
  <c r="G83" i="346"/>
  <c r="D83" i="346"/>
  <c r="C83" i="346"/>
  <c r="U82" i="346"/>
  <c r="T82" i="346"/>
  <c r="I82" i="346"/>
  <c r="H82" i="346"/>
  <c r="V82" i="346" s="1"/>
  <c r="G82" i="346"/>
  <c r="D82" i="346"/>
  <c r="C82" i="346"/>
  <c r="U81" i="346"/>
  <c r="T81" i="346"/>
  <c r="I81" i="346"/>
  <c r="H81" i="346"/>
  <c r="V81" i="346" s="1"/>
  <c r="G81" i="346"/>
  <c r="D81" i="346"/>
  <c r="C81" i="346"/>
  <c r="U80" i="346"/>
  <c r="T80" i="346"/>
  <c r="I80" i="346"/>
  <c r="H80" i="346"/>
  <c r="V80" i="346" s="1"/>
  <c r="G80" i="346"/>
  <c r="D80" i="346"/>
  <c r="C80" i="346"/>
  <c r="U79" i="346"/>
  <c r="T79" i="346"/>
  <c r="I79" i="346"/>
  <c r="H79" i="346"/>
  <c r="V79" i="346" s="1"/>
  <c r="G79" i="346"/>
  <c r="D79" i="346"/>
  <c r="C79" i="346"/>
  <c r="U78" i="346"/>
  <c r="T78" i="346"/>
  <c r="I78" i="346"/>
  <c r="H78" i="346"/>
  <c r="V78" i="346" s="1"/>
  <c r="G78" i="346"/>
  <c r="D78" i="346"/>
  <c r="C78" i="346"/>
  <c r="U77" i="346"/>
  <c r="T77" i="346"/>
  <c r="I77" i="346"/>
  <c r="H77" i="346"/>
  <c r="V77" i="346" s="1"/>
  <c r="G77" i="346"/>
  <c r="D77" i="346"/>
  <c r="C77" i="346"/>
  <c r="U76" i="346"/>
  <c r="T76" i="346"/>
  <c r="I76" i="346"/>
  <c r="H76" i="346"/>
  <c r="V76" i="346" s="1"/>
  <c r="G76" i="346"/>
  <c r="D76" i="346"/>
  <c r="C76" i="346"/>
  <c r="U75" i="346"/>
  <c r="T75" i="346"/>
  <c r="I75" i="346"/>
  <c r="H75" i="346"/>
  <c r="V75" i="346" s="1"/>
  <c r="G75" i="346"/>
  <c r="D75" i="346"/>
  <c r="C75" i="346"/>
  <c r="AB74" i="346"/>
  <c r="AA74" i="346"/>
  <c r="Z74" i="346"/>
  <c r="Y74" i="346"/>
  <c r="X74" i="346"/>
  <c r="U74" i="346"/>
  <c r="T74" i="346"/>
  <c r="I74" i="346"/>
  <c r="H74" i="346"/>
  <c r="V74" i="346" s="1"/>
  <c r="G74" i="346"/>
  <c r="D74" i="346"/>
  <c r="C74" i="346"/>
  <c r="AB73" i="346"/>
  <c r="AA73" i="346"/>
  <c r="Z73" i="346"/>
  <c r="Y73" i="346"/>
  <c r="X73" i="346"/>
  <c r="U73" i="346"/>
  <c r="T73" i="346"/>
  <c r="I73" i="346"/>
  <c r="H73" i="346"/>
  <c r="V73" i="346" s="1"/>
  <c r="G73" i="346"/>
  <c r="D73" i="346"/>
  <c r="C73" i="346"/>
  <c r="AB72" i="346"/>
  <c r="AA72" i="346"/>
  <c r="Z72" i="346"/>
  <c r="Y72" i="346"/>
  <c r="X72" i="346"/>
  <c r="U72" i="346"/>
  <c r="T72" i="346"/>
  <c r="I72" i="346"/>
  <c r="H72" i="346"/>
  <c r="V72" i="346" s="1"/>
  <c r="G72" i="346"/>
  <c r="D72" i="346"/>
  <c r="C72" i="346"/>
  <c r="AB71" i="346"/>
  <c r="AA71" i="346"/>
  <c r="Z71" i="346"/>
  <c r="Y71" i="346"/>
  <c r="X71" i="346"/>
  <c r="U71" i="346"/>
  <c r="T71" i="346"/>
  <c r="I71" i="346"/>
  <c r="H71" i="346"/>
  <c r="V71" i="346" s="1"/>
  <c r="G71" i="346"/>
  <c r="D71" i="346"/>
  <c r="C71" i="346"/>
  <c r="AB70" i="346"/>
  <c r="AA70" i="346"/>
  <c r="Z70" i="346"/>
  <c r="Y70" i="346"/>
  <c r="X70" i="346"/>
  <c r="U70" i="346"/>
  <c r="T70" i="346"/>
  <c r="I70" i="346"/>
  <c r="H70" i="346"/>
  <c r="V70" i="346" s="1"/>
  <c r="G70" i="346"/>
  <c r="D70" i="346"/>
  <c r="C70" i="346"/>
  <c r="AB69" i="346"/>
  <c r="AA69" i="346"/>
  <c r="Z69" i="346"/>
  <c r="Y69" i="346"/>
  <c r="X69" i="346"/>
  <c r="U69" i="346"/>
  <c r="T69" i="346"/>
  <c r="I69" i="346"/>
  <c r="H69" i="346"/>
  <c r="V69" i="346" s="1"/>
  <c r="G69" i="346"/>
  <c r="D69" i="346"/>
  <c r="C69" i="346"/>
  <c r="AB68" i="346"/>
  <c r="AA68" i="346"/>
  <c r="Z68" i="346"/>
  <c r="Y68" i="346"/>
  <c r="X68" i="346"/>
  <c r="U68" i="346"/>
  <c r="T68" i="346"/>
  <c r="I68" i="346"/>
  <c r="H68" i="346"/>
  <c r="V68" i="346" s="1"/>
  <c r="G68" i="346"/>
  <c r="D68" i="346"/>
  <c r="C68" i="346"/>
  <c r="AB67" i="346"/>
  <c r="AA67" i="346"/>
  <c r="Z67" i="346"/>
  <c r="Y67" i="346"/>
  <c r="X67" i="346"/>
  <c r="U67" i="346"/>
  <c r="T67" i="346"/>
  <c r="I67" i="346"/>
  <c r="H67" i="346"/>
  <c r="V67" i="346" s="1"/>
  <c r="G67" i="346"/>
  <c r="D67" i="346"/>
  <c r="C67" i="346"/>
  <c r="AB66" i="346"/>
  <c r="AA66" i="346"/>
  <c r="Z66" i="346"/>
  <c r="Y66" i="346"/>
  <c r="X66" i="346"/>
  <c r="U66" i="346"/>
  <c r="T66" i="346"/>
  <c r="I66" i="346"/>
  <c r="H66" i="346"/>
  <c r="V66" i="346" s="1"/>
  <c r="G66" i="346"/>
  <c r="D66" i="346"/>
  <c r="C66" i="346"/>
  <c r="AB65" i="346"/>
  <c r="AA65" i="346"/>
  <c r="Z65" i="346"/>
  <c r="Y65" i="346"/>
  <c r="X65" i="346"/>
  <c r="U65" i="346"/>
  <c r="T65" i="346"/>
  <c r="I65" i="346"/>
  <c r="H65" i="346"/>
  <c r="V65" i="346" s="1"/>
  <c r="G65" i="346"/>
  <c r="D65" i="346"/>
  <c r="C65" i="346"/>
  <c r="U64" i="346"/>
  <c r="T64" i="346"/>
  <c r="I64" i="346"/>
  <c r="H64" i="346"/>
  <c r="V64" i="346" s="1"/>
  <c r="G64" i="346"/>
  <c r="D64" i="346"/>
  <c r="C64" i="346"/>
  <c r="U63" i="346"/>
  <c r="T63" i="346"/>
  <c r="I63" i="346"/>
  <c r="H63" i="346"/>
  <c r="V63" i="346" s="1"/>
  <c r="G63" i="346"/>
  <c r="D63" i="346"/>
  <c r="C63" i="346"/>
  <c r="U62" i="346"/>
  <c r="T62" i="346"/>
  <c r="I62" i="346"/>
  <c r="H62" i="346"/>
  <c r="V62" i="346" s="1"/>
  <c r="G62" i="346"/>
  <c r="D62" i="346"/>
  <c r="C62" i="346"/>
  <c r="AB61" i="346"/>
  <c r="AA61" i="346"/>
  <c r="Z61" i="346"/>
  <c r="Y61" i="346"/>
  <c r="X61" i="346"/>
  <c r="U61" i="346"/>
  <c r="T61" i="346"/>
  <c r="I61" i="346"/>
  <c r="H61" i="346"/>
  <c r="V61" i="346" s="1"/>
  <c r="G61" i="346"/>
  <c r="D61" i="346"/>
  <c r="C61" i="346"/>
  <c r="AB60" i="346"/>
  <c r="AA60" i="346"/>
  <c r="Z60" i="346"/>
  <c r="Y60" i="346"/>
  <c r="X60" i="346"/>
  <c r="U60" i="346"/>
  <c r="T60" i="346"/>
  <c r="I60" i="346"/>
  <c r="H60" i="346"/>
  <c r="V60" i="346" s="1"/>
  <c r="G60" i="346"/>
  <c r="D60" i="346"/>
  <c r="C60" i="346"/>
  <c r="AB59" i="346"/>
  <c r="AA59" i="346"/>
  <c r="Z59" i="346"/>
  <c r="Y59" i="346"/>
  <c r="X59" i="346"/>
  <c r="U59" i="346"/>
  <c r="T59" i="346"/>
  <c r="I59" i="346"/>
  <c r="H59" i="346"/>
  <c r="V59" i="346" s="1"/>
  <c r="G59" i="346"/>
  <c r="D59" i="346"/>
  <c r="C59" i="346"/>
  <c r="AB58" i="346"/>
  <c r="AA58" i="346"/>
  <c r="Z58" i="346"/>
  <c r="Y58" i="346"/>
  <c r="X58" i="346"/>
  <c r="U58" i="346"/>
  <c r="T58" i="346"/>
  <c r="I58" i="346"/>
  <c r="H58" i="346"/>
  <c r="V58" i="346" s="1"/>
  <c r="G58" i="346"/>
  <c r="D58" i="346"/>
  <c r="C58" i="346"/>
  <c r="AB57" i="346"/>
  <c r="AA57" i="346"/>
  <c r="Z57" i="346"/>
  <c r="Y57" i="346"/>
  <c r="X57" i="346"/>
  <c r="U57" i="346"/>
  <c r="T57" i="346"/>
  <c r="I57" i="346"/>
  <c r="H57" i="346"/>
  <c r="V57" i="346" s="1"/>
  <c r="G57" i="346"/>
  <c r="D57" i="346"/>
  <c r="C57" i="346"/>
  <c r="AB56" i="346"/>
  <c r="AA56" i="346"/>
  <c r="Z56" i="346"/>
  <c r="Y56" i="346"/>
  <c r="X56" i="346"/>
  <c r="U56" i="346"/>
  <c r="T56" i="346"/>
  <c r="I56" i="346"/>
  <c r="H56" i="346"/>
  <c r="V56" i="346" s="1"/>
  <c r="G56" i="346"/>
  <c r="D56" i="346"/>
  <c r="C56" i="346"/>
  <c r="AB55" i="346"/>
  <c r="AA55" i="346"/>
  <c r="Z55" i="346"/>
  <c r="Y55" i="346"/>
  <c r="X55" i="346"/>
  <c r="U55" i="346"/>
  <c r="T55" i="346"/>
  <c r="I55" i="346"/>
  <c r="H55" i="346"/>
  <c r="V55" i="346" s="1"/>
  <c r="G55" i="346"/>
  <c r="D55" i="346"/>
  <c r="C55" i="346"/>
  <c r="AB54" i="346"/>
  <c r="AA54" i="346"/>
  <c r="Z54" i="346"/>
  <c r="Y54" i="346"/>
  <c r="X54" i="346"/>
  <c r="U54" i="346"/>
  <c r="T54" i="346"/>
  <c r="I54" i="346"/>
  <c r="H54" i="346"/>
  <c r="V54" i="346" s="1"/>
  <c r="G54" i="346"/>
  <c r="D54" i="346"/>
  <c r="C54" i="346"/>
  <c r="AB53" i="346"/>
  <c r="AA53" i="346"/>
  <c r="Z53" i="346"/>
  <c r="Y53" i="346"/>
  <c r="X53" i="346"/>
  <c r="U53" i="346"/>
  <c r="T53" i="346"/>
  <c r="I53" i="346"/>
  <c r="H53" i="346"/>
  <c r="V53" i="346" s="1"/>
  <c r="G53" i="346"/>
  <c r="D53" i="346"/>
  <c r="C53" i="346"/>
  <c r="AB52" i="346"/>
  <c r="AA52" i="346"/>
  <c r="Z52" i="346"/>
  <c r="Y52" i="346"/>
  <c r="X52" i="346"/>
  <c r="U52" i="346"/>
  <c r="T52" i="346"/>
  <c r="I52" i="346"/>
  <c r="H52" i="346"/>
  <c r="V52" i="346" s="1"/>
  <c r="G52" i="346"/>
  <c r="D52" i="346"/>
  <c r="C52" i="346"/>
  <c r="U51" i="346"/>
  <c r="T51" i="346"/>
  <c r="I51" i="346"/>
  <c r="H51" i="346"/>
  <c r="V51" i="346" s="1"/>
  <c r="G51" i="346"/>
  <c r="D51" i="346"/>
  <c r="C51" i="346"/>
  <c r="U50" i="346"/>
  <c r="T50" i="346"/>
  <c r="I50" i="346"/>
  <c r="H50" i="346"/>
  <c r="V50" i="346" s="1"/>
  <c r="G50" i="346"/>
  <c r="D50" i="346"/>
  <c r="C50" i="346"/>
  <c r="U49" i="346"/>
  <c r="T49" i="346"/>
  <c r="I49" i="346"/>
  <c r="H49" i="346"/>
  <c r="V49" i="346" s="1"/>
  <c r="G49" i="346"/>
  <c r="D49" i="346"/>
  <c r="C49" i="346"/>
  <c r="U48" i="346"/>
  <c r="T48" i="346"/>
  <c r="I48" i="346"/>
  <c r="H48" i="346"/>
  <c r="V48" i="346" s="1"/>
  <c r="G48" i="346"/>
  <c r="D48" i="346"/>
  <c r="C48" i="346"/>
  <c r="U47" i="346"/>
  <c r="T47" i="346"/>
  <c r="I47" i="346"/>
  <c r="H47" i="346"/>
  <c r="V47" i="346" s="1"/>
  <c r="G47" i="346"/>
  <c r="D47" i="346"/>
  <c r="C47" i="346"/>
  <c r="U46" i="346"/>
  <c r="T46" i="346"/>
  <c r="I46" i="346"/>
  <c r="H46" i="346"/>
  <c r="V46" i="346" s="1"/>
  <c r="G46" i="346"/>
  <c r="D46" i="346"/>
  <c r="C46" i="346"/>
  <c r="U45" i="346"/>
  <c r="T45" i="346"/>
  <c r="I45" i="346"/>
  <c r="H45" i="346"/>
  <c r="V45" i="346" s="1"/>
  <c r="G45" i="346"/>
  <c r="D45" i="346"/>
  <c r="C45" i="346"/>
  <c r="U44" i="346"/>
  <c r="T44" i="346"/>
  <c r="I44" i="346"/>
  <c r="H44" i="346"/>
  <c r="V44" i="346" s="1"/>
  <c r="G44" i="346"/>
  <c r="D44" i="346"/>
  <c r="C44" i="346"/>
  <c r="U43" i="346"/>
  <c r="T43" i="346"/>
  <c r="I43" i="346"/>
  <c r="H43" i="346"/>
  <c r="V43" i="346" s="1"/>
  <c r="G43" i="346"/>
  <c r="D43" i="346"/>
  <c r="C43" i="346"/>
  <c r="U42" i="346"/>
  <c r="T42" i="346"/>
  <c r="I42" i="346"/>
  <c r="H42" i="346"/>
  <c r="V42" i="346" s="1"/>
  <c r="G42" i="346"/>
  <c r="D42" i="346"/>
  <c r="C42" i="346"/>
  <c r="U41" i="346"/>
  <c r="T41" i="346"/>
  <c r="I41" i="346"/>
  <c r="H41" i="346"/>
  <c r="V41" i="346" s="1"/>
  <c r="G41" i="346"/>
  <c r="D41" i="346"/>
  <c r="C41" i="346"/>
  <c r="U40" i="346"/>
  <c r="T40" i="346"/>
  <c r="I40" i="346"/>
  <c r="H40" i="346"/>
  <c r="V40" i="346" s="1"/>
  <c r="G40" i="346"/>
  <c r="D40" i="346"/>
  <c r="C40" i="346"/>
  <c r="U39" i="346"/>
  <c r="T39" i="346"/>
  <c r="I39" i="346"/>
  <c r="H39" i="346"/>
  <c r="V39" i="346" s="1"/>
  <c r="G39" i="346"/>
  <c r="D39" i="346"/>
  <c r="C39" i="346"/>
  <c r="U38" i="346"/>
  <c r="T38" i="346"/>
  <c r="I38" i="346"/>
  <c r="H38" i="346"/>
  <c r="V38" i="346" s="1"/>
  <c r="G38" i="346"/>
  <c r="D38" i="346"/>
  <c r="C38" i="346"/>
  <c r="U37" i="346"/>
  <c r="T37" i="346"/>
  <c r="I37" i="346"/>
  <c r="H37" i="346"/>
  <c r="V37" i="346" s="1"/>
  <c r="G37" i="346"/>
  <c r="D37" i="346"/>
  <c r="C37" i="346"/>
  <c r="U36" i="346"/>
  <c r="T36" i="346"/>
  <c r="I36" i="346"/>
  <c r="H36" i="346"/>
  <c r="V36" i="346" s="1"/>
  <c r="G36" i="346"/>
  <c r="D36" i="346"/>
  <c r="C36" i="346"/>
  <c r="U35" i="346"/>
  <c r="T35" i="346"/>
  <c r="I35" i="346"/>
  <c r="H35" i="346"/>
  <c r="V35" i="346" s="1"/>
  <c r="G35" i="346"/>
  <c r="D35" i="346"/>
  <c r="C35" i="346"/>
  <c r="U34" i="346"/>
  <c r="T34" i="346"/>
  <c r="I34" i="346"/>
  <c r="H34" i="346"/>
  <c r="V34" i="346" s="1"/>
  <c r="G34" i="346"/>
  <c r="D34" i="346"/>
  <c r="C34" i="346"/>
  <c r="U33" i="346"/>
  <c r="T33" i="346"/>
  <c r="I33" i="346"/>
  <c r="H33" i="346"/>
  <c r="V33" i="346" s="1"/>
  <c r="G33" i="346"/>
  <c r="D33" i="346"/>
  <c r="C33" i="346"/>
  <c r="U32" i="346"/>
  <c r="T32" i="346"/>
  <c r="I32" i="346"/>
  <c r="H32" i="346"/>
  <c r="V32" i="346" s="1"/>
  <c r="G32" i="346"/>
  <c r="D32" i="346"/>
  <c r="C32" i="346"/>
  <c r="U31" i="346"/>
  <c r="T31" i="346"/>
  <c r="I31" i="346"/>
  <c r="H31" i="346"/>
  <c r="V31" i="346" s="1"/>
  <c r="G31" i="346"/>
  <c r="D31" i="346"/>
  <c r="C31" i="346"/>
  <c r="U30" i="346"/>
  <c r="T30" i="346"/>
  <c r="I30" i="346"/>
  <c r="H30" i="346"/>
  <c r="V30" i="346" s="1"/>
  <c r="G30" i="346"/>
  <c r="D30" i="346"/>
  <c r="C30" i="346"/>
  <c r="U29" i="346"/>
  <c r="T29" i="346"/>
  <c r="I29" i="346"/>
  <c r="H29" i="346"/>
  <c r="V29" i="346" s="1"/>
  <c r="G29" i="346"/>
  <c r="D29" i="346"/>
  <c r="C29" i="346"/>
  <c r="U28" i="346"/>
  <c r="T28" i="346"/>
  <c r="I28" i="346"/>
  <c r="H28" i="346"/>
  <c r="V28" i="346" s="1"/>
  <c r="G28" i="346"/>
  <c r="D28" i="346"/>
  <c r="C28" i="346"/>
  <c r="U27" i="346"/>
  <c r="T27" i="346"/>
  <c r="I27" i="346"/>
  <c r="H27" i="346"/>
  <c r="V27" i="346" s="1"/>
  <c r="G27" i="346"/>
  <c r="D27" i="346"/>
  <c r="C27" i="346"/>
  <c r="U26" i="346"/>
  <c r="T26" i="346"/>
  <c r="I26" i="346"/>
  <c r="H26" i="346"/>
  <c r="V26" i="346" s="1"/>
  <c r="G26" i="346"/>
  <c r="D26" i="346"/>
  <c r="C26" i="346"/>
  <c r="U25" i="346"/>
  <c r="T25" i="346"/>
  <c r="I25" i="346"/>
  <c r="H25" i="346"/>
  <c r="V25" i="346" s="1"/>
  <c r="G25" i="346"/>
  <c r="D25" i="346"/>
  <c r="C25" i="346"/>
  <c r="U24" i="346"/>
  <c r="T24" i="346"/>
  <c r="I24" i="346"/>
  <c r="H24" i="346"/>
  <c r="V24" i="346" s="1"/>
  <c r="G24" i="346"/>
  <c r="D24" i="346"/>
  <c r="C24" i="346"/>
  <c r="U23" i="346"/>
  <c r="T23" i="346"/>
  <c r="I23" i="346"/>
  <c r="H23" i="346"/>
  <c r="V23" i="346" s="1"/>
  <c r="G23" i="346"/>
  <c r="D23" i="346"/>
  <c r="C23" i="346"/>
  <c r="AO22" i="346"/>
  <c r="AN22" i="346"/>
  <c r="AM22" i="346"/>
  <c r="AL22" i="346"/>
  <c r="AK22" i="346"/>
  <c r="U22" i="346"/>
  <c r="T22" i="346"/>
  <c r="R22" i="346"/>
  <c r="I22" i="346"/>
  <c r="H22" i="346"/>
  <c r="V22" i="346" s="1"/>
  <c r="G22" i="346"/>
  <c r="D22" i="346"/>
  <c r="C22" i="346"/>
  <c r="AO21" i="346"/>
  <c r="AN21" i="346"/>
  <c r="AM21" i="346"/>
  <c r="AL21" i="346"/>
  <c r="AK21" i="346"/>
  <c r="U21" i="346"/>
  <c r="T21" i="346"/>
  <c r="R21" i="346"/>
  <c r="I21" i="346"/>
  <c r="H21" i="346"/>
  <c r="V21" i="346" s="1"/>
  <c r="G21" i="346"/>
  <c r="D21" i="346"/>
  <c r="C21" i="346"/>
  <c r="AO20" i="346"/>
  <c r="AN20" i="346"/>
  <c r="AM20" i="346"/>
  <c r="AL20" i="346"/>
  <c r="AK20" i="346"/>
  <c r="U20" i="346"/>
  <c r="T20" i="346"/>
  <c r="R20" i="346"/>
  <c r="I20" i="346"/>
  <c r="H20" i="346"/>
  <c r="V20" i="346" s="1"/>
  <c r="G20" i="346"/>
  <c r="D20" i="346"/>
  <c r="C20" i="346"/>
  <c r="AO19" i="346"/>
  <c r="AN19" i="346"/>
  <c r="AM19" i="346"/>
  <c r="AL19" i="346"/>
  <c r="AK19" i="346"/>
  <c r="U19" i="346"/>
  <c r="T19" i="346"/>
  <c r="R19" i="346"/>
  <c r="I19" i="346"/>
  <c r="H19" i="346"/>
  <c r="V19" i="346" s="1"/>
  <c r="G19" i="346"/>
  <c r="D19" i="346"/>
  <c r="C19" i="346"/>
  <c r="AO18" i="346"/>
  <c r="AN18" i="346"/>
  <c r="AM18" i="346"/>
  <c r="AL18" i="346"/>
  <c r="AK18" i="346"/>
  <c r="U18" i="346"/>
  <c r="T18" i="346"/>
  <c r="R18" i="346"/>
  <c r="I18" i="346"/>
  <c r="H18" i="346"/>
  <c r="V18" i="346" s="1"/>
  <c r="G18" i="346"/>
  <c r="D18" i="346"/>
  <c r="C18" i="346"/>
  <c r="AO17" i="346"/>
  <c r="AN17" i="346"/>
  <c r="AM17" i="346"/>
  <c r="AL17" i="346"/>
  <c r="AK17" i="346"/>
  <c r="U17" i="346"/>
  <c r="T17" i="346"/>
  <c r="R17" i="346"/>
  <c r="I17" i="346"/>
  <c r="H17" i="346"/>
  <c r="V17" i="346" s="1"/>
  <c r="G17" i="346"/>
  <c r="D17" i="346"/>
  <c r="C17" i="346"/>
  <c r="AO16" i="346"/>
  <c r="AN16" i="346"/>
  <c r="AM16" i="346"/>
  <c r="AL16" i="346"/>
  <c r="AK16" i="346"/>
  <c r="AD16" i="346"/>
  <c r="U16" i="346"/>
  <c r="T16" i="346"/>
  <c r="R16" i="346"/>
  <c r="I16" i="346"/>
  <c r="H16" i="346"/>
  <c r="V16" i="346" s="1"/>
  <c r="G16" i="346"/>
  <c r="D16" i="346"/>
  <c r="C16" i="346"/>
  <c r="AO15" i="346"/>
  <c r="AN15" i="346"/>
  <c r="AM15" i="346"/>
  <c r="AL15" i="346"/>
  <c r="AK15" i="346"/>
  <c r="U15" i="346"/>
  <c r="T15" i="346"/>
  <c r="R15" i="346"/>
  <c r="AD15" i="346" s="1"/>
  <c r="I15" i="346"/>
  <c r="H15" i="346"/>
  <c r="V15" i="346" s="1"/>
  <c r="G15" i="346"/>
  <c r="D15" i="346"/>
  <c r="C15" i="346"/>
  <c r="AO14" i="346"/>
  <c r="AN14" i="346"/>
  <c r="AM14" i="346"/>
  <c r="AL14" i="346"/>
  <c r="U14" i="346"/>
  <c r="T14" i="346"/>
  <c r="R14" i="346"/>
  <c r="AD18" i="346" s="1"/>
  <c r="I14" i="346"/>
  <c r="H14" i="346"/>
  <c r="V14" i="346" s="1"/>
  <c r="G14" i="346"/>
  <c r="D14" i="346"/>
  <c r="C14" i="346"/>
  <c r="AO13" i="346"/>
  <c r="AN13" i="346"/>
  <c r="AM13" i="346"/>
  <c r="U13" i="346"/>
  <c r="T13" i="346"/>
  <c r="R13" i="346"/>
  <c r="R11" i="346" s="1"/>
  <c r="I13" i="346"/>
  <c r="H13" i="346"/>
  <c r="V13" i="346" s="1"/>
  <c r="G13" i="346"/>
  <c r="D13" i="346"/>
  <c r="C13" i="346"/>
  <c r="U12" i="346"/>
  <c r="T12" i="346"/>
  <c r="I12" i="346"/>
  <c r="H12" i="346"/>
  <c r="V12" i="346" s="1"/>
  <c r="G12" i="346"/>
  <c r="D12" i="346"/>
  <c r="C12" i="346"/>
  <c r="U11" i="346"/>
  <c r="T11" i="346"/>
  <c r="I11" i="346"/>
  <c r="H11" i="346"/>
  <c r="V11" i="346" s="1"/>
  <c r="G11" i="346"/>
  <c r="D11" i="346"/>
  <c r="C11" i="346"/>
  <c r="U10" i="346"/>
  <c r="T10" i="346"/>
  <c r="I10" i="346"/>
  <c r="H10" i="346"/>
  <c r="V10" i="346" s="1"/>
  <c r="G10" i="346"/>
  <c r="D10" i="346"/>
  <c r="C10" i="346"/>
  <c r="AK14" i="346" s="1"/>
  <c r="U9" i="346"/>
  <c r="T9" i="346"/>
  <c r="I9" i="346"/>
  <c r="H9" i="346"/>
  <c r="V9" i="346" s="1"/>
  <c r="G9" i="346"/>
  <c r="D9" i="346"/>
  <c r="C9" i="346"/>
  <c r="AO8" i="346"/>
  <c r="AN8" i="346"/>
  <c r="AM8" i="346"/>
  <c r="AL8" i="346"/>
  <c r="AC8" i="346"/>
  <c r="AB8" i="346"/>
  <c r="AA8" i="346"/>
  <c r="Z8" i="346"/>
  <c r="Y8" i="346"/>
  <c r="U8" i="346"/>
  <c r="T8" i="346"/>
  <c r="I8" i="346"/>
  <c r="H8" i="346"/>
  <c r="V8" i="346" s="1"/>
  <c r="G8" i="346"/>
  <c r="D8" i="346"/>
  <c r="C8" i="346"/>
  <c r="AL13" i="346" s="1"/>
  <c r="AG7" i="346"/>
  <c r="U7" i="346"/>
  <c r="T7" i="346"/>
  <c r="I7" i="346"/>
  <c r="H7" i="346"/>
  <c r="V7" i="346" s="1"/>
  <c r="G7" i="346"/>
  <c r="D7" i="346"/>
  <c r="C7" i="346"/>
  <c r="AK13" i="346" s="1"/>
  <c r="U6" i="346"/>
  <c r="T6" i="346"/>
  <c r="I6" i="346"/>
  <c r="H6" i="346"/>
  <c r="V6" i="346" s="1"/>
  <c r="G6" i="346"/>
  <c r="D6" i="346"/>
  <c r="C6" i="346"/>
  <c r="AK8" i="346" s="1"/>
  <c r="AJ5" i="346"/>
  <c r="AA7" i="346" s="1"/>
  <c r="AI5" i="346"/>
  <c r="Y22" i="346" s="1"/>
  <c r="AG3" i="346"/>
  <c r="C2" i="346" a="1"/>
  <c r="C2" i="346" s="1"/>
  <c r="B2" i="346" a="1"/>
  <c r="B2" i="346" s="1"/>
  <c r="C1" i="346"/>
  <c r="B1" i="346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Y7" i="348" l="1"/>
  <c r="AA17" i="348"/>
  <c r="Z15" i="348"/>
  <c r="AA15" i="348"/>
  <c r="Z13" i="348"/>
  <c r="AA13" i="348"/>
  <c r="AG9" i="348"/>
  <c r="AG5" i="348"/>
  <c r="X87" i="348"/>
  <c r="X79" i="348"/>
  <c r="X86" i="348"/>
  <c r="X85" i="348"/>
  <c r="AG4" i="348"/>
  <c r="AG2" i="348"/>
  <c r="AG6" i="348"/>
  <c r="AB7" i="348"/>
  <c r="Z14" i="348"/>
  <c r="Z16" i="348"/>
  <c r="Z18" i="348"/>
  <c r="Z20" i="348"/>
  <c r="Z22" i="348"/>
  <c r="X80" i="348"/>
  <c r="AC7" i="348"/>
  <c r="AA14" i="348"/>
  <c r="AA16" i="348"/>
  <c r="AA18" i="348"/>
  <c r="AA20" i="348"/>
  <c r="AA22" i="348"/>
  <c r="X81" i="348"/>
  <c r="AB14" i="348"/>
  <c r="AB16" i="348"/>
  <c r="AB18" i="348"/>
  <c r="AB20" i="348"/>
  <c r="AB22" i="348"/>
  <c r="X82" i="348"/>
  <c r="Y13" i="348"/>
  <c r="AC14" i="348"/>
  <c r="Y15" i="348"/>
  <c r="AC16" i="348"/>
  <c r="Y17" i="348"/>
  <c r="AC18" i="348"/>
  <c r="Y19" i="348"/>
  <c r="AC20" i="348"/>
  <c r="Y21" i="348"/>
  <c r="AC22" i="348"/>
  <c r="X83" i="348"/>
  <c r="Z17" i="348"/>
  <c r="AD18" i="348"/>
  <c r="AG11" i="348" s="1"/>
  <c r="Z19" i="348"/>
  <c r="Z21" i="348"/>
  <c r="X84" i="348"/>
  <c r="AA19" i="348"/>
  <c r="AA21" i="348"/>
  <c r="Z7" i="348"/>
  <c r="AB13" i="348"/>
  <c r="AB15" i="348"/>
  <c r="AB17" i="348"/>
  <c r="AB19" i="348"/>
  <c r="AB21" i="348"/>
  <c r="X78" i="348"/>
  <c r="AC13" i="348"/>
  <c r="Y14" i="348"/>
  <c r="AC15" i="348"/>
  <c r="Y16" i="348"/>
  <c r="AC17" i="348"/>
  <c r="Y18" i="348"/>
  <c r="AC19" i="348"/>
  <c r="Y20" i="348"/>
  <c r="AC21" i="348"/>
  <c r="AA13" i="347"/>
  <c r="AA21" i="347"/>
  <c r="AA19" i="347"/>
  <c r="AA15" i="347"/>
  <c r="Y7" i="347"/>
  <c r="Z13" i="347"/>
  <c r="AA17" i="347"/>
  <c r="AG9" i="347"/>
  <c r="AG5" i="347"/>
  <c r="AG2" i="347"/>
  <c r="X86" i="347"/>
  <c r="AG6" i="347"/>
  <c r="X85" i="347"/>
  <c r="AG4" i="347"/>
  <c r="X79" i="347"/>
  <c r="X87" i="347"/>
  <c r="AB7" i="347"/>
  <c r="AD13" i="347"/>
  <c r="Z14" i="347"/>
  <c r="Z16" i="347"/>
  <c r="Z18" i="347"/>
  <c r="Z20" i="347"/>
  <c r="Z22" i="347"/>
  <c r="X80" i="347"/>
  <c r="AC7" i="347"/>
  <c r="AA14" i="347"/>
  <c r="AA16" i="347"/>
  <c r="AA18" i="347"/>
  <c r="AA20" i="347"/>
  <c r="AA22" i="347"/>
  <c r="X81" i="347"/>
  <c r="AB14" i="347"/>
  <c r="AB16" i="347"/>
  <c r="AB18" i="347"/>
  <c r="AB20" i="347"/>
  <c r="AB22" i="347"/>
  <c r="X82" i="347"/>
  <c r="Y13" i="347"/>
  <c r="AC14" i="347"/>
  <c r="Y15" i="347"/>
  <c r="AC16" i="347"/>
  <c r="Y17" i="347"/>
  <c r="AC18" i="347"/>
  <c r="Y19" i="347"/>
  <c r="AC20" i="347"/>
  <c r="Y21" i="347"/>
  <c r="AC22" i="347"/>
  <c r="X83" i="347"/>
  <c r="Z15" i="347"/>
  <c r="AD16" i="347"/>
  <c r="Z17" i="347"/>
  <c r="AD18" i="347"/>
  <c r="Z19" i="347"/>
  <c r="Z21" i="347"/>
  <c r="X84" i="347"/>
  <c r="Z7" i="347"/>
  <c r="AB13" i="347"/>
  <c r="AB15" i="347"/>
  <c r="AB17" i="347"/>
  <c r="AB19" i="347"/>
  <c r="AB21" i="347"/>
  <c r="X78" i="347"/>
  <c r="AC13" i="347"/>
  <c r="Y14" i="347"/>
  <c r="AC15" i="347"/>
  <c r="Y16" i="347"/>
  <c r="AC17" i="347"/>
  <c r="Y18" i="347"/>
  <c r="AC19" i="347"/>
  <c r="Y20" i="347"/>
  <c r="AC21" i="347"/>
  <c r="Z7" i="346"/>
  <c r="AD17" i="346"/>
  <c r="AD21" i="346"/>
  <c r="AD22" i="346"/>
  <c r="AD19" i="346"/>
  <c r="AD20" i="346"/>
  <c r="AD14" i="346"/>
  <c r="AG9" i="346"/>
  <c r="AG5" i="346"/>
  <c r="AG2" i="346"/>
  <c r="X79" i="346"/>
  <c r="AG4" i="346"/>
  <c r="X87" i="346"/>
  <c r="X86" i="346"/>
  <c r="X85" i="346"/>
  <c r="AG6" i="346"/>
  <c r="AB7" i="346"/>
  <c r="AD13" i="346"/>
  <c r="Z14" i="346"/>
  <c r="Z16" i="346"/>
  <c r="Z18" i="346"/>
  <c r="Z20" i="346"/>
  <c r="Z22" i="346"/>
  <c r="X80" i="346"/>
  <c r="AB14" i="346"/>
  <c r="AC7" i="346"/>
  <c r="AA14" i="346"/>
  <c r="AA16" i="346"/>
  <c r="AA18" i="346"/>
  <c r="AA20" i="346"/>
  <c r="AA22" i="346"/>
  <c r="X81" i="346"/>
  <c r="X82" i="346"/>
  <c r="Y13" i="346"/>
  <c r="AC14" i="346"/>
  <c r="Y15" i="346"/>
  <c r="AC16" i="346"/>
  <c r="Y17" i="346"/>
  <c r="AC18" i="346"/>
  <c r="Y19" i="346"/>
  <c r="AC20" i="346"/>
  <c r="Y21" i="346"/>
  <c r="AC22" i="346"/>
  <c r="X83" i="346"/>
  <c r="AB16" i="346"/>
  <c r="Z13" i="346"/>
  <c r="Z15" i="346"/>
  <c r="Z17" i="346"/>
  <c r="Z19" i="346"/>
  <c r="Z21" i="346"/>
  <c r="X84" i="346"/>
  <c r="Y7" i="346"/>
  <c r="AA13" i="346"/>
  <c r="AA15" i="346"/>
  <c r="AA17" i="346"/>
  <c r="AA19" i="346"/>
  <c r="AA21" i="346"/>
  <c r="AB22" i="346"/>
  <c r="AB13" i="346"/>
  <c r="AB15" i="346"/>
  <c r="AB17" i="346"/>
  <c r="AB19" i="346"/>
  <c r="AB21" i="346"/>
  <c r="X78" i="346"/>
  <c r="AB18" i="346"/>
  <c r="AB20" i="346"/>
  <c r="AC13" i="346"/>
  <c r="Y14" i="346"/>
  <c r="AC15" i="346"/>
  <c r="Y16" i="346"/>
  <c r="AC17" i="346"/>
  <c r="Y18" i="346"/>
  <c r="AC19" i="346"/>
  <c r="Y20" i="346"/>
  <c r="AC21" i="346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348" l="1"/>
  <c r="AG10" i="348"/>
  <c r="AG8" i="347"/>
  <c r="AG10" i="347"/>
  <c r="AG11" i="347"/>
  <c r="AG11" i="346"/>
  <c r="AG8" i="346"/>
  <c r="AG10" i="346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348" l="1"/>
  <c r="F4" i="1" s="1"/>
  <c r="D1" i="347"/>
  <c r="F3" i="1" s="1"/>
  <c r="D1" i="346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K1" i="1" l="1"/>
  <c r="B2" i="1"/>
  <c r="B4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5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<sst xmlns="http://schemas.openxmlformats.org/spreadsheetml/2006/main" count="421" uniqueCount="178">
  <si>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</si>
  <si>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</si>
  <si>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</si>
  <si>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</si>
  <si>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</si>
  <si>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</si>
  <si>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</si>
  <si>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</si>
  <si>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</si>
  <si>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</si>
  <si>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</si>
  <si>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</si>
  <si>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</si>
  <si>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</si>
  <si>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</si>
  <si>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</si>
  <si>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</si>
  <si>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</si>
  <si>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</si>
  <si>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</si>
  <si>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</si>
  <si>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</si>
  <si>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</si>
  <si>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</si>
  <si>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</si>
  <si>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</si>
  <si>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</si>
  <si>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</si>
  <si>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</si>
  <si>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</si>
  <si>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</si>
  <si>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</si>
  <si>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</si>
  <si>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</si>
  <si>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</si>
  <si>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</si>
  <si>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</si>
  <si>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</si>
  <si>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</si>
  <si>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エラー有無</t>
    <rPh sb="3" eb="5">
      <t>ウム</t>
    </rPh>
    <phoneticPr fontId="3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</si>
  <si>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</si>
  <si>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</si>
  <si>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</si>
  <si>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</si>
  <si>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</si>
  <si>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</si>
  <si>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</si>
  <si>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</si>
  <si>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</si>
  <si>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</si>
  <si>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</si>
  <si>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</si>
  <si>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</si>
  <si>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</si>
  <si>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</si>
  <si>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</si>
  <si>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</si>
  <si>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</si>
  <si>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</si>
  <si>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受注No</t>
    <phoneticPr fontId="2"/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</si>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</sst>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4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193"/>
  <sheetViews>
    <sheetView showGridLines="0" workbookViewId="0">
      <pane ySplit="1" topLeftCell="A2" activePane="bottomLeft" state="frozen"/>
      <selection pane="bottomLeft" activeCell="G17" sqref="G17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42</v>
      </c>
      <c r="E1" s="3" t="s">
        <v>44</v>
      </c>
      <c r="F1" s="3" t="s">
        <v>43</v>
      </c>
      <c r="G1" s="4" t="s">
        <v>2</v>
      </c>
      <c r="H1" s="5" t="s">
        <v>5</v>
      </c>
      <c r="I1" s="5" t="s">
        <v>62</v>
      </c>
    </row>
    <row r="2" spans="1:10" ht="18">
      <c r="A2" s="68" t="s">
        <v>28</v>
      </c>
      <c r="B2" s="68" t="s">
        <v>63</v>
      </c>
      <c r="C2" s="68" t="s">
        <v>64</v>
      </c>
      <c r="D2" s="68" t="s">
        <v>65</v>
      </c>
      <c r="E2" s="68" t="b">
        <v>0</v>
      </c>
      <c r="F2" s="68" t="b">
        <v>1</v>
      </c>
      <c r="G2" s="68" t="s">
        <v>66</v>
      </c>
      <c r="H2" s="70">
        <v>0</v>
      </c>
      <c r="I2" s="68"/>
      <c r="J2"/>
    </row>
    <row r="3" spans="1:10" ht="18">
      <c r="A3" s="68" t="s">
        <v>4</v>
      </c>
      <c r="B3" s="68" t="s">
        <v>67</v>
      </c>
      <c r="C3" s="68" t="s">
        <v>68</v>
      </c>
      <c r="D3" s="68" t="s">
        <v>69</v>
      </c>
      <c r="E3" s="68" t="b">
        <v>0</v>
      </c>
      <c r="F3" s="68" t="b">
        <v>0</v>
      </c>
      <c r="G3" s="68" t="s">
        <v>70</v>
      </c>
      <c r="H3" s="70">
        <v>0</v>
      </c>
      <c r="I3" s="68"/>
      <c r="J3"/>
    </row>
    <row r="4" spans="1:10" ht="18">
      <c r="A4" s="68" t="s">
        <v>71</v>
      </c>
      <c r="B4" s="68" t="s">
        <v>72</v>
      </c>
      <c r="C4" s="68" t="s">
        <v>73</v>
      </c>
      <c r="D4" s="68" t="s">
        <v>74</v>
      </c>
      <c r="E4" s="68" t="b">
        <v>0</v>
      </c>
      <c r="F4" s="68" t="b">
        <v>0</v>
      </c>
      <c r="G4" s="68" t="s">
        <v>75</v>
      </c>
      <c r="H4" s="70">
        <v>0</v>
      </c>
      <c r="I4" s="68"/>
      <c r="J4"/>
    </row>
    <row r="5" spans="1:10" ht="18">
      <c r="A5" s="68" t="s">
        <v>21</v>
      </c>
      <c r="B5" s="68" t="s">
        <v>76</v>
      </c>
      <c r="C5" s="68" t="s">
        <v>77</v>
      </c>
      <c r="D5" s="68"/>
      <c r="E5" s="68" t="b">
        <v>0</v>
      </c>
      <c r="F5" s="68" t="b">
        <v>0</v>
      </c>
      <c r="G5" s="68" t="s">
        <v>21</v>
      </c>
      <c r="H5" s="70">
        <v>0</v>
      </c>
      <c r="I5" s="68"/>
      <c r="J5"/>
    </row>
    <row r="6" spans="1:10" ht="18">
      <c r="A6" s="68" t="s">
        <v>78</v>
      </c>
      <c r="B6" s="68" t="s">
        <v>79</v>
      </c>
      <c r="C6" s="68" t="s">
        <v>79</v>
      </c>
      <c r="D6" s="68"/>
      <c r="E6" s="68" t="b">
        <v>1</v>
      </c>
      <c r="F6" s="68" t="b">
        <v>1</v>
      </c>
      <c r="G6" s="68" t="s">
        <v>80</v>
      </c>
      <c r="H6" s="70">
        <v>0</v>
      </c>
      <c r="I6" s="68"/>
      <c r="J6"/>
    </row>
    <row r="7" spans="1:10" ht="18">
      <c r="A7" s="68" t="s">
        <v>22</v>
      </c>
      <c r="B7" s="68" t="s">
        <v>81</v>
      </c>
      <c r="C7" s="68" t="s">
        <v>82</v>
      </c>
      <c r="D7" s="68" t="s">
        <v>83</v>
      </c>
      <c r="E7" s="68" t="b">
        <v>0</v>
      </c>
      <c r="F7" s="68" t="b">
        <v>1</v>
      </c>
      <c r="G7" s="68" t="s">
        <v>22</v>
      </c>
      <c r="H7" s="70">
        <v>0</v>
      </c>
      <c r="I7" s="68"/>
      <c r="J7"/>
    </row>
    <row r="8" spans="1:10" ht="18">
      <c r="A8" s="68" t="s">
        <v>84</v>
      </c>
      <c r="B8" s="68" t="s">
        <v>85</v>
      </c>
      <c r="C8" s="68" t="s">
        <v>86</v>
      </c>
      <c r="D8" s="68"/>
      <c r="E8" s="68" t="b">
        <v>1</v>
      </c>
      <c r="F8" s="68" t="b">
        <v>0</v>
      </c>
      <c r="G8" s="68" t="s">
        <v>87</v>
      </c>
      <c r="H8" s="70">
        <v>0</v>
      </c>
      <c r="I8" s="68"/>
      <c r="J8"/>
    </row>
    <row r="9" spans="1:10" ht="18">
      <c r="A9" s="68" t="s">
        <v>88</v>
      </c>
      <c r="B9" s="68" t="s">
        <v>89</v>
      </c>
      <c r="C9" s="68" t="s">
        <v>89</v>
      </c>
      <c r="D9" s="68"/>
      <c r="E9" s="68" t="b">
        <v>1</v>
      </c>
      <c r="F9" s="68" t="b">
        <v>1</v>
      </c>
      <c r="G9" s="68" t="s">
        <v>88</v>
      </c>
      <c r="H9" s="70">
        <v>0</v>
      </c>
      <c r="I9" s="68"/>
      <c r="J9"/>
    </row>
    <row r="10" spans="1:10" ht="18">
      <c r="A10" s="68" t="s">
        <v>29</v>
      </c>
      <c r="B10" s="68" t="s">
        <v>90</v>
      </c>
      <c r="C10" s="68" t="s">
        <v>77</v>
      </c>
      <c r="D10" s="68"/>
      <c r="E10" s="68" t="b">
        <v>0</v>
      </c>
      <c r="F10" s="68" t="b">
        <v>0</v>
      </c>
      <c r="G10" s="68" t="s">
        <v>29</v>
      </c>
      <c r="H10" s="70">
        <v>0</v>
      </c>
      <c r="I10" s="68"/>
      <c r="J10"/>
    </row>
    <row r="11" spans="1:10" ht="18">
      <c r="A11" s="68" t="s">
        <v>30</v>
      </c>
      <c r="B11" s="68" t="s">
        <v>91</v>
      </c>
      <c r="C11" s="68" t="s">
        <v>68</v>
      </c>
      <c r="D11" s="68" t="s">
        <v>92</v>
      </c>
      <c r="E11" s="68" t="b">
        <v>0</v>
      </c>
      <c r="F11" s="68" t="b">
        <v>0</v>
      </c>
      <c r="G11" s="68" t="s">
        <v>30</v>
      </c>
      <c r="H11" s="70">
        <v>0</v>
      </c>
      <c r="I11" s="68"/>
      <c r="J11"/>
    </row>
    <row r="12" spans="1:10" ht="18">
      <c r="A12" s="68" t="s">
        <v>31</v>
      </c>
      <c r="B12" s="68" t="s">
        <v>93</v>
      </c>
      <c r="C12" s="68" t="s">
        <v>64</v>
      </c>
      <c r="D12" s="68" t="s">
        <v>94</v>
      </c>
      <c r="E12" s="68" t="b">
        <v>0</v>
      </c>
      <c r="F12" s="68" t="b">
        <v>1</v>
      </c>
      <c r="G12" s="68" t="s">
        <v>95</v>
      </c>
      <c r="H12" s="70">
        <v>0</v>
      </c>
      <c r="I12" s="68"/>
      <c r="J12"/>
    </row>
    <row r="13" spans="1:10" ht="18">
      <c r="A13" s="68" t="s">
        <v>96</v>
      </c>
      <c r="B13" s="68" t="s">
        <v>97</v>
      </c>
      <c r="C13" s="68" t="s">
        <v>98</v>
      </c>
      <c r="D13" s="68"/>
      <c r="E13" s="68" t="b">
        <v>0</v>
      </c>
      <c r="F13" s="68" t="b">
        <v>0</v>
      </c>
      <c r="G13" s="68" t="s">
        <v>99</v>
      </c>
      <c r="H13" s="70">
        <v>0</v>
      </c>
      <c r="I13" s="68"/>
      <c r="J13"/>
    </row>
    <row r="14" spans="1:10" ht="18">
      <c r="A14" s="68" t="s">
        <v>32</v>
      </c>
      <c r="B14" s="68" t="s">
        <v>100</v>
      </c>
      <c r="C14" s="68" t="s">
        <v>101</v>
      </c>
      <c r="D14" s="68"/>
      <c r="E14" s="68" t="b">
        <v>0</v>
      </c>
      <c r="F14" s="68" t="b">
        <v>1</v>
      </c>
      <c r="G14" s="68" t="s">
        <v>102</v>
      </c>
      <c r="H14" s="70">
        <v>0</v>
      </c>
      <c r="I14" s="68"/>
      <c r="J14"/>
    </row>
    <row r="15" spans="1:10" ht="18">
      <c r="A15" s="68" t="s">
        <v>103</v>
      </c>
      <c r="B15" s="68" t="s">
        <v>104</v>
      </c>
      <c r="C15" s="68" t="s">
        <v>105</v>
      </c>
      <c r="D15" s="68" t="s">
        <v>106</v>
      </c>
      <c r="E15" s="68" t="b">
        <v>0</v>
      </c>
      <c r="F15" s="68" t="b">
        <v>1</v>
      </c>
      <c r="G15" s="68" t="s">
        <v>107</v>
      </c>
      <c r="H15" s="70">
        <v>0</v>
      </c>
      <c r="I15" s="68"/>
      <c r="J15"/>
    </row>
    <row r="16" spans="1:10" ht="18">
      <c r="A16" s="68" t="s">
        <v>108</v>
      </c>
      <c r="B16" s="68" t="s">
        <v>109</v>
      </c>
      <c r="C16" s="68" t="s">
        <v>110</v>
      </c>
      <c r="D16" s="68"/>
      <c r="E16" s="68" t="b">
        <v>0</v>
      </c>
      <c r="F16" s="68" t="b">
        <v>1</v>
      </c>
      <c r="G16" s="68" t="s">
        <v>111</v>
      </c>
      <c r="H16" s="70">
        <v>0</v>
      </c>
      <c r="I16" s="68"/>
      <c r="J16"/>
    </row>
    <row r="17" spans="1:10" ht="18">
      <c r="A17" s="68" t="s">
        <v>33</v>
      </c>
      <c r="B17" s="68" t="s">
        <v>112</v>
      </c>
      <c r="C17" s="68" t="s">
        <v>113</v>
      </c>
      <c r="D17" s="68" t="s">
        <v>114</v>
      </c>
      <c r="E17" s="68" t="b">
        <v>0</v>
      </c>
      <c r="F17" s="68" t="b">
        <v>1</v>
      </c>
      <c r="G17" s="68" t="s">
        <v>115</v>
      </c>
      <c r="H17" s="70">
        <v>0</v>
      </c>
      <c r="I17" s="68"/>
      <c r="J17"/>
    </row>
    <row r="18" spans="1:10" ht="18">
      <c r="A18" s="68" t="s">
        <v>52</v>
      </c>
      <c r="B18" s="68" t="s">
        <v>116</v>
      </c>
      <c r="C18" s="68" t="s">
        <v>110</v>
      </c>
      <c r="D18" s="68"/>
      <c r="E18" s="68" t="b">
        <v>0</v>
      </c>
      <c r="F18" s="68" t="b">
        <v>1</v>
      </c>
      <c r="G18" s="68" t="s">
        <v>117</v>
      </c>
      <c r="H18" s="70">
        <v>0</v>
      </c>
      <c r="I18" s="68"/>
      <c r="J18"/>
    </row>
    <row r="19" spans="1:10" ht="18">
      <c r="A19" s="68" t="s">
        <v>118</v>
      </c>
      <c r="B19" s="68" t="s">
        <v>119</v>
      </c>
      <c r="C19" s="68" t="s">
        <v>86</v>
      </c>
      <c r="D19" s="68"/>
      <c r="E19" s="68" t="b">
        <v>1</v>
      </c>
      <c r="F19" s="68" t="b">
        <v>0</v>
      </c>
      <c r="G19" s="68" t="s">
        <v>120</v>
      </c>
      <c r="H19" s="70">
        <v>0</v>
      </c>
      <c r="I19" s="68"/>
      <c r="J19"/>
    </row>
    <row r="20" spans="1:10" ht="18">
      <c r="A20" s="68" t="s">
        <v>121</v>
      </c>
      <c r="B20" s="68" t="s">
        <v>122</v>
      </c>
      <c r="C20" s="68" t="s">
        <v>73</v>
      </c>
      <c r="D20" s="68" t="s">
        <v>123</v>
      </c>
      <c r="E20" s="68" t="b">
        <v>0</v>
      </c>
      <c r="F20" s="68" t="b">
        <v>0</v>
      </c>
      <c r="G20" s="68" t="s">
        <v>121</v>
      </c>
      <c r="H20" s="70">
        <v>0</v>
      </c>
      <c r="I20" s="68"/>
      <c r="J20"/>
    </row>
    <row r="21" spans="1:10" ht="18">
      <c r="A21" s="68" t="s">
        <v>124</v>
      </c>
      <c r="B21" s="68" t="s">
        <v>125</v>
      </c>
      <c r="C21" s="68" t="s">
        <v>86</v>
      </c>
      <c r="D21" s="68"/>
      <c r="E21" s="68" t="b">
        <v>1</v>
      </c>
      <c r="F21" s="68" t="b">
        <v>0</v>
      </c>
      <c r="G21" s="68" t="s">
        <v>126</v>
      </c>
      <c r="H21" s="70">
        <v>0</v>
      </c>
      <c r="I21" s="68"/>
      <c r="J21"/>
    </row>
    <row r="22" spans="1:10" ht="18">
      <c r="A22" s="68" t="s">
        <v>127</v>
      </c>
      <c r="B22" s="68" t="s">
        <v>128</v>
      </c>
      <c r="C22" s="68" t="s">
        <v>129</v>
      </c>
      <c r="D22" s="68" t="s">
        <v>130</v>
      </c>
      <c r="E22" s="68" t="b">
        <v>0</v>
      </c>
      <c r="F22" s="68" t="b">
        <v>0</v>
      </c>
      <c r="G22" s="68" t="s">
        <v>131</v>
      </c>
      <c r="H22" s="70">
        <v>0</v>
      </c>
      <c r="I22" s="68"/>
      <c r="J22"/>
    </row>
    <row r="23" spans="1:10" ht="18">
      <c r="A23" s="68" t="s">
        <v>132</v>
      </c>
      <c r="B23" s="68" t="s">
        <v>133</v>
      </c>
      <c r="C23" s="68" t="s">
        <v>86</v>
      </c>
      <c r="D23" s="68"/>
      <c r="E23" s="68" t="b">
        <v>1</v>
      </c>
      <c r="F23" s="68" t="b">
        <v>0</v>
      </c>
      <c r="G23" s="68" t="s">
        <v>134</v>
      </c>
      <c r="H23" s="70">
        <v>0</v>
      </c>
      <c r="I23" s="68"/>
      <c r="J23"/>
    </row>
    <row r="24" spans="1:10" ht="18">
      <c r="A24" s="68" t="s">
        <v>58</v>
      </c>
      <c r="B24" s="68" t="s">
        <v>135</v>
      </c>
      <c r="C24" s="68" t="s">
        <v>135</v>
      </c>
      <c r="D24" s="68"/>
      <c r="E24" s="68" t="b">
        <v>1</v>
      </c>
      <c r="F24" s="68" t="b">
        <v>1</v>
      </c>
      <c r="G24" s="68" t="s">
        <v>136</v>
      </c>
      <c r="H24" s="70">
        <v>0</v>
      </c>
      <c r="I24" s="68"/>
      <c r="J24"/>
    </row>
    <row r="25" spans="1:10" ht="18">
      <c r="A25" s="68" t="s">
        <v>137</v>
      </c>
      <c r="B25" s="68" t="s">
        <v>138</v>
      </c>
      <c r="C25" s="68" t="s">
        <v>139</v>
      </c>
      <c r="D25" s="68"/>
      <c r="E25" s="68" t="b">
        <v>0</v>
      </c>
      <c r="F25" s="68" t="b">
        <v>0</v>
      </c>
      <c r="G25" s="68" t="s">
        <v>140</v>
      </c>
      <c r="H25" s="70">
        <v>0</v>
      </c>
      <c r="I25" s="68"/>
      <c r="J25"/>
    </row>
    <row r="26" spans="1:10" ht="18">
      <c r="A26" s="68" t="s">
        <v>141</v>
      </c>
      <c r="B26" s="68" t="s">
        <v>142</v>
      </c>
      <c r="C26" s="68" t="s">
        <v>105</v>
      </c>
      <c r="D26" s="68" t="s">
        <v>143</v>
      </c>
      <c r="E26" s="68" t="b">
        <v>0</v>
      </c>
      <c r="F26" s="68" t="b">
        <v>1</v>
      </c>
      <c r="G26" s="68" t="s">
        <v>141</v>
      </c>
      <c r="H26" s="70">
        <v>0</v>
      </c>
      <c r="I26" s="68"/>
      <c r="J26"/>
    </row>
    <row r="27" spans="1:10" ht="18">
      <c r="A27" s="68" t="s">
        <v>144</v>
      </c>
      <c r="B27" s="68" t="s">
        <v>145</v>
      </c>
      <c r="C27" s="68" t="s">
        <v>146</v>
      </c>
      <c r="D27" s="68"/>
      <c r="E27" s="68" t="b">
        <v>0</v>
      </c>
      <c r="F27" s="68" t="b">
        <v>0</v>
      </c>
      <c r="G27" s="68" t="s">
        <v>147</v>
      </c>
      <c r="H27" s="70">
        <v>0</v>
      </c>
      <c r="I27" s="68"/>
      <c r="J27"/>
    </row>
    <row r="28" spans="1:10" ht="18">
      <c r="A28" s="68" t="s">
        <v>148</v>
      </c>
      <c r="B28" s="68" t="s">
        <v>149</v>
      </c>
      <c r="C28" s="68" t="s">
        <v>68</v>
      </c>
      <c r="D28" s="68" t="s">
        <v>150</v>
      </c>
      <c r="E28" s="68" t="b">
        <v>0</v>
      </c>
      <c r="F28" s="68" t="b">
        <v>0</v>
      </c>
      <c r="G28" s="68" t="s">
        <v>151</v>
      </c>
      <c r="H28" s="70">
        <v>1</v>
      </c>
      <c r="I28" s="68" t="s">
        <v>4</v>
      </c>
      <c r="J28"/>
    </row>
    <row r="29" spans="1:10" ht="18">
      <c r="A29" s="68" t="s">
        <v>152</v>
      </c>
      <c r="B29" s="68" t="s">
        <v>153</v>
      </c>
      <c r="C29" s="68" t="s">
        <v>105</v>
      </c>
      <c r="D29" s="68" t="s">
        <v>154</v>
      </c>
      <c r="E29" s="68" t="b">
        <v>0</v>
      </c>
      <c r="F29" s="68" t="b">
        <v>1</v>
      </c>
      <c r="G29" s="68" t="s">
        <v>155</v>
      </c>
      <c r="H29" s="70">
        <v>1</v>
      </c>
      <c r="I29" s="68" t="s">
        <v>103</v>
      </c>
      <c r="J29"/>
    </row>
    <row r="30" spans="1:10" ht="18">
      <c r="A30" s="68" t="s">
        <v>156</v>
      </c>
      <c r="B30" s="68" t="s">
        <v>157</v>
      </c>
      <c r="C30" s="68" t="s">
        <v>105</v>
      </c>
      <c r="D30" s="68" t="s">
        <v>158</v>
      </c>
      <c r="E30" s="68" t="b">
        <v>0</v>
      </c>
      <c r="F30" s="68" t="b">
        <v>1</v>
      </c>
      <c r="G30" s="68" t="s">
        <v>159</v>
      </c>
      <c r="H30" s="70">
        <v>1</v>
      </c>
      <c r="I30" s="68" t="s">
        <v>103</v>
      </c>
      <c r="J30"/>
    </row>
    <row r="31" spans="1:10" ht="18">
      <c r="A31" s="69" t="s">
        <v>160</v>
      </c>
      <c r="B31" s="69" t="s">
        <v>161</v>
      </c>
      <c r="C31" s="69" t="s">
        <v>89</v>
      </c>
      <c r="D31" s="69"/>
      <c r="E31" s="69" t="b">
        <v>1</v>
      </c>
      <c r="F31" s="69" t="b">
        <v>1</v>
      </c>
      <c r="G31" s="69" t="s">
        <v>160</v>
      </c>
      <c r="H31" s="71">
        <v>1</v>
      </c>
      <c r="I31" s="69" t="s">
        <v>88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tabSelected="1" workbookViewId="0">
      <pane ySplit="1" topLeftCell="A2" activePane="bottomLeft" state="frozen"/>
      <selection pane="bottomLeft" activeCell="C9" sqref="C9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hidden="1" customWidth="1"/>
  </cols>
  <sheetData>
    <row r="1" spans="1:11">
      <c r="A1" s="2" t="s">
        <v>12</v>
      </c>
      <c r="B1" s="4"/>
      <c r="C1" s="4" t="s">
        <v>41</v>
      </c>
      <c r="D1" s="4" t="s">
        <v>35</v>
      </c>
      <c r="E1" s="32" t="s">
        <v>40</v>
      </c>
      <c r="F1" s="6" t="s">
        <v>39</v>
      </c>
      <c r="H1" s="27" t="s">
        <v>38</v>
      </c>
      <c r="I1" s="27" t="s">
        <v>36</v>
      </c>
      <c r="J1" s="27" t="s">
        <v>37</v>
      </c>
      <c r="K1" t="b">
        <f ca="1">SUM(F2:F101)=0</f>
        <v>1</v>
      </c>
    </row>
    <row r="2" spans="1:11">
      <c r="A2" s="21">
        <f>ROW()-1</f>
        <v>1</v>
      </c>
      <c r="B2" s="29">
        <f ca="1">IF(AND(I2,NOT(J2),NOT(H2)),1,0)</f>
        <v>0</v>
      </c>
      <c r="C2" s="33" t="s">
        <v>52</v>
      </c>
      <c r="D2" s="22" t="s">
        <v>52</v>
      </c>
      <c r="E2" s="22" t="s">
        <v>164</v>
      </c>
      <c r="F2" s="57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1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53</v>
      </c>
      <c r="D3" s="24" t="s">
        <v>53</v>
      </c>
      <c r="E3" s="24" t="s">
        <v>51</v>
      </c>
      <c r="F3" s="58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1">
      <c r="A4" s="23">
        <f t="shared" si="0"/>
        <v>3</v>
      </c>
      <c r="B4" s="30">
        <f ca="1">IF(AND(I4,NOT(J4),NOT(H4)),1,0)</f>
        <v>0</v>
      </c>
      <c r="C4" s="33" t="s">
        <v>60</v>
      </c>
      <c r="D4" s="24" t="s">
        <v>60</v>
      </c>
      <c r="E4" s="24" t="s">
        <v>61</v>
      </c>
      <c r="F4" s="5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1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5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1">
      <c r="A6" s="23">
        <f t="shared" si="0"/>
        <v>5</v>
      </c>
      <c r="B6" s="30">
        <f t="shared" ca="1" si="1"/>
        <v>0</v>
      </c>
      <c r="C6" s="23"/>
      <c r="D6" s="24"/>
      <c r="E6" s="24"/>
      <c r="F6" s="5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1">
      <c r="A7" s="23">
        <f t="shared" si="0"/>
        <v>6</v>
      </c>
      <c r="B7" s="30">
        <f t="shared" ca="1" si="1"/>
        <v>0</v>
      </c>
      <c r="C7" s="23"/>
      <c r="D7" s="24"/>
      <c r="E7" s="24"/>
      <c r="F7" s="5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1">
      <c r="A8" s="23">
        <f t="shared" si="0"/>
        <v>7</v>
      </c>
      <c r="B8" s="30">
        <f t="shared" ca="1" si="1"/>
        <v>0</v>
      </c>
      <c r="C8" s="23"/>
      <c r="D8" s="24"/>
      <c r="E8" s="24"/>
      <c r="F8" s="5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1">
      <c r="A9" s="23">
        <f t="shared" si="0"/>
        <v>8</v>
      </c>
      <c r="B9" s="30">
        <f t="shared" ca="1" si="1"/>
        <v>0</v>
      </c>
      <c r="C9" s="23"/>
      <c r="D9" s="24"/>
      <c r="E9" s="24"/>
      <c r="F9" s="5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1">
      <c r="A10" s="23">
        <f t="shared" si="0"/>
        <v>9</v>
      </c>
      <c r="B10" s="30">
        <f t="shared" ca="1" si="1"/>
        <v>0</v>
      </c>
      <c r="C10" s="23"/>
      <c r="D10" s="24"/>
      <c r="E10" s="24"/>
      <c r="F10" s="5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1">
      <c r="A11" s="23">
        <f t="shared" si="0"/>
        <v>10</v>
      </c>
      <c r="B11" s="30">
        <f t="shared" ca="1" si="1"/>
        <v>0</v>
      </c>
      <c r="C11" s="23"/>
      <c r="D11" s="24"/>
      <c r="E11" s="24"/>
      <c r="F11" s="5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1">
      <c r="A12" s="23">
        <f t="shared" si="0"/>
        <v>11</v>
      </c>
      <c r="B12" s="30">
        <f t="shared" ca="1" si="1"/>
        <v>0</v>
      </c>
      <c r="C12" s="23"/>
      <c r="D12" s="24"/>
      <c r="E12" s="24"/>
      <c r="F12" s="5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1">
      <c r="A13" s="23">
        <f t="shared" si="0"/>
        <v>12</v>
      </c>
      <c r="B13" s="30">
        <f t="shared" ca="1" si="1"/>
        <v>0</v>
      </c>
      <c r="C13" s="23"/>
      <c r="D13" s="24"/>
      <c r="E13" s="24"/>
      <c r="F13" s="5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1">
      <c r="A14" s="23">
        <f t="shared" si="0"/>
        <v>13</v>
      </c>
      <c r="B14" s="30">
        <f t="shared" ca="1" si="1"/>
        <v>0</v>
      </c>
      <c r="C14" s="23"/>
      <c r="D14" s="24"/>
      <c r="E14" s="24"/>
      <c r="F14" s="5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1">
      <c r="A15" s="23">
        <f t="shared" si="0"/>
        <v>14</v>
      </c>
      <c r="B15" s="30">
        <f t="shared" ca="1" si="1"/>
        <v>0</v>
      </c>
      <c r="C15" s="23"/>
      <c r="D15" s="24"/>
      <c r="E15" s="24"/>
      <c r="F15" s="5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1">
      <c r="A16" s="23">
        <f t="shared" si="0"/>
        <v>15</v>
      </c>
      <c r="B16" s="30">
        <f t="shared" ca="1" si="1"/>
        <v>0</v>
      </c>
      <c r="C16" s="23"/>
      <c r="D16" s="24"/>
      <c r="E16" s="24"/>
      <c r="F16" s="5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5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5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5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5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5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5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5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5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5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5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5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5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5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5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5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5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5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5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5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5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5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5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5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5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5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5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5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5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5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5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5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5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5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5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5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5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5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5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5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5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5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5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5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5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5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5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5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5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5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5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5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5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5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5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5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5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5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5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5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5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5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5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5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5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5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5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5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5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5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5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5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5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5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5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5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5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5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5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5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5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5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5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5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5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5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2" priority="3" operator="equal">
      <formula>1</formula>
    </cfRule>
  </conditionalFormatting>
  <conditionalFormatting sqref="D2:E101">
    <cfRule type="expression" dxfId="41" priority="2">
      <formula>$J2</formula>
    </cfRule>
  </conditionalFormatting>
  <conditionalFormatting sqref="F2:F101">
    <cfRule type="cellIs" dxfId="40" priority="1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7E0213AE-991F-47D5-825F-AD4876225496}"/>
    <hyperlink ref="C3" location="'受注'!A1" display="受注" xr:uid="{31E2C63B-7667-4A48-9C16-EA2B293098D6}"/>
    <hyperlink ref="C4" location="'受注明細'!A1" display="受注明細" xr:uid="{629D5993-4C2E-47E7-9D64-C8F9CE596DB7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1</v>
      </c>
      <c r="AJ5" s="74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54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34</v>
      </c>
      <c r="AJ6" s="74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3"/>
      <c r="AJ7" s="74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5" t="s">
        <v>14</v>
      </c>
      <c r="L8" s="76"/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/>
      <c r="AJ8" s="74"/>
      <c r="AK8" s="63" t="e">
        <f ca="1">VLOOKUP(L8,FIELD_NAME__,2,FALSE)</f>
        <v>#N/A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/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3"/>
      <c r="AJ105" s="74"/>
    </row>
  </sheetData>
  <phoneticPr fontId="2"/>
  <conditionalFormatting sqref="B2:C2">
    <cfRule type="expression" dxfId="39" priority="57">
      <formula>ISERROR(B2)</formula>
    </cfRule>
  </conditionalFormatting>
  <conditionalFormatting sqref="B6:B105">
    <cfRule type="expression" dxfId="38" priority="54">
      <formula>COUNTIF(FIELD_NAME,B6)&gt;1</formula>
    </cfRule>
    <cfRule type="expression" dxfId="37" priority="55">
      <formula>AND($B6&lt;&gt;"",ISNA(MATCH($B6,項目リスト,0)))</formula>
    </cfRule>
  </conditionalFormatting>
  <conditionalFormatting sqref="B6">
    <cfRule type="expression" dxfId="36" priority="49">
      <formula>$AI$6="N/A"</formula>
    </cfRule>
  </conditionalFormatting>
  <conditionalFormatting sqref="D1">
    <cfRule type="cellIs" dxfId="35" priority="38" operator="greaterThan">
      <formula>0</formula>
    </cfRule>
  </conditionalFormatting>
  <conditionalFormatting sqref="L8:P8">
    <cfRule type="expression" dxfId="34" priority="69">
      <formula>Y8</formula>
    </cfRule>
    <cfRule type="expression" dxfId="33" priority="70">
      <formula>Y7</formula>
    </cfRule>
  </conditionalFormatting>
  <conditionalFormatting sqref="L13:P22">
    <cfRule type="expression" dxfId="32" priority="1">
      <formula>Y13</formula>
    </cfRule>
    <cfRule type="expression" dxfId="31" priority="2">
      <formula>$AD13</formula>
    </cfRule>
  </conditionalFormatting>
  <conditionalFormatting sqref="L8">
    <cfRule type="expression" dxfId="30" priority="68">
      <formula>$AG$7</formula>
    </cfRule>
  </conditionalFormatting>
  <dataValidations count="6">
    <dataValidation imeMode="on" allowBlank="1" showInputMessage="1" showErrorMessage="1" sqref="K12 A5 A1:A2 F6:I105 K7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46259-A976-4DC9-B24C-D07B019FBC74}">
  <sheetPr codeName="template1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165</v>
      </c>
      <c r="AJ6" s="74" t="s">
        <v>165</v>
      </c>
    </row>
    <row r="7" spans="1:41">
      <c r="A7" s="49">
        <v>2</v>
      </c>
      <c r="B7" s="43" t="s">
        <v>52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52</v>
      </c>
      <c r="AJ7" s="74" t="s">
        <v>52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33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58</v>
      </c>
      <c r="AK8" s="63" t="str">
        <f ca="1">VLOOKUP(L8,FIELD_NAME__,2,FALSE)</f>
        <v>customer_id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58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58</v>
      </c>
      <c r="AJ9" s="74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166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21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 t="s">
        <v>52</v>
      </c>
      <c r="M13" s="81" t="s">
        <v>32</v>
      </c>
      <c r="N13" s="81"/>
      <c r="O13" s="81"/>
      <c r="P13" s="82"/>
      <c r="R13" s="91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str">
        <f t="shared" ref="AK13:AK22" ca="1" si="9">VLOOKUP(L13,FIELD_NAME__,2,FALSE)</f>
        <v>customer_name</v>
      </c>
      <c r="AL13" s="63" t="str">
        <f t="shared" ref="AL13:AL22" ca="1" si="10">VLOOKUP(M13,FIELD_NAME__,2,FALSE)</f>
        <v>person_in_charge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 t="s">
        <v>21</v>
      </c>
      <c r="M14" s="85"/>
      <c r="N14" s="85"/>
      <c r="O14" s="85"/>
      <c r="P14" s="86"/>
      <c r="R14" s="91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str">
        <f t="shared" ca="1" si="9"/>
        <v>registration_date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29" priority="7">
      <formula>ISERROR(B2)</formula>
    </cfRule>
  </conditionalFormatting>
  <conditionalFormatting sqref="B6:B105">
    <cfRule type="expression" dxfId="28" priority="5">
      <formula>COUNTIF(FIELD_NAME,B6)&gt;1</formula>
    </cfRule>
    <cfRule type="expression" dxfId="27" priority="6">
      <formula>AND($B6&lt;&gt;"",ISNA(MATCH($B6,項目リスト,0)))</formula>
    </cfRule>
  </conditionalFormatting>
  <conditionalFormatting sqref="B6">
    <cfRule type="expression" dxfId="26" priority="4">
      <formula>$AI$6="N/A"</formula>
    </cfRule>
  </conditionalFormatting>
  <conditionalFormatting sqref="D1">
    <cfRule type="cellIs" dxfId="25" priority="3" operator="greaterThan">
      <formula>0</formula>
    </cfRule>
  </conditionalFormatting>
  <conditionalFormatting sqref="L8:P8">
    <cfRule type="expression" dxfId="24" priority="9">
      <formula>Y8</formula>
    </cfRule>
    <cfRule type="expression" dxfId="23" priority="10">
      <formula>Y7</formula>
    </cfRule>
  </conditionalFormatting>
  <conditionalFormatting sqref="L13:P22">
    <cfRule type="expression" dxfId="22" priority="1">
      <formula>Y13</formula>
    </cfRule>
    <cfRule type="expression" dxfId="21" priority="2">
      <formula>$AD13</formula>
    </cfRule>
  </conditionalFormatting>
  <conditionalFormatting sqref="L8">
    <cfRule type="expression" dxfId="20" priority="8">
      <formula>$AG$7</formula>
    </cfRule>
  </conditionalFormatting>
  <dataValidations count="6">
    <dataValidation imeMode="off" allowBlank="1" showInputMessage="1" showErrorMessage="1" sqref="D5:F5 C2" xr:uid="{FDF4B025-56E8-4DD2-A09D-1E0EB5FC1C2B}"/>
    <dataValidation type="list" allowBlank="1" showInputMessage="1" showErrorMessage="1" sqref="L13:P22" xr:uid="{045C9E77-4AEF-407A-AC3C-B2F2F7E9C275}">
      <formula1>FIELDリスト</formula1>
    </dataValidation>
    <dataValidation type="list" allowBlank="1" showInputMessage="1" showErrorMessage="1" sqref="L8:P8" xr:uid="{D01C9D0F-3924-4F62-8A4A-B9810D289623}">
      <formula1>FIELDリストNN</formula1>
    </dataValidation>
    <dataValidation type="whole" imeMode="off" operator="equal" allowBlank="1" showInputMessage="1" showErrorMessage="1" error="NotNullの場合は[1]を入力する。" sqref="E6:E105" xr:uid="{198C75A0-F1B6-4E80-9FFE-FC40522945AC}">
      <formula1>1</formula1>
    </dataValidation>
    <dataValidation type="list" allowBlank="1" showInputMessage="1" showErrorMessage="1" sqref="B6:B105" xr:uid="{20697AC8-B62B-4E05-B767-CAF2665D9D73}">
      <formula1>項目リスト</formula1>
    </dataValidation>
    <dataValidation imeMode="on" allowBlank="1" showInputMessage="1" showErrorMessage="1" sqref="K12 A5 A1:A2 F6:I105 K7" xr:uid="{E60C7E17-00E6-4548-977B-8934DB2E5FC1}"/>
  </dataValidations>
  <hyperlinks>
    <hyperlink ref="E1" location="一覧!R1C1" display="一覧へ" xr:uid="{BEEC52C5-03EF-407C-B385-63C46AEBDD7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24B4-3F95-474E-B6A7-9B1346736E96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5</v>
      </c>
      <c r="AJ5" s="74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29</v>
      </c>
      <c r="AJ7" s="74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5" t="s">
        <v>14</v>
      </c>
      <c r="L8" s="76" t="s">
        <v>31</v>
      </c>
      <c r="M8" s="77"/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32</v>
      </c>
      <c r="AJ8" s="74" t="s">
        <v>33</v>
      </c>
      <c r="AK8" s="63" t="str">
        <f ca="1">VLOOKUP(L8,FIELD_NAME__,2,FALSE)</f>
        <v>received_order_no</v>
      </c>
      <c r="AL8" s="63" t="e">
        <f ca="1">VLOOKUP(M8,FIELD_NAME__,2,FALSE)</f>
        <v>#N/A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33</v>
      </c>
      <c r="AJ9" s="74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 t="s">
        <v>22</v>
      </c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19" priority="7">
      <formula>ISERROR(B2)</formula>
    </cfRule>
  </conditionalFormatting>
  <conditionalFormatting sqref="B6:B105">
    <cfRule type="expression" dxfId="18" priority="5">
      <formula>COUNTIF(FIELD_NAME,B6)&gt;1</formula>
    </cfRule>
    <cfRule type="expression" dxfId="17" priority="6">
      <formula>AND($B6&lt;&gt;"",ISNA(MATCH($B6,項目リスト,0)))</formula>
    </cfRule>
  </conditionalFormatting>
  <conditionalFormatting sqref="B6">
    <cfRule type="expression" dxfId="16" priority="4">
      <formula>$AI$6="N/A"</formula>
    </cfRule>
  </conditionalFormatting>
  <conditionalFormatting sqref="D1">
    <cfRule type="cellIs" dxfId="15" priority="3" operator="greaterThan">
      <formula>0</formula>
    </cfRule>
  </conditionalFormatting>
  <conditionalFormatting sqref="L8:P8">
    <cfRule type="expression" dxfId="14" priority="9">
      <formula>Y8</formula>
    </cfRule>
    <cfRule type="expression" dxfId="13" priority="10">
      <formula>Y7</formula>
    </cfRule>
  </conditionalFormatting>
  <conditionalFormatting sqref="L13:P22">
    <cfRule type="expression" dxfId="12" priority="1">
      <formula>Y13</formula>
    </cfRule>
    <cfRule type="expression" dxfId="11" priority="2">
      <formula>$AD13</formula>
    </cfRule>
  </conditionalFormatting>
  <conditionalFormatting sqref="L8">
    <cfRule type="expression" dxfId="10" priority="8">
      <formula>$AG$7</formula>
    </cfRule>
  </conditionalFormatting>
  <dataValidations count="6">
    <dataValidation imeMode="off" allowBlank="1" showInputMessage="1" showErrorMessage="1" sqref="D5:F5 C2" xr:uid="{B863F6F9-AE90-4FC6-BA66-8BD87F69D230}"/>
    <dataValidation type="list" allowBlank="1" showInputMessage="1" showErrorMessage="1" sqref="L13:P22" xr:uid="{EF122A5A-49D3-4B79-AA6B-394758AA1326}">
      <formula1>FIELDリスト</formula1>
    </dataValidation>
    <dataValidation type="list" allowBlank="1" showInputMessage="1" showErrorMessage="1" sqref="L8:P8" xr:uid="{FE5712BA-4D34-4104-8C53-78BEFF24D5DF}">
      <formula1>FIELDリストNN</formula1>
    </dataValidation>
    <dataValidation type="whole" imeMode="off" operator="equal" allowBlank="1" showInputMessage="1" showErrorMessage="1" error="NotNullの場合は[1]を入力する。" sqref="E6:E105" xr:uid="{CC20733E-6357-4146-95EF-B88934AA68F1}">
      <formula1>1</formula1>
    </dataValidation>
    <dataValidation type="list" allowBlank="1" showInputMessage="1" showErrorMessage="1" sqref="B6:B105" xr:uid="{3E37C7CB-B561-48E1-8C54-A6E21DAE4E02}">
      <formula1>項目リスト</formula1>
    </dataValidation>
    <dataValidation imeMode="on" allowBlank="1" showInputMessage="1" showErrorMessage="1" sqref="K12 A5 A1:A2 F6:I105 K7" xr:uid="{E1B90A82-FDAF-4CDC-BE6E-CE3763F7CE69}"/>
  </dataValidations>
  <hyperlinks>
    <hyperlink ref="E1" location="一覧!R1C1" display="一覧へ" xr:uid="{D3C4C168-10E5-4DE2-AF8E-B1AAF797D6BF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DACA7-6AED-4F09-BABF-95832CEAD3AC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49</v>
      </c>
      <c r="K4" s="10" t="s">
        <v>50</v>
      </c>
      <c r="T4" s="73" t="s">
        <v>169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47</v>
      </c>
      <c r="H5" s="3" t="s">
        <v>45</v>
      </c>
      <c r="I5" s="3" t="s">
        <v>46</v>
      </c>
      <c r="T5" s="7" t="s">
        <v>19</v>
      </c>
      <c r="U5" s="7" t="s">
        <v>23</v>
      </c>
      <c r="V5" s="7" t="s">
        <v>48</v>
      </c>
      <c r="AF5" s="7" t="s">
        <v>23</v>
      </c>
      <c r="AG5" s="7" t="b">
        <f>OR(U6:U105)</f>
        <v>0</v>
      </c>
      <c r="AI5" s="63">
        <f>COUNTA(AI6:AI105)</f>
        <v>4</v>
      </c>
      <c r="AJ5" s="74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54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3" t="s">
        <v>171</v>
      </c>
      <c r="AF6" s="7" t="s">
        <v>24</v>
      </c>
      <c r="AG6" s="7" t="b">
        <f ca="1">OR(V6:V105)</f>
        <v>0</v>
      </c>
      <c r="AI6" s="63" t="s">
        <v>59</v>
      </c>
      <c r="AJ6" s="74" t="s">
        <v>59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60" t="s">
        <v>12</v>
      </c>
      <c r="L7" s="61">
        <v>1</v>
      </c>
      <c r="M7" s="61">
        <v>2</v>
      </c>
      <c r="N7" s="61">
        <v>3</v>
      </c>
      <c r="O7" s="61">
        <v>4</v>
      </c>
      <c r="P7" s="62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3" t="s">
        <v>28</v>
      </c>
      <c r="AJ7" s="74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5" t="s">
        <v>14</v>
      </c>
      <c r="L8" s="76" t="s">
        <v>31</v>
      </c>
      <c r="M8" s="77" t="s">
        <v>28</v>
      </c>
      <c r="N8" s="77"/>
      <c r="O8" s="77"/>
      <c r="P8" s="78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3" t="s">
        <v>30</v>
      </c>
      <c r="AJ8" s="74"/>
      <c r="AK8" s="63" t="str">
        <f ca="1">VLOOKUP(L8,FIELD_NAME__,2,FALSE)</f>
        <v>received_order_no</v>
      </c>
      <c r="AL8" s="63" t="str">
        <f ca="1">VLOOKUP(M8,FIELD_NAME__,2,FALSE)</f>
        <v>product_no</v>
      </c>
      <c r="AM8" s="63" t="e">
        <f ca="1">VLOOKUP(N8,FIELD_NAME__,2,FALSE)</f>
        <v>#N/A</v>
      </c>
      <c r="AN8" s="63" t="e">
        <f ca="1">VLOOKUP(O8,FIELD_NAME__,2,FALSE)</f>
        <v>#N/A</v>
      </c>
      <c r="AO8" s="63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3" t="s">
        <v>4</v>
      </c>
      <c r="AJ9" s="74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3" t="s">
        <v>170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56</v>
      </c>
      <c r="AF10" s="7" t="s">
        <v>174</v>
      </c>
      <c r="AG10" s="7" t="b">
        <f ca="1">OR($Y$13:$AC$22)</f>
        <v>0</v>
      </c>
      <c r="AI10" s="63"/>
      <c r="AJ10" s="74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55</v>
      </c>
      <c r="L11" s="67" t="s">
        <v>57</v>
      </c>
      <c r="R11" s="63" t="b">
        <f>_xlfn.CONCAT(UNIQUE_AREA)&lt;&gt;""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173</v>
      </c>
      <c r="AG11" s="7" t="b">
        <f>OR($AD$13:$AD$22)</f>
        <v>0</v>
      </c>
      <c r="AI11" s="63"/>
      <c r="AJ11" s="74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4" t="s">
        <v>12</v>
      </c>
      <c r="L12" s="65">
        <v>1</v>
      </c>
      <c r="M12" s="65">
        <v>2</v>
      </c>
      <c r="N12" s="65">
        <v>3</v>
      </c>
      <c r="O12" s="65">
        <v>4</v>
      </c>
      <c r="P12" s="66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3" t="s">
        <v>172</v>
      </c>
      <c r="AD12" s="7" t="s">
        <v>173</v>
      </c>
      <c r="AI12" s="63"/>
      <c r="AJ12" s="74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9">
        <v>1</v>
      </c>
      <c r="L13" s="80"/>
      <c r="M13" s="81"/>
      <c r="N13" s="81"/>
      <c r="O13" s="81"/>
      <c r="P13" s="82"/>
      <c r="R13" s="91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175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3"/>
      <c r="AJ13" s="74"/>
      <c r="AK13" s="63" t="e">
        <f t="shared" ref="AK13:AK22" ca="1" si="9">VLOOKUP(L13,FIELD_NAME__,2,FALSE)</f>
        <v>#N/A</v>
      </c>
      <c r="AL13" s="63" t="e">
        <f t="shared" ref="AL13:AL22" ca="1" si="10">VLOOKUP(M13,FIELD_NAME__,2,FALSE)</f>
        <v>#N/A</v>
      </c>
      <c r="AM13" s="63" t="e">
        <f t="shared" ref="AM13:AM22" ca="1" si="11">VLOOKUP(N13,FIELD_NAME__,2,FALSE)</f>
        <v>#N/A</v>
      </c>
      <c r="AN13" s="63" t="e">
        <f t="shared" ref="AN13:AN22" ca="1" si="12">VLOOKUP(O13,FIELD_NAME__,2,FALSE)</f>
        <v>#N/A</v>
      </c>
      <c r="AO13" s="63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3">
        <v>2</v>
      </c>
      <c r="L14" s="84"/>
      <c r="M14" s="85"/>
      <c r="N14" s="85"/>
      <c r="O14" s="85"/>
      <c r="P14" s="86"/>
      <c r="R14" s="91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176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3"/>
      <c r="AJ14" s="74"/>
      <c r="AK14" s="63" t="e">
        <f t="shared" ca="1" si="9"/>
        <v>#N/A</v>
      </c>
      <c r="AL14" s="63" t="e">
        <f t="shared" ca="1" si="10"/>
        <v>#N/A</v>
      </c>
      <c r="AM14" s="63" t="e">
        <f t="shared" ca="1" si="11"/>
        <v>#N/A</v>
      </c>
      <c r="AN14" s="63" t="e">
        <f t="shared" ca="1" si="12"/>
        <v>#N/A</v>
      </c>
      <c r="AO14" s="63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3">
        <v>3</v>
      </c>
      <c r="L15" s="84"/>
      <c r="M15" s="85"/>
      <c r="N15" s="85"/>
      <c r="O15" s="85"/>
      <c r="P15" s="86"/>
      <c r="R15" s="91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3"/>
      <c r="AJ15" s="74"/>
      <c r="AK15" s="63" t="e">
        <f t="shared" ca="1" si="9"/>
        <v>#N/A</v>
      </c>
      <c r="AL15" s="63" t="e">
        <f t="shared" ca="1" si="10"/>
        <v>#N/A</v>
      </c>
      <c r="AM15" s="63" t="e">
        <f t="shared" ca="1" si="11"/>
        <v>#N/A</v>
      </c>
      <c r="AN15" s="63" t="e">
        <f t="shared" ca="1" si="12"/>
        <v>#N/A</v>
      </c>
      <c r="AO15" s="63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3">
        <v>4</v>
      </c>
      <c r="L16" s="84"/>
      <c r="M16" s="85"/>
      <c r="N16" s="85"/>
      <c r="O16" s="85"/>
      <c r="P16" s="86"/>
      <c r="R16" s="91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3"/>
      <c r="AJ16" s="74"/>
      <c r="AK16" s="63" t="e">
        <f t="shared" ca="1" si="9"/>
        <v>#N/A</v>
      </c>
      <c r="AL16" s="63" t="e">
        <f t="shared" ca="1" si="10"/>
        <v>#N/A</v>
      </c>
      <c r="AM16" s="63" t="e">
        <f t="shared" ca="1" si="11"/>
        <v>#N/A</v>
      </c>
      <c r="AN16" s="63" t="e">
        <f t="shared" ca="1" si="12"/>
        <v>#N/A</v>
      </c>
      <c r="AO16" s="63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3">
        <v>5</v>
      </c>
      <c r="L17" s="84"/>
      <c r="M17" s="85"/>
      <c r="N17" s="85"/>
      <c r="O17" s="85"/>
      <c r="P17" s="86"/>
      <c r="R17" s="91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3"/>
      <c r="AJ17" s="74"/>
      <c r="AK17" s="63" t="e">
        <f t="shared" ca="1" si="9"/>
        <v>#N/A</v>
      </c>
      <c r="AL17" s="63" t="e">
        <f t="shared" ca="1" si="10"/>
        <v>#N/A</v>
      </c>
      <c r="AM17" s="63" t="e">
        <f t="shared" ca="1" si="11"/>
        <v>#N/A</v>
      </c>
      <c r="AN17" s="63" t="e">
        <f t="shared" ca="1" si="12"/>
        <v>#N/A</v>
      </c>
      <c r="AO17" s="63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3">
        <v>6</v>
      </c>
      <c r="L18" s="84"/>
      <c r="M18" s="85"/>
      <c r="N18" s="85"/>
      <c r="O18" s="85"/>
      <c r="P18" s="86"/>
      <c r="R18" s="91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3"/>
      <c r="AJ18" s="74"/>
      <c r="AK18" s="63" t="e">
        <f t="shared" ca="1" si="9"/>
        <v>#N/A</v>
      </c>
      <c r="AL18" s="63" t="e">
        <f t="shared" ca="1" si="10"/>
        <v>#N/A</v>
      </c>
      <c r="AM18" s="63" t="e">
        <f t="shared" ca="1" si="11"/>
        <v>#N/A</v>
      </c>
      <c r="AN18" s="63" t="e">
        <f t="shared" ca="1" si="12"/>
        <v>#N/A</v>
      </c>
      <c r="AO18" s="63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3">
        <v>7</v>
      </c>
      <c r="L19" s="84"/>
      <c r="M19" s="85"/>
      <c r="N19" s="85"/>
      <c r="O19" s="85"/>
      <c r="P19" s="86"/>
      <c r="R19" s="91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3"/>
      <c r="AJ19" s="74"/>
      <c r="AK19" s="63" t="e">
        <f t="shared" ca="1" si="9"/>
        <v>#N/A</v>
      </c>
      <c r="AL19" s="63" t="e">
        <f t="shared" ca="1" si="10"/>
        <v>#N/A</v>
      </c>
      <c r="AM19" s="63" t="e">
        <f t="shared" ca="1" si="11"/>
        <v>#N/A</v>
      </c>
      <c r="AN19" s="63" t="e">
        <f t="shared" ca="1" si="12"/>
        <v>#N/A</v>
      </c>
      <c r="AO19" s="63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3">
        <v>8</v>
      </c>
      <c r="L20" s="84"/>
      <c r="M20" s="85"/>
      <c r="N20" s="85"/>
      <c r="O20" s="85"/>
      <c r="P20" s="86"/>
      <c r="R20" s="91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3"/>
      <c r="AJ20" s="74"/>
      <c r="AK20" s="63" t="e">
        <f t="shared" ca="1" si="9"/>
        <v>#N/A</v>
      </c>
      <c r="AL20" s="63" t="e">
        <f t="shared" ca="1" si="10"/>
        <v>#N/A</v>
      </c>
      <c r="AM20" s="63" t="e">
        <f t="shared" ca="1" si="11"/>
        <v>#N/A</v>
      </c>
      <c r="AN20" s="63" t="e">
        <f t="shared" ca="1" si="12"/>
        <v>#N/A</v>
      </c>
      <c r="AO20" s="63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3">
        <v>9</v>
      </c>
      <c r="L21" s="84"/>
      <c r="M21" s="85"/>
      <c r="N21" s="85"/>
      <c r="O21" s="85"/>
      <c r="P21" s="86"/>
      <c r="R21" s="91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3"/>
      <c r="AJ21" s="74"/>
      <c r="AK21" s="63" t="e">
        <f t="shared" ca="1" si="9"/>
        <v>#N/A</v>
      </c>
      <c r="AL21" s="63" t="e">
        <f t="shared" ca="1" si="10"/>
        <v>#N/A</v>
      </c>
      <c r="AM21" s="63" t="e">
        <f t="shared" ca="1" si="11"/>
        <v>#N/A</v>
      </c>
      <c r="AN21" s="63" t="e">
        <f t="shared" ca="1" si="12"/>
        <v>#N/A</v>
      </c>
      <c r="AO21" s="63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7">
        <v>10</v>
      </c>
      <c r="L22" s="88"/>
      <c r="M22" s="89"/>
      <c r="N22" s="89"/>
      <c r="O22" s="89"/>
      <c r="P22" s="90"/>
      <c r="R22" s="91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3"/>
      <c r="AJ22" s="74"/>
      <c r="AK22" s="63" t="e">
        <f t="shared" ca="1" si="9"/>
        <v>#N/A</v>
      </c>
      <c r="AL22" s="63" t="e">
        <f t="shared" ca="1" si="10"/>
        <v>#N/A</v>
      </c>
      <c r="AM22" s="63" t="e">
        <f t="shared" ca="1" si="11"/>
        <v>#N/A</v>
      </c>
      <c r="AN22" s="63" t="e">
        <f t="shared" ca="1" si="12"/>
        <v>#N/A</v>
      </c>
      <c r="AO22" s="63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3"/>
      <c r="AJ23" s="74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3"/>
      <c r="AJ24" s="74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3"/>
      <c r="AJ25" s="74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3"/>
      <c r="AJ26" s="74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3"/>
      <c r="AJ27" s="74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3"/>
      <c r="AJ28" s="74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3"/>
      <c r="AJ29" s="74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3"/>
      <c r="AJ30" s="74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3"/>
      <c r="AJ31" s="74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3"/>
      <c r="AJ32" s="74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3"/>
      <c r="AJ33" s="74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3"/>
      <c r="AJ34" s="74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3"/>
      <c r="AJ35" s="74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3"/>
      <c r="AJ36" s="74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3"/>
      <c r="AJ37" s="74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3"/>
      <c r="AJ38" s="74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3"/>
      <c r="AJ39" s="74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3"/>
      <c r="AJ40" s="74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3"/>
      <c r="AJ41" s="74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3"/>
      <c r="AJ42" s="74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3"/>
      <c r="AJ43" s="74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3"/>
      <c r="AJ44" s="74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3"/>
      <c r="AJ45" s="74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3"/>
      <c r="AJ46" s="74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3"/>
      <c r="AJ47" s="74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3"/>
      <c r="AJ48" s="74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3"/>
      <c r="AJ49" s="74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3"/>
      <c r="AJ50" s="74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3"/>
      <c r="AJ51" s="74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3"/>
      <c r="AJ52" s="74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3"/>
      <c r="AJ53" s="74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3"/>
      <c r="AJ54" s="74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3"/>
      <c r="AJ55" s="74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3"/>
      <c r="AJ56" s="74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3"/>
      <c r="AJ57" s="74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3"/>
      <c r="AJ58" s="74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3"/>
      <c r="AJ59" s="74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3"/>
      <c r="AJ60" s="74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3"/>
      <c r="AJ61" s="74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3"/>
      <c r="AJ62" s="74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3"/>
      <c r="AJ63" s="74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3"/>
      <c r="AJ64" s="74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3"/>
      <c r="AJ65" s="74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3"/>
      <c r="AJ66" s="74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3"/>
      <c r="AJ67" s="74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3"/>
      <c r="AJ68" s="74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3"/>
      <c r="AJ69" s="74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3"/>
      <c r="AJ70" s="74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3"/>
      <c r="AJ71" s="74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3"/>
      <c r="AJ72" s="74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3"/>
      <c r="AJ73" s="74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3"/>
      <c r="AJ74" s="74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3"/>
      <c r="AJ75" s="74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3"/>
      <c r="AJ76" s="74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3"/>
      <c r="AJ77" s="74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3"/>
      <c r="AJ78" s="74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3"/>
      <c r="AJ79" s="74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3"/>
      <c r="AJ80" s="74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3"/>
      <c r="AJ81" s="74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3"/>
      <c r="AJ82" s="74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3"/>
      <c r="AJ83" s="74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3"/>
      <c r="AJ84" s="74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3"/>
      <c r="AJ85" s="74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3"/>
      <c r="AJ86" s="74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3"/>
      <c r="AJ87" s="74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3"/>
      <c r="AJ88" s="74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3"/>
      <c r="AJ89" s="74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3"/>
      <c r="AJ90" s="74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3"/>
      <c r="AJ91" s="74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3"/>
      <c r="AJ92" s="74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3"/>
      <c r="AJ93" s="74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3"/>
      <c r="AJ94" s="74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3"/>
      <c r="AJ95" s="74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3"/>
      <c r="AJ96" s="74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3"/>
      <c r="AJ97" s="74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3"/>
      <c r="AJ98" s="74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3"/>
      <c r="AJ99" s="74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3"/>
      <c r="AJ100" s="74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3"/>
      <c r="AJ101" s="74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3"/>
      <c r="AJ102" s="74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3"/>
      <c r="AJ103" s="74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3"/>
      <c r="AJ104" s="74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3"/>
      <c r="AJ105" s="74"/>
    </row>
  </sheetData>
  <phoneticPr fontId="2"/>
  <conditionalFormatting sqref="B2:C2">
    <cfRule type="expression" dxfId="9" priority="7">
      <formula>ISERROR(B2)</formula>
    </cfRule>
  </conditionalFormatting>
  <conditionalFormatting sqref="B6:B105">
    <cfRule type="expression" dxfId="8" priority="5">
      <formula>COUNTIF(FIELD_NAME,B6)&gt;1</formula>
    </cfRule>
    <cfRule type="expression" dxfId="7" priority="6">
      <formula>AND($B6&lt;&gt;"",ISNA(MATCH($B6,項目リスト,0)))</formula>
    </cfRule>
  </conditionalFormatting>
  <conditionalFormatting sqref="B6">
    <cfRule type="expression" dxfId="6" priority="4">
      <formula>$AI$6="N/A"</formula>
    </cfRule>
  </conditionalFormatting>
  <conditionalFormatting sqref="D1">
    <cfRule type="cellIs" dxfId="5" priority="3" operator="greaterThan">
      <formula>0</formula>
    </cfRule>
  </conditionalFormatting>
  <conditionalFormatting sqref="L8:P8">
    <cfRule type="expression" dxfId="4" priority="9">
      <formula>Y8</formula>
    </cfRule>
    <cfRule type="expression" dxfId="3" priority="10">
      <formula>Y7</formula>
    </cfRule>
  </conditionalFormatting>
  <conditionalFormatting sqref="L13:P22">
    <cfRule type="expression" dxfId="2" priority="1">
      <formula>Y13</formula>
    </cfRule>
    <cfRule type="expression" dxfId="1" priority="2">
      <formula>$AD13</formula>
    </cfRule>
  </conditionalFormatting>
  <conditionalFormatting sqref="L8">
    <cfRule type="expression" dxfId="0" priority="8">
      <formula>$AG$7</formula>
    </cfRule>
  </conditionalFormatting>
  <dataValidations count="6">
    <dataValidation imeMode="off" allowBlank="1" showInputMessage="1" showErrorMessage="1" sqref="D5:F5 C2" xr:uid="{9B881D88-DC8D-493F-A399-BE4B83A7E854}"/>
    <dataValidation type="list" allowBlank="1" showInputMessage="1" showErrorMessage="1" sqref="L13:P22" xr:uid="{D247A503-1987-402E-BEE6-D3FE45438922}">
      <formula1>FIELDリスト</formula1>
    </dataValidation>
    <dataValidation type="list" allowBlank="1" showInputMessage="1" showErrorMessage="1" sqref="L8:P8" xr:uid="{F12E6E1D-D5D9-4CCA-888C-FDEC8B9FC1AD}">
      <formula1>FIELDリストNN</formula1>
    </dataValidation>
    <dataValidation type="whole" imeMode="off" operator="equal" allowBlank="1" showInputMessage="1" showErrorMessage="1" error="NotNullの場合は[1]を入力する。" sqref="E6:E105" xr:uid="{D4835226-D545-4DE3-94B1-E1A774E327BD}">
      <formula1>1</formula1>
    </dataValidation>
    <dataValidation type="list" allowBlank="1" showInputMessage="1" showErrorMessage="1" sqref="B6:B105" xr:uid="{526D6936-FA99-46D8-94D4-FF3F52E1C3D6}">
      <formula1>項目リスト</formula1>
    </dataValidation>
    <dataValidation imeMode="on" allowBlank="1" showInputMessage="1" showErrorMessage="1" sqref="K12 A5 A1:A2 F6:I105 K7" xr:uid="{A7F309A7-8A87-4CFD-BE3A-9D168E90A5DE}"/>
  </dataValidations>
  <hyperlinks>
    <hyperlink ref="E1" location="一覧!R1C1" display="一覧へ" xr:uid="{42F523EE-9304-46AD-8501-9637B22DD13D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167</v>
      </c>
      <c r="C5" t="s">
        <v>177</v>
      </c>
    </row>
    <row r="6" spans="1:8">
      <c r="A6" s="72" t="s">
        <v>162</v>
      </c>
      <c r="C6" s="92"/>
    </row>
    <row r="8" spans="1:8">
      <c r="A8" t="s">
        <v>168</v>
      </c>
    </row>
    <row r="9" spans="1:8">
      <c r="A9" s="72" t="s">
        <v>163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55</vt:i4>
      </vt:variant>
    </vt:vector>
  </HeadingPairs>
  <TitlesOfParts>
    <vt:vector size="62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テンプレート!PK_AREA</vt:lpstr>
      <vt:lpstr>受注!PK_AREA</vt:lpstr>
      <vt:lpstr>受注明細!PK_AREA</vt:lpstr>
      <vt:lpstr>得意先!PK_AREA</vt:lpstr>
      <vt:lpstr>SAVE_OK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エラー</vt:lpstr>
      <vt:lpstr>テーブル一覧START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2024-02-17T09:28:33Z</dcterms:modified>
</cp:coreProperties>
</file>